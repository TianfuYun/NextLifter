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8495" windowHeight="1072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7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</externalReferences>
  <definedNames>
    <definedName name="_xlnm._FilterDatabase" localSheetId="8" hidden="1">ContestResults!#REF!</definedName>
    <definedName name="Attempts" localSheetId="4">[1]Lists!$A$2:$A$11</definedName>
    <definedName name="Attempts">Lists!$A$2:$A$11</definedName>
    <definedName name="_xlnm.Print_Area" localSheetId="9">LoadingChart!$A$1:$W$187</definedName>
    <definedName name="_xlnm.Print_Area" localSheetId="7">QuickPrint!$A$1:$AE$7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J9" i="1" l="1"/>
  <c r="J10" i="1"/>
  <c r="J11" i="1"/>
  <c r="J12" i="1"/>
  <c r="J8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BY12" i="1" l="1"/>
  <c r="AO12" i="1"/>
  <c r="Y12" i="1"/>
  <c r="T12" i="1"/>
  <c r="O12" i="1"/>
  <c r="U12" i="1" l="1"/>
  <c r="BY11" i="1"/>
  <c r="AO11" i="1"/>
  <c r="Y11" i="1"/>
  <c r="T11" i="1"/>
  <c r="O11" i="1"/>
  <c r="BY10" i="1"/>
  <c r="AO10" i="1"/>
  <c r="Y10" i="1"/>
  <c r="T10" i="1"/>
  <c r="O10" i="1"/>
  <c r="AO9" i="1"/>
  <c r="Y9" i="1"/>
  <c r="T9" i="1"/>
  <c r="O9" i="1"/>
  <c r="U9" i="1" l="1"/>
  <c r="U11" i="1"/>
  <c r="U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M20" i="10"/>
  <c r="F40" i="10"/>
  <c r="N12" i="10"/>
  <c r="E23" i="10"/>
  <c r="H41" i="10"/>
  <c r="K50" i="10"/>
  <c r="L37" i="10"/>
  <c r="B38" i="10"/>
  <c r="C26" i="10"/>
  <c r="B31" i="10"/>
  <c r="J21" i="10"/>
  <c r="J19" i="10"/>
  <c r="N21" i="10"/>
  <c r="P29" i="10"/>
  <c r="K37" i="10"/>
  <c r="B23" i="10"/>
  <c r="J25" i="10"/>
  <c r="D18" i="10"/>
  <c r="B50" i="10"/>
  <c r="F21" i="10"/>
  <c r="D40" i="10"/>
  <c r="O16" i="10"/>
  <c r="J44" i="10"/>
  <c r="K49" i="10"/>
  <c r="N20" i="10"/>
  <c r="J11" i="10"/>
  <c r="I23" i="10"/>
  <c r="I34" i="10"/>
  <c r="L40" i="10"/>
  <c r="O18" i="10"/>
  <c r="F35" i="10"/>
  <c r="D22" i="10"/>
  <c r="G39" i="10"/>
  <c r="O17" i="10"/>
  <c r="C47" i="10"/>
  <c r="D30" i="10"/>
  <c r="H47" i="10"/>
  <c r="B35" i="10"/>
  <c r="O38" i="10"/>
  <c r="H45" i="10"/>
  <c r="F48" i="10"/>
  <c r="N25" i="10"/>
  <c r="M23" i="10"/>
  <c r="E18" i="10"/>
  <c r="B40" i="10"/>
  <c r="G29" i="10"/>
  <c r="F33" i="10"/>
  <c r="G32" i="10"/>
  <c r="H48" i="10"/>
  <c r="N19" i="10"/>
  <c r="L48" i="10"/>
  <c r="F13" i="10"/>
  <c r="B37" i="10"/>
  <c r="D17" i="10"/>
  <c r="F31" i="10"/>
  <c r="K29" i="10"/>
  <c r="D37" i="10"/>
  <c r="L50" i="10"/>
  <c r="L18" i="10"/>
  <c r="L15" i="10"/>
  <c r="P24" i="10"/>
  <c r="D11" i="10"/>
  <c r="P13" i="10"/>
  <c r="D14" i="10"/>
  <c r="E31" i="10"/>
  <c r="M39" i="10"/>
  <c r="B45" i="10"/>
  <c r="P45" i="10"/>
  <c r="M15" i="10"/>
  <c r="H25" i="10"/>
  <c r="E48" i="10"/>
  <c r="H15" i="10"/>
  <c r="M28" i="10"/>
  <c r="M50" i="10"/>
  <c r="O28" i="10"/>
  <c r="L49" i="10"/>
  <c r="B29" i="10"/>
  <c r="J16" i="10"/>
  <c r="I42" i="10"/>
  <c r="I39" i="10"/>
  <c r="O12" i="10"/>
  <c r="P38" i="10"/>
  <c r="N15" i="10"/>
  <c r="L31" i="10"/>
  <c r="O24" i="10"/>
  <c r="K15" i="10"/>
  <c r="H34" i="10"/>
  <c r="L27" i="10"/>
  <c r="B32" i="10"/>
  <c r="O21" i="10"/>
  <c r="G12" i="10"/>
  <c r="L46" i="10"/>
  <c r="N22" i="10"/>
  <c r="D26" i="10"/>
  <c r="F25" i="10"/>
  <c r="G38" i="10"/>
  <c r="D38" i="10"/>
  <c r="E32" i="10"/>
  <c r="G50" i="10"/>
  <c r="O35" i="10"/>
  <c r="B19" i="10"/>
  <c r="K19" i="10"/>
  <c r="F11" i="10"/>
  <c r="L23" i="10"/>
  <c r="G48" i="10"/>
  <c r="G33" i="10"/>
  <c r="O40" i="10"/>
  <c r="M40" i="10"/>
  <c r="C36" i="10"/>
  <c r="M49" i="10"/>
  <c r="C20" i="10"/>
  <c r="G28" i="10"/>
  <c r="P20" i="10"/>
  <c r="P21" i="10"/>
  <c r="P40" i="10"/>
  <c r="H50" i="10"/>
  <c r="B33" i="10"/>
  <c r="E24" i="10"/>
  <c r="N33" i="10"/>
  <c r="O32" i="10"/>
  <c r="L32" i="10"/>
  <c r="O50" i="10"/>
  <c r="M19" i="10"/>
  <c r="G25" i="10"/>
  <c r="O46" i="10"/>
  <c r="K45" i="10"/>
  <c r="J30" i="10"/>
  <c r="H32" i="10"/>
  <c r="J38" i="10"/>
  <c r="G27" i="10"/>
  <c r="M18" i="10"/>
  <c r="G11" i="10"/>
  <c r="O25" i="10"/>
  <c r="F18" i="10"/>
  <c r="C23" i="10"/>
  <c r="E38" i="10"/>
  <c r="C14" i="10"/>
  <c r="F15" i="10"/>
  <c r="B46" i="10"/>
  <c r="I16" i="10"/>
  <c r="N34" i="10"/>
  <c r="AC10" i="1"/>
  <c r="B24" i="10"/>
  <c r="E37" i="10"/>
  <c r="H31" i="10"/>
  <c r="M44" i="10"/>
  <c r="P14" i="10"/>
  <c r="F19" i="10"/>
  <c r="O22" i="10"/>
  <c r="I45" i="10"/>
  <c r="C31" i="10"/>
  <c r="J24" i="10"/>
  <c r="H16" i="10"/>
  <c r="G31" i="10"/>
  <c r="M47" i="10"/>
  <c r="D43" i="10"/>
  <c r="P15" i="10"/>
  <c r="BB11" i="1"/>
  <c r="J48" i="10"/>
  <c r="O43" i="10"/>
  <c r="L11" i="10"/>
  <c r="O36" i="10"/>
  <c r="H26" i="10"/>
  <c r="I24" i="10"/>
  <c r="J15" i="10"/>
  <c r="B48" i="10"/>
  <c r="F45" i="10"/>
  <c r="I47" i="10"/>
  <c r="I36" i="10"/>
  <c r="C41" i="10"/>
  <c r="B30" i="10"/>
  <c r="G19" i="10"/>
  <c r="K28" i="10"/>
  <c r="G37" i="10"/>
  <c r="L12" i="10"/>
  <c r="E33" i="10"/>
  <c r="J40" i="10"/>
  <c r="P34" i="10"/>
  <c r="O31" i="10"/>
  <c r="L41" i="10"/>
  <c r="H40" i="10"/>
  <c r="K35" i="10"/>
  <c r="E19" i="10"/>
  <c r="L47" i="10"/>
  <c r="N40" i="10"/>
  <c r="P43" i="10"/>
  <c r="C42" i="10"/>
  <c r="J46" i="10"/>
  <c r="O19" i="10"/>
  <c r="C33" i="10"/>
  <c r="H14" i="10"/>
  <c r="F43" i="10"/>
  <c r="C48" i="10"/>
  <c r="F23" i="10"/>
  <c r="F29" i="10"/>
  <c r="D42" i="10"/>
  <c r="L43" i="10"/>
  <c r="O42" i="10"/>
  <c r="AC12" i="1"/>
  <c r="N28" i="10"/>
  <c r="F36" i="10"/>
  <c r="G13" i="10"/>
  <c r="P11" i="10"/>
  <c r="C34" i="10"/>
  <c r="I49" i="10"/>
  <c r="C21" i="10"/>
  <c r="P44" i="10"/>
  <c r="I15" i="10"/>
  <c r="C46" i="10"/>
  <c r="G41" i="10"/>
  <c r="M48" i="10"/>
  <c r="I41" i="10"/>
  <c r="E22" i="10"/>
  <c r="H22" i="10"/>
  <c r="J45" i="10"/>
  <c r="J31" i="10"/>
  <c r="L21" i="10"/>
  <c r="M26" i="10"/>
  <c r="K36" i="10"/>
  <c r="D20" i="10"/>
  <c r="O30" i="10"/>
  <c r="D33" i="10"/>
  <c r="C35" i="10"/>
  <c r="G42" i="10"/>
  <c r="L13" i="10"/>
  <c r="H19" i="10"/>
  <c r="K23" i="10"/>
  <c r="M21" i="10"/>
  <c r="P48" i="10"/>
  <c r="F37" i="10"/>
  <c r="K22" i="10"/>
  <c r="M35" i="10"/>
  <c r="D31" i="10"/>
  <c r="K27" i="10"/>
  <c r="O45" i="10"/>
  <c r="B12" i="10"/>
  <c r="F26" i="10"/>
  <c r="N49" i="10"/>
  <c r="I18" i="10"/>
  <c r="E14" i="10"/>
  <c r="K13" i="10"/>
  <c r="I21" i="10"/>
  <c r="C24" i="10"/>
  <c r="P50" i="10"/>
  <c r="G49" i="10"/>
  <c r="L19" i="10"/>
  <c r="P47" i="10"/>
  <c r="I37" i="10"/>
  <c r="P49" i="10"/>
  <c r="I17" i="10"/>
  <c r="M12" i="10"/>
  <c r="H43" i="10"/>
  <c r="L29" i="10"/>
  <c r="E40" i="10"/>
  <c r="N43" i="10"/>
  <c r="BB10" i="1"/>
  <c r="D12" i="10"/>
  <c r="J22" i="10"/>
  <c r="N32" i="10"/>
  <c r="H12" i="10"/>
  <c r="B20" i="10"/>
  <c r="H13" i="10"/>
  <c r="E43" i="10"/>
  <c r="L34" i="10"/>
  <c r="F12" i="10"/>
  <c r="C49" i="10"/>
  <c r="L30" i="10"/>
  <c r="G14" i="10"/>
  <c r="O11" i="10"/>
  <c r="I29" i="10"/>
  <c r="L28" i="10"/>
  <c r="N29" i="10"/>
  <c r="M25" i="10"/>
  <c r="J14" i="10"/>
  <c r="L16" i="10"/>
  <c r="J36" i="10"/>
  <c r="B16" i="10"/>
  <c r="P30" i="10"/>
  <c r="O34" i="10"/>
  <c r="E44" i="10"/>
  <c r="I31" i="10"/>
  <c r="L44" i="10"/>
  <c r="F34" i="10"/>
  <c r="D16" i="10"/>
  <c r="J47" i="10"/>
  <c r="E30" i="10"/>
  <c r="O14" i="10"/>
  <c r="P31" i="10"/>
  <c r="B21" i="10"/>
  <c r="J33" i="10"/>
  <c r="D25" i="10"/>
  <c r="D15" i="10"/>
  <c r="BB9" i="1"/>
  <c r="I19" i="10"/>
  <c r="O15" i="10"/>
  <c r="D36" i="10"/>
  <c r="F41" i="10"/>
  <c r="E15" i="10"/>
  <c r="H24" i="10"/>
  <c r="F50" i="10"/>
  <c r="I35" i="10"/>
  <c r="D50" i="10"/>
  <c r="N45" i="10"/>
  <c r="K20" i="10"/>
  <c r="G47" i="10"/>
  <c r="D29" i="10"/>
  <c r="D46" i="10"/>
  <c r="C27" i="10"/>
  <c r="I50" i="10"/>
  <c r="J28" i="10"/>
  <c r="E41" i="10"/>
  <c r="E29" i="10"/>
  <c r="H38" i="10"/>
  <c r="E47" i="10"/>
  <c r="G22" i="10"/>
  <c r="D24" i="10"/>
  <c r="F16" i="10"/>
  <c r="B39" i="10"/>
  <c r="F17" i="10"/>
  <c r="G40" i="10"/>
  <c r="P23" i="10"/>
  <c r="I28" i="10"/>
  <c r="D27" i="10"/>
  <c r="H23" i="10"/>
  <c r="E13" i="10"/>
  <c r="K16" i="10"/>
  <c r="F42" i="10"/>
  <c r="O37" i="10"/>
  <c r="E25" i="10"/>
  <c r="C37" i="10"/>
  <c r="F44" i="10"/>
  <c r="D32" i="10"/>
  <c r="K34" i="10"/>
  <c r="I12" i="10"/>
  <c r="D35" i="10"/>
  <c r="L39" i="10"/>
  <c r="P26" i="10"/>
  <c r="G43" i="10"/>
  <c r="G36" i="10"/>
  <c r="N38" i="10"/>
  <c r="M38" i="10"/>
  <c r="J50" i="10"/>
  <c r="B28" i="10"/>
  <c r="L26" i="10"/>
  <c r="O20" i="10"/>
  <c r="P16" i="10"/>
  <c r="E11" i="10"/>
  <c r="D21" i="10"/>
  <c r="G45" i="10"/>
  <c r="B15" i="10"/>
  <c r="C29" i="10"/>
  <c r="K21" i="10"/>
  <c r="J17" i="10"/>
  <c r="N39" i="10"/>
  <c r="L35" i="10"/>
  <c r="B47" i="10"/>
  <c r="H49" i="10"/>
  <c r="BB12" i="1"/>
  <c r="M16" i="10"/>
  <c r="N14" i="10"/>
  <c r="H37" i="10"/>
  <c r="D47" i="10"/>
  <c r="O13" i="10"/>
  <c r="P32" i="10"/>
  <c r="L36" i="10"/>
  <c r="C17" i="10"/>
  <c r="O33" i="10"/>
  <c r="H44" i="10"/>
  <c r="E28" i="10"/>
  <c r="C22" i="10"/>
  <c r="E49" i="10"/>
  <c r="J35" i="10"/>
  <c r="M43" i="10"/>
  <c r="J34" i="10"/>
  <c r="K11" i="10"/>
  <c r="B42" i="10"/>
  <c r="G26" i="10"/>
  <c r="M27" i="10"/>
  <c r="P19" i="10"/>
  <c r="K30" i="10"/>
  <c r="K38" i="10"/>
  <c r="C32" i="10"/>
  <c r="K14" i="10"/>
  <c r="P17" i="10"/>
  <c r="J12" i="10"/>
  <c r="H30" i="10"/>
  <c r="N37" i="10"/>
  <c r="J37" i="10"/>
  <c r="J32" i="10"/>
  <c r="M29" i="10"/>
  <c r="N26" i="10"/>
  <c r="N47" i="10"/>
  <c r="N35" i="10"/>
  <c r="J20" i="10"/>
  <c r="P39" i="10"/>
  <c r="C18" i="10"/>
  <c r="C43" i="10"/>
  <c r="K43" i="10"/>
  <c r="K25" i="10"/>
  <c r="F47" i="10"/>
  <c r="I14" i="10"/>
  <c r="C13" i="10"/>
  <c r="G18" i="10"/>
  <c r="L25" i="10"/>
  <c r="E34" i="10"/>
  <c r="E20" i="10"/>
  <c r="G46" i="10"/>
  <c r="L33" i="10"/>
  <c r="F38" i="10"/>
  <c r="F49" i="10"/>
  <c r="M24" i="10"/>
  <c r="H21" i="10"/>
  <c r="J13" i="10"/>
  <c r="M14" i="10"/>
  <c r="G23" i="10"/>
  <c r="F27" i="10"/>
  <c r="I30" i="10"/>
  <c r="C50" i="10"/>
  <c r="E17" i="10"/>
  <c r="G16" i="10"/>
  <c r="J26" i="10"/>
  <c r="H35" i="10"/>
  <c r="L42" i="10"/>
  <c r="E42" i="10"/>
  <c r="N41" i="10"/>
  <c r="J18" i="10"/>
  <c r="B44" i="10"/>
  <c r="D44" i="10"/>
  <c r="O23" i="10"/>
  <c r="D48" i="10"/>
  <c r="H46" i="10"/>
  <c r="I20" i="10"/>
  <c r="F20" i="10"/>
  <c r="L24" i="10"/>
  <c r="N48" i="10"/>
  <c r="N27" i="10"/>
  <c r="K39" i="10"/>
  <c r="M45" i="10"/>
  <c r="N46" i="10"/>
  <c r="B49" i="10"/>
  <c r="J23" i="10"/>
  <c r="B27" i="10"/>
  <c r="F39" i="10"/>
  <c r="B34" i="10"/>
  <c r="D49" i="10"/>
  <c r="H39" i="10"/>
  <c r="P28" i="10"/>
  <c r="C19" i="10"/>
  <c r="I11" i="10"/>
  <c r="H28" i="10"/>
  <c r="H42" i="10"/>
  <c r="F30" i="10"/>
  <c r="H33" i="10"/>
  <c r="E50" i="10"/>
  <c r="B26" i="10"/>
  <c r="B14" i="10"/>
  <c r="F22" i="10"/>
  <c r="G30" i="10"/>
  <c r="M17" i="10"/>
  <c r="B17" i="10"/>
  <c r="K42" i="10"/>
  <c r="P25" i="10"/>
  <c r="D41" i="10"/>
  <c r="C12" i="10"/>
  <c r="G21" i="10"/>
  <c r="E21" i="10"/>
  <c r="L45" i="10"/>
  <c r="K44" i="10"/>
  <c r="N30" i="10"/>
  <c r="K47" i="10"/>
  <c r="AC9" i="1"/>
  <c r="K26" i="10"/>
  <c r="I25" i="10"/>
  <c r="M36" i="10"/>
  <c r="H36" i="10"/>
  <c r="C40" i="10"/>
  <c r="M33" i="10"/>
  <c r="P37" i="10"/>
  <c r="N31" i="10"/>
  <c r="D34" i="10"/>
  <c r="N42" i="10"/>
  <c r="N44" i="10"/>
  <c r="M46" i="10"/>
  <c r="L22" i="10"/>
  <c r="J39" i="10"/>
  <c r="G20" i="10"/>
  <c r="P35" i="10"/>
  <c r="F24" i="10"/>
  <c r="O26" i="10"/>
  <c r="N50" i="10"/>
  <c r="K31" i="10"/>
  <c r="M34" i="10"/>
  <c r="K32" i="10"/>
  <c r="M42" i="10"/>
  <c r="E27" i="10"/>
  <c r="C30" i="10"/>
  <c r="J42" i="10"/>
  <c r="O29" i="10"/>
  <c r="C44" i="10"/>
  <c r="B43" i="10"/>
  <c r="I27" i="10"/>
  <c r="E46" i="10"/>
  <c r="O49" i="10"/>
  <c r="I44" i="10"/>
  <c r="M30" i="10"/>
  <c r="D13" i="10"/>
  <c r="C45" i="10"/>
  <c r="M32" i="10"/>
  <c r="C39" i="10"/>
  <c r="P18" i="10"/>
  <c r="C16" i="10"/>
  <c r="H27" i="10"/>
  <c r="L38" i="10"/>
  <c r="M13" i="10"/>
  <c r="J43" i="10"/>
  <c r="K12" i="10"/>
  <c r="B11" i="10"/>
  <c r="K24" i="10"/>
  <c r="N11" i="10"/>
  <c r="E12" i="10"/>
  <c r="B18" i="10"/>
  <c r="K33" i="10"/>
  <c r="N13" i="10"/>
  <c r="P12" i="10"/>
  <c r="D45" i="10"/>
  <c r="N18" i="10"/>
  <c r="D39" i="10"/>
  <c r="I40" i="10"/>
  <c r="L14" i="10"/>
  <c r="B36" i="10"/>
  <c r="M11" i="10"/>
  <c r="E26" i="10"/>
  <c r="I32" i="10"/>
  <c r="AC11" i="1"/>
  <c r="I13" i="10"/>
  <c r="B22" i="10"/>
  <c r="N16" i="10"/>
  <c r="I26" i="10"/>
  <c r="B25" i="10"/>
  <c r="F46" i="10"/>
  <c r="G15" i="10"/>
  <c r="G34" i="10"/>
  <c r="C11" i="10"/>
  <c r="C15" i="10"/>
  <c r="C25" i="10"/>
  <c r="K40" i="10"/>
  <c r="K46" i="10"/>
  <c r="P46" i="10"/>
  <c r="G17" i="10"/>
  <c r="P42" i="10"/>
  <c r="H18" i="10"/>
  <c r="I22" i="10"/>
  <c r="P27" i="10"/>
  <c r="P36" i="10"/>
  <c r="I33" i="10"/>
  <c r="L17" i="10"/>
  <c r="F14" i="10"/>
  <c r="L20" i="10"/>
  <c r="H29" i="10"/>
  <c r="K18" i="10"/>
  <c r="I48" i="10"/>
  <c r="B13" i="10"/>
  <c r="P33" i="10"/>
  <c r="O44" i="10"/>
  <c r="D28" i="10"/>
  <c r="M41" i="10"/>
  <c r="F32" i="10"/>
  <c r="D19" i="10"/>
  <c r="E35" i="10"/>
  <c r="P22" i="10"/>
  <c r="M37" i="10"/>
  <c r="N36" i="10"/>
  <c r="I43" i="10"/>
  <c r="N24" i="10"/>
  <c r="N17" i="10"/>
  <c r="J29" i="10"/>
  <c r="G24" i="10"/>
  <c r="E39" i="10"/>
  <c r="B41" i="10"/>
  <c r="D23" i="10"/>
  <c r="J41" i="10"/>
  <c r="I38" i="10"/>
  <c r="P41" i="10"/>
  <c r="K17" i="10"/>
  <c r="G44" i="10"/>
  <c r="K48" i="10"/>
  <c r="H17" i="10"/>
  <c r="O41" i="10"/>
  <c r="E16" i="10"/>
  <c r="J49" i="10"/>
  <c r="M31" i="10"/>
  <c r="H11" i="10"/>
  <c r="C28" i="10"/>
  <c r="N23" i="10"/>
  <c r="O39" i="10"/>
  <c r="J27" i="10"/>
  <c r="E45" i="10"/>
  <c r="H20" i="10"/>
  <c r="O48" i="10"/>
  <c r="G35" i="10"/>
  <c r="O47" i="10"/>
  <c r="K41" i="10"/>
  <c r="C38" i="10"/>
  <c r="O27" i="10"/>
  <c r="E36" i="10"/>
  <c r="M22" i="10"/>
  <c r="I46" i="10"/>
  <c r="F28" i="10"/>
  <c r="Q44" i="10" l="1"/>
  <c r="Q15" i="10"/>
  <c r="Q14" i="10"/>
  <c r="Q31" i="10"/>
  <c r="Q19" i="10"/>
  <c r="Q45" i="10"/>
  <c r="Q18" i="10"/>
  <c r="Q39" i="10"/>
  <c r="Q22" i="10"/>
  <c r="Q37" i="10"/>
  <c r="Q49" i="10"/>
  <c r="Q16" i="10"/>
  <c r="Q50" i="10"/>
  <c r="Q42" i="10"/>
  <c r="Q47" i="10"/>
  <c r="Q40" i="10"/>
  <c r="Q25" i="10"/>
  <c r="Q43" i="10"/>
  <c r="Q48" i="10"/>
  <c r="Q29" i="10"/>
  <c r="Q17" i="10"/>
  <c r="Q32" i="10"/>
  <c r="Q28" i="10"/>
  <c r="Q24" i="10"/>
  <c r="Q34" i="10"/>
  <c r="Q26" i="10"/>
  <c r="Q35" i="10"/>
  <c r="Q21" i="10"/>
  <c r="Q27" i="10"/>
  <c r="Q46" i="10"/>
  <c r="Q23" i="10"/>
  <c r="Q30" i="10"/>
  <c r="Q33" i="10"/>
  <c r="Q38" i="10"/>
  <c r="Q20" i="10"/>
  <c r="Q36" i="10"/>
  <c r="Q41" i="10"/>
  <c r="N5" i="8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F12" i="1" s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E5" i="1"/>
  <c r="AP12" i="1"/>
  <c r="AP9" i="1"/>
  <c r="AP8" i="1"/>
  <c r="AP11" i="1"/>
  <c r="AP10" i="1"/>
  <c r="BA6" i="1"/>
  <c r="BB8" i="1"/>
  <c r="BZ12" i="1" l="1"/>
  <c r="AU12" i="1"/>
  <c r="F11" i="5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9" i="1"/>
  <c r="H12" i="1"/>
  <c r="H11" i="1"/>
  <c r="AV1" i="1"/>
  <c r="Q12" i="10"/>
  <c r="Q11" i="10"/>
  <c r="AQ11" i="1"/>
  <c r="AQ8" i="1"/>
  <c r="Q13" i="10"/>
  <c r="AQ10" i="1"/>
  <c r="BE6" i="1"/>
  <c r="AQ9" i="1"/>
  <c r="AQ12" i="1"/>
  <c r="Z12" i="1" l="1"/>
  <c r="Z9" i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11" i="1"/>
  <c r="AY4" i="1"/>
  <c r="AH10" i="1"/>
  <c r="BD6" i="1"/>
  <c r="AY5" i="1"/>
  <c r="AH12" i="1"/>
  <c r="BI2" i="1" l="1"/>
  <c r="K36" i="2" s="1"/>
  <c r="BI4" i="1"/>
  <c r="BI3" i="1"/>
  <c r="AJ12" i="1"/>
  <c r="AD12" i="1"/>
  <c r="AA12" i="1"/>
  <c r="AD10" i="1"/>
  <c r="AA10" i="1"/>
  <c r="AJ10" i="1"/>
  <c r="AJ11" i="1"/>
  <c r="AD11" i="1"/>
  <c r="AA11" i="1"/>
  <c r="AA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N12" i="1"/>
  <c r="AN8" i="1"/>
  <c r="AN9" i="1"/>
  <c r="A3" i="1"/>
  <c r="AN11" i="1"/>
  <c r="A38" i="2"/>
  <c r="A4" i="1"/>
  <c r="A2" i="1"/>
  <c r="A36" i="2"/>
  <c r="F4" i="1"/>
  <c r="C2" i="1"/>
  <c r="AN10" i="1"/>
  <c r="P3" i="2"/>
  <c r="A40" i="2" l="1"/>
  <c r="B38" i="2"/>
  <c r="B21" i="11"/>
  <c r="B10" i="11"/>
  <c r="H2" i="10"/>
  <c r="K37" i="2"/>
  <c r="AB12" i="1"/>
  <c r="H6" i="10"/>
  <c r="AB11" i="1"/>
  <c r="AB10" i="1"/>
  <c r="AB9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G3" i="8"/>
  <c r="R3" i="8"/>
  <c r="R4" i="8"/>
  <c r="G4" i="8"/>
  <c r="H4" i="8" s="1"/>
  <c r="T4" i="8" s="1"/>
  <c r="I6" i="4"/>
  <c r="BG6" i="1"/>
  <c r="AH9" i="1"/>
  <c r="B32" i="11" l="1"/>
  <c r="Q6" i="2"/>
  <c r="P18" i="2"/>
  <c r="Q21" i="2" s="1"/>
  <c r="Q22" i="2" s="1"/>
  <c r="R22" i="2" s="1"/>
  <c r="O39" i="2"/>
  <c r="AJ9" i="1"/>
  <c r="V10" i="8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S3" i="8"/>
  <c r="H3" i="8"/>
  <c r="J9" i="4"/>
  <c r="S4" i="8"/>
  <c r="I4" i="8"/>
  <c r="U4" i="8" s="1"/>
  <c r="L6" i="4"/>
  <c r="AK10" i="1"/>
  <c r="AI12" i="1"/>
  <c r="AK12" i="1"/>
  <c r="AI10" i="1"/>
  <c r="AI9" i="1"/>
  <c r="AI8" i="1"/>
  <c r="AK11" i="1"/>
  <c r="AI11" i="1"/>
  <c r="R39" i="2" l="1"/>
  <c r="L32" i="11" s="1"/>
  <c r="R21" i="2"/>
  <c r="Q23" i="2"/>
  <c r="R23" i="2" s="1"/>
  <c r="AL10" i="1"/>
  <c r="AL11" i="1"/>
  <c r="AL12" i="1"/>
  <c r="A17" i="8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7" i="2"/>
  <c r="R6" i="2"/>
  <c r="M9" i="4"/>
  <c r="T3" i="8"/>
  <c r="I3" i="8"/>
  <c r="U3" i="8" s="1"/>
  <c r="J10" i="4"/>
  <c r="J4" i="8"/>
  <c r="AK9" i="1"/>
  <c r="Q24" i="2" l="1"/>
  <c r="Q25" i="2" s="1"/>
  <c r="R25" i="2" s="1"/>
  <c r="AL9" i="1"/>
  <c r="AD9" i="1" s="1"/>
  <c r="G15" i="8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Q26" i="2" l="1"/>
  <c r="R26" i="2" s="1"/>
  <c r="R24" i="2"/>
  <c r="E18" i="8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Q9" i="2"/>
  <c r="R9" i="2" s="1"/>
  <c r="M12" i="4"/>
  <c r="K3" i="8"/>
  <c r="W3" i="8" s="1"/>
  <c r="J13" i="4"/>
  <c r="Q27" i="2" l="1"/>
  <c r="R27" i="2" s="1"/>
  <c r="J15" i="8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10" i="2"/>
  <c r="R10" i="2" s="1"/>
  <c r="M13" i="4"/>
  <c r="M14" i="4" s="1"/>
  <c r="J14" i="4"/>
  <c r="Q28" i="2" l="1"/>
  <c r="Q29" i="2" s="1"/>
  <c r="R29" i="2" s="1"/>
  <c r="R18" i="8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Q11" i="2"/>
  <c r="R11" i="2" s="1"/>
  <c r="M15" i="4"/>
  <c r="M16" i="4" s="1"/>
  <c r="M17" i="4" s="1"/>
  <c r="J15" i="4"/>
  <c r="J16" i="4" s="1"/>
  <c r="J17" i="4" s="1"/>
  <c r="Q30" i="2" l="1"/>
  <c r="R30" i="2" s="1"/>
  <c r="R28" i="2"/>
  <c r="I18" i="8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12" i="2"/>
  <c r="R12" i="2" s="1"/>
  <c r="M18" i="4"/>
  <c r="M19" i="4" s="1"/>
  <c r="J18" i="4"/>
  <c r="J19" i="4" s="1"/>
  <c r="Q31" i="2" l="1"/>
  <c r="R31" i="2" s="1"/>
  <c r="E22" i="8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3" i="2"/>
  <c r="R13" i="2" s="1"/>
  <c r="J6" i="4"/>
  <c r="M6" i="4"/>
  <c r="Q18" i="2" l="1"/>
  <c r="R21" i="8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l="1"/>
  <c r="R38" i="2" s="1"/>
  <c r="F25" i="8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 l="1"/>
  <c r="BA11" i="1" s="1"/>
  <c r="BB2" i="1"/>
  <c r="BA12" i="1" s="1"/>
  <c r="BA9" i="1"/>
  <c r="BA10" i="1" l="1"/>
  <c r="BC2" i="1"/>
  <c r="BD2" i="1" s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
SQ-2 16:09:28 120/Good
SQ-3 16:14:07 - 125
SQ-2 16:21:33 - 120
SQ-2 16:21:44 120/Good
SQ-3 16:22:46 - 125
SQ-3 17:59:23 125/Good
SQ-2 21:16:18 - 120
SQ-3 21:16:25 - 
SQ-2 21:17:14 120/Good
SQ-3 21:17:23 - 125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13:32:29 65/Good
BP-2 16:23:07 - 67,5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13:32:34 145/Good
DL-2 13:35:23 - 150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
SQ-2 16:16:24 200/Good
SQ-3 16:16:39 - 210
SQ-2 16:21:35 - 200
SQ-2 17:18:45 200/Good
SQ-3 17:18:47 - 210
SQ-2 17:20:53 - 200
SQ-2 17:28:34 200/Good
SQ-2 21:16:21 - 200
SQ-3 21:16:30 - 
SQ-2 13:32:31 200/Good
SQ-3 13:32:37 - 205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17:18:22 135/Good
BP-2 17:18:29 - 140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DL-2 13:35:46 - 210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
SQ-2 16:12:44 150/Good
SQ-3 16:14:09 - 1585
SQ-3 16:14:11 - 155
SQ-2 16:21:34 - 150
SQ-2 17:18:40 150/Good
SQ-3 17:18:44 - 155
SQ-3 17:59:35 155/Good
SQ-3 18:06:18 - 155
SQ-3 21:11:31 -155/No-Lift
SQ-2 21:16:20 - 150
SQ-3 21:16:28 - 
SQ-3 21:16:29 - 
SQ-2 13:31:20 150/Good
SQ-3 13:32:08 - 155
SQ-3 13:32:09 - 155
SQ-3 13:32:10 - 155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<sst xmlns="http://schemas.openxmlformats.org/spreadsheetml/2006/main" count="524" uniqueCount="229">
  <si>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</si>
  <si>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</si>
  <si>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</si>
  <si>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</si>
  <si>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</si>
  <si>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</si>
  <si>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</si>
  <si>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</si>
  <si>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</si>
  <si>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</si>
  <si>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</si>
  <si>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</si>
  <si>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</si>
  <si>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</si>
  <si>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</si>
  <si>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</si>
  <si>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</si>
  <si>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</si>
  <si>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</si>
  <si>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</si>
  <si>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</si>
  <si>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</si>
  <si>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</si>
  <si>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</si>
  <si>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</si>
  <si>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</si>
  <si>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</si>
  <si>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</si>
  <si>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</si>
  <si>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</si>
  <si>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</si>
  <si>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</si>
  <si>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</si>
  <si>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</si>
  <si>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</si>
  <si>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</si>
  <si>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</si>
  <si>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</si>
  <si>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</si>
  <si>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</si>
  <si>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</si>
  <si>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</si>
  <si>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</si>
  <si>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</si>
  <si>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</si>
  <si>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</si>
  <si>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</si>
  <si>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</si>
  <si>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</si>
  <si>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</si>
  <si>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</si>
  <si>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</si>
  <si>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</si>
  <si>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</si>
  <si>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</si>
  <si>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</si>
  <si>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</si>
  <si>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</si>
  <si>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</si>
  <si>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</si>
  <si>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</si>
  <si>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</si>
  <si>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</si>
  <si>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</si>
  <si>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</si>
  <si>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</si>
  <si>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</si>
  <si>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</si>
  <si>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</si>
  <si>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</si>
  <si>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</si>
  <si>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</si>
  <si>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</si>
  <si>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</si>
  <si>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</si>
  <si>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</si>
  <si>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</si>
  <si>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</si>
  <si>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</si>
  <si>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</si>
  <si>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</si>
  <si>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</si>
  <si>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</si>
  <si>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</si>
  <si>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</si>
  <si>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</si>
  <si>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</si>
  <si>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</si>
  <si>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</si>
  <si>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</si>
  <si>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</si>
  <si>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</si>
  <si>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</si>
  <si>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</si>
  <si>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</si>
  <si>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</si>
  <si>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</si>
  <si>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</si>
  <si>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</si>
  <si>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</si>
  <si>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</si>
  <si>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</si>
  <si>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</si>
  <si>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</si>
  <si>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</si>
  <si>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</si>
  <si>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</si>
  <si>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</si>
  <si>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</si>
  <si>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</si>
  <si>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</si>
  <si>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</si>
  <si>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</si>
  <si>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</si>
  <si>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</si>
  <si>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</si>
  <si>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</si>
  <si>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</si>
  <si>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</si>
  <si>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</si>
  <si>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</si>
  <si>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</si>
  <si>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</si>
  <si>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</si>
  <si>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</si>
  <si>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</si>
  <si>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</si>
  <si>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</si>
  <si>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</si>
  <si>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</si>
  <si>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</si>
  <si>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</si>
  <si>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</si>
  <si>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</si>
  <si>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</si>
  <si>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</si>
  <si>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</si>
  <si>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</si>
  <si>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</si>
  <si>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</si>
  <si>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</si>
  <si>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</si>
  <si>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</si>
  <si>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</si>
  <si>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</si>
  <si>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</si>
  <si>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</si>
  <si>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</si>
  <si>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</si>
  <si>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</si>
  <si>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</si>
  <si>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</si>
  <si>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</si>
  <si>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</si>
  <si>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</si>
  <si>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</si>
  <si>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</si>
  <si>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</si>
  <si>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</si>
  <si>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</si>
  <si>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</si>
  <si>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</si>
  <si>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</si>
  <si>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</si>
  <si>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</si>
  <si>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</si>
  <si>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</si>
  <si>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</si>
  <si>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</si>
  <si>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</si>
  <si>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</si>
  <si>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</si>
  <si>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</si>
  <si>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</si>
  <si>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</si>
  <si>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</si>
  <si>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</si>
  <si>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</si>
  <si>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</si>
  <si>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</si>
  <si>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</si>
  <si>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</si>
  <si>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</si>
  <si>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</si>
  <si>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</si>
  <si>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</si>
  <si>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</si>
  <si>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</si>
  <si>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</si>
  <si>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</si>
  <si>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</si>
  <si>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</si>
  <si>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</si>
  <si>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</si>
  <si>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</si>
  <si>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</si>
  <si>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/>
  </si>
  <si>
    <t>GBG Cup</t>
  </si>
  <si>
    <t>Lifter 1</t>
  </si>
  <si>
    <t>Lifter 2</t>
  </si>
  <si>
    <t>Lifter 3</t>
  </si>
  <si>
    <t>8/6</t>
  </si>
  <si>
    <t>6/5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</si>
  <si>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</si>
  <si>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</si>
  <si>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</si>
  <si>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</si>
  <si>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</si>
  <si>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</si>
  <si>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</si>
  <si>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</si>
  <si>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</si>
  <si>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</si>
  <si>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</si>
  <si>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</si>
  <si>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</si>
  <si>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</si>
  <si>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</si>
  <si>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Lifter 4</t>
  </si>
  <si>
    <t>6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</si>
  <si>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</si>
  <si>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</si>
  <si>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</si>
  <si>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</si>
  <si>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</si>
  <si>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</si>
  <si>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</si>
  <si>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</si>
  <si>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1-F-O-63-PL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</si>
</sst>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0" fontId="1" fillId="0" borderId="0"/>
  </cellStyleXfs>
  <cellXfs count="37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/>
    </xf>
    <xf numFmtId="0" fontId="49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1" fillId="0" borderId="0" xfId="1" applyNumberFormat="1" applyBorder="1" applyAlignment="1">
      <alignment horizontal="center"/>
    </xf>
    <xf numFmtId="0" fontId="1" fillId="0" borderId="0" xfId="1" applyBorder="1"/>
    <xf numFmtId="0" fontId="1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1" fillId="0" borderId="0" xfId="1"/>
    <xf numFmtId="0" fontId="6" fillId="0" borderId="0" xfId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165" fontId="7" fillId="0" borderId="0" xfId="1" applyNumberFormat="1" applyFont="1" applyBorder="1" applyAlignment="1">
      <alignment vertical="center"/>
    </xf>
    <xf numFmtId="165" fontId="1" fillId="0" borderId="0" xfId="1" applyNumberFormat="1" applyAlignment="1">
      <alignment horizontal="center"/>
    </xf>
    <xf numFmtId="0" fontId="53" fillId="0" borderId="0" xfId="1" applyFont="1" applyFill="1" applyBorder="1" applyAlignment="1">
      <alignment vertical="center"/>
    </xf>
    <xf numFmtId="0" fontId="7" fillId="0" borderId="0" xfId="1" applyFont="1" applyBorder="1" applyAlignment="1"/>
    <xf numFmtId="0" fontId="53" fillId="0" borderId="42" xfId="1" applyFont="1" applyFill="1" applyBorder="1" applyAlignment="1">
      <alignment vertical="center"/>
    </xf>
    <xf numFmtId="0" fontId="54" fillId="0" borderId="42" xfId="1" applyFont="1" applyBorder="1" applyAlignment="1">
      <alignment vertical="center"/>
    </xf>
    <xf numFmtId="0" fontId="15" fillId="13" borderId="44" xfId="1" applyFont="1" applyFill="1" applyBorder="1" applyAlignment="1">
      <alignment horizontal="center"/>
    </xf>
    <xf numFmtId="0" fontId="15" fillId="13" borderId="45" xfId="1" applyFont="1" applyFill="1" applyBorder="1" applyAlignment="1">
      <alignment horizontal="center"/>
    </xf>
    <xf numFmtId="165" fontId="15" fillId="13" borderId="46" xfId="1" applyNumberFormat="1" applyFont="1" applyFill="1" applyBorder="1" applyAlignment="1">
      <alignment horizontal="center"/>
    </xf>
    <xf numFmtId="0" fontId="10" fillId="12" borderId="1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/>
      <protection locked="0"/>
    </xf>
    <xf numFmtId="0" fontId="15" fillId="0" borderId="47" xfId="1" applyFont="1" applyBorder="1" applyAlignment="1">
      <alignment horizontal="center"/>
    </xf>
    <xf numFmtId="165" fontId="15" fillId="0" borderId="47" xfId="1" applyNumberFormat="1" applyFont="1" applyBorder="1" applyAlignment="1">
      <alignment horizontal="center"/>
    </xf>
    <xf numFmtId="0" fontId="55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10" fillId="0" borderId="1" xfId="0" applyFont="1" applyFill="1" applyBorder="1" applyAlignment="1" applyProtection="1">
      <alignment horizontal="center"/>
      <protection locked="0"/>
    </xf>
    <xf numFmtId="0" fontId="56" fillId="0" borderId="0" xfId="0" applyFont="1" applyAlignment="1"/>
    <xf numFmtId="0" fontId="28" fillId="0" borderId="0" xfId="0" applyFont="1" applyBorder="1" applyAlignment="1">
      <alignment vertical="top"/>
    </xf>
    <xf numFmtId="0" fontId="56" fillId="0" borderId="0" xfId="0" applyFont="1" applyBorder="1" applyAlignment="1"/>
    <xf numFmtId="0" fontId="0" fillId="14" borderId="0" xfId="0" applyFill="1"/>
    <xf numFmtId="14" fontId="29" fillId="0" borderId="1" xfId="0" applyNumberFormat="1" applyFont="1" applyBorder="1" applyAlignment="1" applyProtection="1">
      <alignment horizontal="center"/>
      <protection locked="0"/>
    </xf>
    <xf numFmtId="14" fontId="24" fillId="0" borderId="0" xfId="0" applyNumberFormat="1" applyFont="1" applyBorder="1" applyAlignment="1" applyProtection="1">
      <alignment horizontal="center"/>
      <protection locked="0"/>
    </xf>
    <xf numFmtId="14" fontId="2" fillId="2" borderId="19" xfId="0" applyNumberFormat="1" applyFont="1" applyFill="1" applyBorder="1" applyAlignment="1" applyProtection="1">
      <alignment horizontal="center" wrapText="1"/>
      <protection locked="0"/>
    </xf>
    <xf numFmtId="14" fontId="24" fillId="0" borderId="1" xfId="0" applyNumberFormat="1" applyFont="1" applyBorder="1" applyAlignment="1" applyProtection="1">
      <alignment horizontal="center"/>
      <protection locked="0"/>
    </xf>
    <xf numFmtId="14" fontId="2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49" fillId="0" borderId="0" xfId="1" applyFont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52" fillId="0" borderId="0" xfId="1" applyFont="1" applyBorder="1" applyAlignment="1">
      <alignment horizontal="left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7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 shrinkToFit="1"/>
    </xf>
    <xf numFmtId="0" fontId="1" fillId="0" borderId="0" xfId="1" applyBorder="1" applyAlignment="1">
      <alignment horizontal="left"/>
    </xf>
    <xf numFmtId="0" fontId="7" fillId="0" borderId="0" xfId="1" applyFont="1" applyBorder="1" applyAlignment="1">
      <alignment horizontal="left" vertical="center"/>
    </xf>
    <xf numFmtId="0" fontId="15" fillId="13" borderId="43" xfId="1" applyFont="1" applyFill="1" applyBorder="1" applyAlignment="1">
      <alignment horizontal="left"/>
    </xf>
    <xf numFmtId="0" fontId="15" fillId="13" borderId="42" xfId="1" applyFont="1" applyFill="1" applyBorder="1" applyAlignment="1">
      <alignment horizontal="left"/>
    </xf>
    <xf numFmtId="0" fontId="15" fillId="0" borderId="47" xfId="1" applyFont="1" applyBorder="1" applyAlignment="1">
      <alignment horizontal="left"/>
    </xf>
    <xf numFmtId="0" fontId="1" fillId="0" borderId="0" xfId="1" applyAlignment="1">
      <alignment horizontal="left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49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right" vertical="center"/>
    </xf>
    <xf numFmtId="0" fontId="3" fillId="0" borderId="0" xfId="1" applyFont="1" applyBorder="1" applyAlignment="1">
      <alignment horizontal="left" vertical="center"/>
    </xf>
    <xf numFmtId="0" fontId="51" fillId="0" borderId="0" xfId="1" applyFont="1" applyFill="1" applyBorder="1" applyAlignment="1">
      <alignment horizontal="right" vertical="center"/>
    </xf>
    <xf numFmtId="0" fontId="52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58" fillId="14" borderId="0" xfId="0" applyFont="1" applyFill="1" applyAlignment="1">
      <alignment horizontal="right" vertical="center"/>
    </xf>
    <xf numFmtId="0" fontId="58" fillId="14" borderId="0" xfId="0" applyFont="1" applyFill="1" applyAlignment="1">
      <alignment horizontal="left" vertical="center"/>
    </xf>
    <xf numFmtId="0" fontId="53" fillId="0" borderId="0" xfId="0" applyFont="1" applyBorder="1" applyAlignment="1">
      <alignment horizontal="left" vertical="center"/>
    </xf>
    <xf numFmtId="0" fontId="57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14" fontId="0" fillId="0" borderId="0" xfId="0" applyNumberFormat="1"/>
  </cellXfs>
  <cellStyles count="2">
    <cellStyle name="Normal" xfId="0" builtinId="0"/>
    <cellStyle name="Normal 2" xfId="1"/>
  </cellStyles>
  <dxfs count="100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ont>
        <b/>
        <i val="0"/>
      </font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3/25 10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3/25 10 2,5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 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Göteborg KK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990130, klass 63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Lifter 3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Göteborg KK</a:t>
          </a:fld>
          <a:endParaRPr lang="sv-SE" sz="48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63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Marklyft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Lifter 3</a:t>
          </a:fld>
          <a:endParaRPr lang="sv-SE" sz="7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8" dataDxfId="36" headerRowBorderDxfId="37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35"/>
    <tableColumn id="5" name="Lott" dataDxfId="34"/>
    <tableColumn id="2" name="Namn" dataDxfId="33"/>
    <tableColumn id="3" name="Klubb" dataDxfId="32"/>
    <tableColumn id="4" name="KV" dataDxfId="31"/>
    <tableColumn id="7" name="KB 1" dataDxfId="30"/>
    <tableColumn id="8" name="KB 2" dataDxfId="29"/>
    <tableColumn id="9" name="KB 3" dataDxfId="28"/>
    <tableColumn id="11" name="BP 1" dataDxfId="27"/>
    <tableColumn id="12" name="BP 2" dataDxfId="26"/>
    <tableColumn id="13" name="BP 3" dataDxfId="25"/>
    <tableColumn id="14" name="ML 1" dataDxfId="24"/>
    <tableColumn id="15" name="ML 2" dataDxfId="23"/>
    <tableColumn id="16" name="ML 3" dataDxfId="22"/>
    <tableColumn id="17" name="Total" dataDxfId="21"/>
    <tableColumn id="18" name="Wilks" totalsRowFunction="sum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showGridLines="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19" t="s">
        <v>197</v>
      </c>
      <c r="C3" s="320"/>
      <c r="D3" s="320"/>
      <c r="E3" s="320"/>
      <c r="F3" s="321"/>
      <c r="H3" s="305" t="s">
        <v>162</v>
      </c>
      <c r="I3" s="306"/>
      <c r="J3" s="307"/>
      <c r="K3" s="313" t="s">
        <v>163</v>
      </c>
      <c r="L3" s="314"/>
      <c r="M3" s="311" t="s">
        <v>177</v>
      </c>
      <c r="O3" s="289" t="s">
        <v>150</v>
      </c>
      <c r="P3" s="290"/>
      <c r="Q3" s="290"/>
      <c r="R3" s="291"/>
      <c r="W3" s="1" t="s">
        <v>62</v>
      </c>
    </row>
    <row r="4" spans="1:23" ht="13.5" customHeight="1" thickBot="1" x14ac:dyDescent="0.25">
      <c r="B4" s="322"/>
      <c r="C4" s="323"/>
      <c r="D4" s="323"/>
      <c r="E4" s="323"/>
      <c r="F4" s="324"/>
      <c r="H4" s="308"/>
      <c r="I4" s="309"/>
      <c r="J4" s="310"/>
      <c r="K4" s="315"/>
      <c r="L4" s="316"/>
      <c r="M4" s="312"/>
      <c r="O4" s="292"/>
      <c r="P4" s="293"/>
      <c r="Q4" s="293"/>
      <c r="R4" s="294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95" t="s">
        <v>152</v>
      </c>
      <c r="Q5" s="295"/>
      <c r="R5" s="296"/>
      <c r="W5" s="1" t="s">
        <v>64</v>
      </c>
    </row>
    <row r="6" spans="1:23" ht="13.5" customHeight="1" thickBot="1" x14ac:dyDescent="0.25">
      <c r="H6" s="9"/>
      <c r="I6" s="6">
        <f ca="1">ABS(Lifting!C2)</f>
        <v>145</v>
      </c>
      <c r="J6" s="10">
        <f ca="1">2*(J9*I9+J10*I10+J11*I11+J12*I12+J13*I13+J14*I14+J15*I15+J16*I16+J17*I17+J18*I18+J19*I19)+55</f>
        <v>55</v>
      </c>
      <c r="K6" s="9"/>
      <c r="L6" s="6">
        <f ca="1">I6</f>
        <v>145</v>
      </c>
      <c r="M6" s="10">
        <f ca="1">2*(M9*L9+M10*L10+M11*L11+M12*L12+M13*L13+M14*L14+M15*L15+M16*L16+M17*L17+M18*L18+M19*L19)+25</f>
        <v>145</v>
      </c>
      <c r="O6" s="11" t="s">
        <v>188</v>
      </c>
      <c r="P6" s="272" t="s">
        <v>189</v>
      </c>
      <c r="Q6" s="272"/>
      <c r="R6" s="273"/>
      <c r="W6" s="1" t="s">
        <v>65</v>
      </c>
    </row>
    <row r="7" spans="1:23" x14ac:dyDescent="0.2">
      <c r="B7" s="319" t="s">
        <v>61</v>
      </c>
      <c r="C7" s="320"/>
      <c r="D7" s="320"/>
      <c r="E7" s="320"/>
      <c r="F7" s="321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86"/>
      <c r="Q7" s="272"/>
      <c r="R7" s="273"/>
      <c r="W7" s="1"/>
    </row>
    <row r="8" spans="1:23" ht="13.5" thickBot="1" x14ac:dyDescent="0.25">
      <c r="B8" s="322"/>
      <c r="C8" s="323"/>
      <c r="D8" s="323"/>
      <c r="E8" s="323"/>
      <c r="F8" s="324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86"/>
      <c r="Q8" s="272"/>
      <c r="R8" s="273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86"/>
      <c r="Q9" s="272"/>
      <c r="R9" s="273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86"/>
      <c r="Q10" s="272"/>
      <c r="R10" s="273"/>
    </row>
    <row r="11" spans="1:23" x14ac:dyDescent="0.2">
      <c r="B11" s="14" t="s">
        <v>73</v>
      </c>
      <c r="C11" s="325" t="s">
        <v>74</v>
      </c>
      <c r="D11" s="326"/>
      <c r="E11" s="327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2</v>
      </c>
      <c r="O11" s="89"/>
      <c r="P11" s="286"/>
      <c r="Q11" s="272"/>
      <c r="R11" s="273"/>
    </row>
    <row r="12" spans="1:23" x14ac:dyDescent="0.2">
      <c r="B12" s="61" t="s">
        <v>75</v>
      </c>
      <c r="C12" s="267" t="s">
        <v>76</v>
      </c>
      <c r="D12" s="268"/>
      <c r="E12" s="269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9"/>
      <c r="P12" s="286"/>
      <c r="Q12" s="272"/>
      <c r="R12" s="273"/>
    </row>
    <row r="13" spans="1:23" x14ac:dyDescent="0.2">
      <c r="B13" s="61" t="s">
        <v>143</v>
      </c>
      <c r="C13" s="267" t="s">
        <v>144</v>
      </c>
      <c r="D13" s="268"/>
      <c r="E13" s="269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86"/>
      <c r="Q13" s="272"/>
      <c r="R13" s="273"/>
    </row>
    <row r="14" spans="1:23" x14ac:dyDescent="0.2">
      <c r="B14" s="61" t="s">
        <v>48</v>
      </c>
      <c r="C14" s="267" t="s">
        <v>174</v>
      </c>
      <c r="D14" s="268"/>
      <c r="E14" s="269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9"/>
      <c r="P14" s="286"/>
      <c r="Q14" s="272"/>
      <c r="R14" s="273"/>
    </row>
    <row r="15" spans="1:23" x14ac:dyDescent="0.2">
      <c r="B15" s="61" t="s">
        <v>161</v>
      </c>
      <c r="C15" s="267" t="s">
        <v>175</v>
      </c>
      <c r="D15" s="268"/>
      <c r="E15" s="269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86"/>
      <c r="Q15" s="272"/>
      <c r="R15" s="273"/>
    </row>
    <row r="16" spans="1:23" x14ac:dyDescent="0.2">
      <c r="B16" s="61"/>
      <c r="C16" s="267"/>
      <c r="D16" s="268"/>
      <c r="E16" s="269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0</v>
      </c>
      <c r="O16" s="89"/>
      <c r="P16" s="286"/>
      <c r="Q16" s="272"/>
      <c r="R16" s="273"/>
    </row>
    <row r="17" spans="2:19" x14ac:dyDescent="0.2">
      <c r="B17" s="61"/>
      <c r="C17" s="267"/>
      <c r="D17" s="268"/>
      <c r="E17" s="269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86"/>
      <c r="Q17" s="272"/>
      <c r="R17" s="273"/>
    </row>
    <row r="18" spans="2:19" x14ac:dyDescent="0.2">
      <c r="B18" s="61"/>
      <c r="C18" s="267"/>
      <c r="D18" s="268"/>
      <c r="E18" s="269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86"/>
      <c r="Q18" s="272"/>
      <c r="R18" s="273"/>
    </row>
    <row r="19" spans="2:19" x14ac:dyDescent="0.2">
      <c r="B19" s="61"/>
      <c r="C19" s="267"/>
      <c r="D19" s="268"/>
      <c r="E19" s="269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86"/>
      <c r="Q19" s="272"/>
      <c r="R19" s="273"/>
    </row>
    <row r="20" spans="2:19" x14ac:dyDescent="0.2">
      <c r="B20" s="61"/>
      <c r="C20" s="267"/>
      <c r="D20" s="268"/>
      <c r="E20" s="269"/>
      <c r="F20" s="62"/>
      <c r="H20" s="317" t="s">
        <v>176</v>
      </c>
      <c r="I20" s="318"/>
      <c r="J20" s="90">
        <v>55</v>
      </c>
      <c r="K20" s="287" t="s">
        <v>176</v>
      </c>
      <c r="L20" s="288"/>
      <c r="M20" s="91">
        <v>25</v>
      </c>
      <c r="O20" s="11"/>
      <c r="P20" s="272"/>
      <c r="Q20" s="272"/>
      <c r="R20" s="273"/>
    </row>
    <row r="21" spans="2:19" x14ac:dyDescent="0.2">
      <c r="B21" s="61"/>
      <c r="C21" s="267"/>
      <c r="D21" s="268"/>
      <c r="E21" s="269"/>
      <c r="F21" s="62"/>
      <c r="H21" s="297">
        <f>H9*I9+H10*I10+H11*I11+H12*I12+H13*I13+H14*I14+H15*I15+H16*I16+H17*I17+H18*I18+H19*I19+55</f>
        <v>1080</v>
      </c>
      <c r="I21" s="301" t="s">
        <v>77</v>
      </c>
      <c r="J21" s="302"/>
      <c r="K21" s="299">
        <f>K9*L9+K10*L10+K11*L11+K12*L12+K13*L13+K14*L14+K15*L15+K16*L16+K17*L17+K18*L18+K19*L19+25</f>
        <v>485</v>
      </c>
      <c r="L21" s="301" t="s">
        <v>78</v>
      </c>
      <c r="M21" s="302"/>
      <c r="O21" s="11"/>
      <c r="P21" s="272"/>
      <c r="Q21" s="272"/>
      <c r="R21" s="273"/>
    </row>
    <row r="22" spans="2:19" ht="13.5" thickBot="1" x14ac:dyDescent="0.25">
      <c r="B22" s="61"/>
      <c r="C22" s="267"/>
      <c r="D22" s="268"/>
      <c r="E22" s="269"/>
      <c r="F22" s="62"/>
      <c r="H22" s="298"/>
      <c r="I22" s="303"/>
      <c r="J22" s="304"/>
      <c r="K22" s="300"/>
      <c r="L22" s="303"/>
      <c r="M22" s="304"/>
      <c r="O22" s="11"/>
      <c r="P22" s="272"/>
      <c r="Q22" s="272"/>
      <c r="R22" s="273"/>
    </row>
    <row r="23" spans="2:19" ht="13.5" thickBot="1" x14ac:dyDescent="0.25">
      <c r="B23" s="61"/>
      <c r="C23" s="267"/>
      <c r="D23" s="268"/>
      <c r="E23" s="269"/>
      <c r="F23" s="62"/>
      <c r="K23" s="8"/>
      <c r="O23" s="11"/>
      <c r="P23" s="272"/>
      <c r="Q23" s="272"/>
      <c r="R23" s="273"/>
    </row>
    <row r="24" spans="2:19" x14ac:dyDescent="0.2">
      <c r="B24" s="61"/>
      <c r="C24" s="267"/>
      <c r="D24" s="268"/>
      <c r="E24" s="269"/>
      <c r="F24" s="62"/>
      <c r="K24" s="274" t="s">
        <v>79</v>
      </c>
      <c r="L24" s="275"/>
      <c r="M24" s="276"/>
      <c r="O24" s="11"/>
      <c r="P24" s="272"/>
      <c r="Q24" s="272"/>
      <c r="R24" s="273"/>
    </row>
    <row r="25" spans="2:19" ht="13.5" thickBot="1" x14ac:dyDescent="0.25">
      <c r="B25" s="61"/>
      <c r="C25" s="267"/>
      <c r="D25" s="268"/>
      <c r="E25" s="269"/>
      <c r="F25" s="62"/>
      <c r="I25" s="82"/>
      <c r="J25" s="82"/>
      <c r="K25" s="277"/>
      <c r="L25" s="278"/>
      <c r="M25" s="279"/>
      <c r="N25" s="18"/>
      <c r="O25" s="11"/>
      <c r="P25" s="272"/>
      <c r="Q25" s="272"/>
      <c r="R25" s="273"/>
      <c r="S25" s="18"/>
    </row>
    <row r="26" spans="2:19" x14ac:dyDescent="0.2">
      <c r="B26" s="61"/>
      <c r="C26" s="267"/>
      <c r="D26" s="268"/>
      <c r="E26" s="269"/>
      <c r="F26" s="62"/>
      <c r="G26" s="18"/>
      <c r="H26" s="82"/>
      <c r="I26" s="82"/>
      <c r="J26" s="82"/>
      <c r="K26" s="280" t="s">
        <v>187</v>
      </c>
      <c r="L26" s="281"/>
      <c r="M26" s="282"/>
      <c r="N26" s="18"/>
      <c r="O26" s="11"/>
      <c r="P26" s="272"/>
      <c r="Q26" s="272"/>
      <c r="R26" s="273"/>
      <c r="S26" s="18"/>
    </row>
    <row r="27" spans="2:19" ht="12.75" customHeight="1" thickBot="1" x14ac:dyDescent="0.25">
      <c r="B27" s="61"/>
      <c r="C27" s="267"/>
      <c r="D27" s="268"/>
      <c r="E27" s="269"/>
      <c r="F27" s="62"/>
      <c r="G27" s="19"/>
      <c r="I27" s="82"/>
      <c r="J27" s="82"/>
      <c r="K27" s="283"/>
      <c r="L27" s="284"/>
      <c r="M27" s="285"/>
      <c r="N27" s="18"/>
      <c r="O27" s="11"/>
      <c r="P27" s="272"/>
      <c r="Q27" s="272"/>
      <c r="R27" s="273"/>
      <c r="S27" s="18"/>
    </row>
    <row r="28" spans="2:19" ht="12.75" customHeight="1" x14ac:dyDescent="0.2">
      <c r="B28" s="61"/>
      <c r="C28" s="267"/>
      <c r="D28" s="268"/>
      <c r="E28" s="269"/>
      <c r="F28" s="62"/>
      <c r="G28" s="19"/>
      <c r="H28" s="82"/>
      <c r="I28" s="82"/>
      <c r="J28" s="82"/>
      <c r="N28" s="18"/>
      <c r="O28" s="11"/>
      <c r="P28" s="272"/>
      <c r="Q28" s="272"/>
      <c r="R28" s="273"/>
      <c r="S28" s="18"/>
    </row>
    <row r="29" spans="2:19" ht="13.5" customHeight="1" thickBot="1" x14ac:dyDescent="0.25">
      <c r="B29" s="61"/>
      <c r="C29" s="267"/>
      <c r="D29" s="268"/>
      <c r="E29" s="269"/>
      <c r="F29" s="62"/>
      <c r="G29" s="19"/>
      <c r="N29" s="18"/>
      <c r="O29" s="20"/>
      <c r="P29" s="270"/>
      <c r="Q29" s="270"/>
      <c r="R29" s="271"/>
      <c r="S29" s="18"/>
    </row>
    <row r="30" spans="2:19" x14ac:dyDescent="0.2">
      <c r="B30" s="61"/>
      <c r="C30" s="267"/>
      <c r="D30" s="268"/>
      <c r="E30" s="269"/>
      <c r="F30" s="62"/>
      <c r="K30" s="8"/>
    </row>
    <row r="31" spans="2:19" x14ac:dyDescent="0.2">
      <c r="B31" s="61"/>
      <c r="C31" s="267"/>
      <c r="D31" s="268"/>
      <c r="E31" s="269"/>
      <c r="F31" s="62"/>
      <c r="I31" s="82"/>
      <c r="J31" s="82"/>
      <c r="K31" s="8"/>
    </row>
    <row r="32" spans="2:19" x14ac:dyDescent="0.2">
      <c r="B32" s="61"/>
      <c r="C32" s="267"/>
      <c r="D32" s="268"/>
      <c r="E32" s="269"/>
      <c r="F32" s="62"/>
      <c r="H32" s="82"/>
      <c r="I32" s="82"/>
      <c r="J32" s="82"/>
      <c r="K32" s="8"/>
    </row>
    <row r="33" spans="2:11" x14ac:dyDescent="0.2">
      <c r="B33" s="61"/>
      <c r="C33" s="267"/>
      <c r="D33" s="268"/>
      <c r="E33" s="269"/>
      <c r="F33" s="62"/>
      <c r="K33" s="8"/>
    </row>
    <row r="34" spans="2:11" x14ac:dyDescent="0.2">
      <c r="B34" s="61"/>
      <c r="C34" s="267"/>
      <c r="D34" s="268"/>
      <c r="E34" s="269"/>
      <c r="F34" s="62"/>
    </row>
    <row r="35" spans="2:11" x14ac:dyDescent="0.2">
      <c r="B35" s="61"/>
      <c r="C35" s="267"/>
      <c r="D35" s="268"/>
      <c r="E35" s="269"/>
      <c r="F35" s="62"/>
    </row>
    <row r="36" spans="2:11" x14ac:dyDescent="0.2">
      <c r="B36" s="61"/>
      <c r="C36" s="267"/>
      <c r="D36" s="268"/>
      <c r="E36" s="269"/>
      <c r="F36" s="62"/>
      <c r="K36" s="8"/>
    </row>
    <row r="37" spans="2:11" x14ac:dyDescent="0.2">
      <c r="B37" s="61"/>
      <c r="C37" s="267"/>
      <c r="D37" s="268"/>
      <c r="E37" s="269"/>
      <c r="F37" s="62"/>
    </row>
    <row r="38" spans="2:11" x14ac:dyDescent="0.2">
      <c r="B38" s="61"/>
      <c r="C38" s="267"/>
      <c r="D38" s="268"/>
      <c r="E38" s="269"/>
      <c r="F38" s="62"/>
    </row>
    <row r="39" spans="2:11" x14ac:dyDescent="0.2">
      <c r="B39" s="61"/>
      <c r="C39" s="267"/>
      <c r="D39" s="268"/>
      <c r="E39" s="269"/>
      <c r="F39" s="62"/>
    </row>
    <row r="40" spans="2:11" x14ac:dyDescent="0.2">
      <c r="B40" s="61"/>
      <c r="C40" s="267"/>
      <c r="D40" s="268"/>
      <c r="E40" s="269"/>
      <c r="F40" s="62"/>
    </row>
    <row r="41" spans="2:11" x14ac:dyDescent="0.2">
      <c r="B41" s="61"/>
      <c r="C41" s="267"/>
      <c r="D41" s="268"/>
      <c r="E41" s="269"/>
      <c r="F41" s="62"/>
    </row>
    <row r="42" spans="2:11" x14ac:dyDescent="0.2">
      <c r="B42" s="61"/>
      <c r="C42" s="267"/>
      <c r="D42" s="268"/>
      <c r="E42" s="269"/>
      <c r="F42" s="62"/>
    </row>
    <row r="43" spans="2:11" x14ac:dyDescent="0.2">
      <c r="B43" s="61"/>
      <c r="C43" s="267"/>
      <c r="D43" s="268"/>
      <c r="E43" s="269"/>
      <c r="F43" s="62"/>
    </row>
    <row r="44" spans="2:11" x14ac:dyDescent="0.2">
      <c r="B44" s="61"/>
      <c r="C44" s="267"/>
      <c r="D44" s="268"/>
      <c r="E44" s="269"/>
      <c r="F44" s="62"/>
    </row>
    <row r="45" spans="2:11" x14ac:dyDescent="0.2">
      <c r="B45" s="61"/>
      <c r="C45" s="267"/>
      <c r="D45" s="268"/>
      <c r="E45" s="269"/>
      <c r="F45" s="62"/>
    </row>
    <row r="46" spans="2:11" x14ac:dyDescent="0.2">
      <c r="B46" s="61"/>
      <c r="C46" s="267"/>
      <c r="D46" s="268"/>
      <c r="E46" s="269"/>
      <c r="F46" s="62"/>
    </row>
    <row r="47" spans="2:11" x14ac:dyDescent="0.2">
      <c r="B47" s="61"/>
      <c r="C47" s="267"/>
      <c r="D47" s="268"/>
      <c r="E47" s="269"/>
      <c r="F47" s="62"/>
    </row>
    <row r="48" spans="2:11" x14ac:dyDescent="0.2">
      <c r="B48" s="61"/>
      <c r="C48" s="267"/>
      <c r="D48" s="268"/>
      <c r="E48" s="269"/>
      <c r="F48" s="62"/>
    </row>
    <row r="49" spans="2:6" x14ac:dyDescent="0.2">
      <c r="B49" s="61"/>
      <c r="C49" s="267"/>
      <c r="D49" s="268"/>
      <c r="E49" s="269"/>
      <c r="F49" s="62"/>
    </row>
    <row r="50" spans="2:6" x14ac:dyDescent="0.2">
      <c r="B50" s="61"/>
      <c r="C50" s="267"/>
      <c r="D50" s="268"/>
      <c r="E50" s="269"/>
      <c r="F50" s="62"/>
    </row>
    <row r="51" spans="2:6" x14ac:dyDescent="0.2">
      <c r="B51" s="61"/>
      <c r="C51" s="267"/>
      <c r="D51" s="268"/>
      <c r="E51" s="269"/>
      <c r="F51" s="62"/>
    </row>
    <row r="52" spans="2:6" x14ac:dyDescent="0.2">
      <c r="B52" s="61"/>
      <c r="C52" s="267"/>
      <c r="D52" s="268"/>
      <c r="E52" s="269"/>
      <c r="F52" s="62"/>
    </row>
    <row r="53" spans="2:6" x14ac:dyDescent="0.2">
      <c r="B53" s="61"/>
      <c r="C53" s="267"/>
      <c r="D53" s="268"/>
      <c r="E53" s="269"/>
      <c r="F53" s="62"/>
    </row>
    <row r="54" spans="2:6" x14ac:dyDescent="0.2">
      <c r="B54" s="61"/>
      <c r="C54" s="267"/>
      <c r="D54" s="268"/>
      <c r="E54" s="269"/>
      <c r="F54" s="62"/>
    </row>
    <row r="55" spans="2:6" x14ac:dyDescent="0.2">
      <c r="B55" s="61"/>
      <c r="C55" s="267"/>
      <c r="D55" s="268"/>
      <c r="E55" s="269"/>
      <c r="F55" s="62"/>
    </row>
    <row r="56" spans="2:6" x14ac:dyDescent="0.2">
      <c r="B56" s="61"/>
      <c r="C56" s="267"/>
      <c r="D56" s="268"/>
      <c r="E56" s="269"/>
      <c r="F56" s="62"/>
    </row>
    <row r="57" spans="2:6" x14ac:dyDescent="0.2">
      <c r="B57" s="61"/>
      <c r="C57" s="267"/>
      <c r="D57" s="268"/>
      <c r="E57" s="269"/>
      <c r="F57" s="62"/>
    </row>
    <row r="58" spans="2:6" x14ac:dyDescent="0.2">
      <c r="B58" s="61"/>
      <c r="C58" s="267"/>
      <c r="D58" s="268"/>
      <c r="E58" s="269"/>
      <c r="F58" s="62"/>
    </row>
    <row r="59" spans="2:6" x14ac:dyDescent="0.2">
      <c r="B59" s="61"/>
      <c r="C59" s="267"/>
      <c r="D59" s="268"/>
      <c r="E59" s="269"/>
      <c r="F59" s="62"/>
    </row>
    <row r="60" spans="2:6" x14ac:dyDescent="0.2">
      <c r="B60" s="61"/>
      <c r="C60" s="267"/>
      <c r="D60" s="268"/>
      <c r="E60" s="269"/>
      <c r="F60" s="62"/>
    </row>
    <row r="61" spans="2:6" x14ac:dyDescent="0.2">
      <c r="B61" s="61"/>
      <c r="C61" s="267"/>
      <c r="D61" s="268"/>
      <c r="E61" s="269"/>
      <c r="F61" s="62"/>
    </row>
    <row r="62" spans="2:6" x14ac:dyDescent="0.2">
      <c r="B62" s="61"/>
      <c r="C62" s="267"/>
      <c r="D62" s="268"/>
      <c r="E62" s="269"/>
      <c r="F62" s="62"/>
    </row>
    <row r="63" spans="2:6" x14ac:dyDescent="0.2">
      <c r="B63" s="61"/>
      <c r="C63" s="267"/>
      <c r="D63" s="268"/>
      <c r="E63" s="269"/>
      <c r="F63" s="62"/>
    </row>
    <row r="64" spans="2:6" x14ac:dyDescent="0.2">
      <c r="B64" s="61"/>
      <c r="C64" s="267"/>
      <c r="D64" s="268"/>
      <c r="E64" s="269"/>
      <c r="F64" s="62"/>
    </row>
    <row r="65" spans="2:6" x14ac:dyDescent="0.2">
      <c r="B65" s="61"/>
      <c r="C65" s="267"/>
      <c r="D65" s="268"/>
      <c r="E65" s="269"/>
      <c r="F65" s="62"/>
    </row>
    <row r="66" spans="2:6" x14ac:dyDescent="0.2">
      <c r="B66" s="61"/>
      <c r="C66" s="267"/>
      <c r="D66" s="268"/>
      <c r="E66" s="269"/>
      <c r="F66" s="62"/>
    </row>
    <row r="67" spans="2:6" x14ac:dyDescent="0.2">
      <c r="B67" s="61"/>
      <c r="C67" s="267"/>
      <c r="D67" s="268"/>
      <c r="E67" s="269"/>
      <c r="F67" s="62"/>
    </row>
    <row r="68" spans="2:6" x14ac:dyDescent="0.2">
      <c r="B68" s="61"/>
      <c r="C68" s="267"/>
      <c r="D68" s="268"/>
      <c r="E68" s="269"/>
      <c r="F68" s="62"/>
    </row>
    <row r="69" spans="2:6" x14ac:dyDescent="0.2">
      <c r="B69" s="61"/>
      <c r="C69" s="267"/>
      <c r="D69" s="268"/>
      <c r="E69" s="269"/>
      <c r="F69" s="62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9" priority="7" stopIfTrue="1" operator="equal">
      <formula>"Color"</formula>
    </cfRule>
  </conditionalFormatting>
  <conditionalFormatting sqref="H5:J19 H21:J22">
    <cfRule type="expression" dxfId="98" priority="3" stopIfTrue="1">
      <formula>AND($M$3="Kg")</formula>
    </cfRule>
  </conditionalFormatting>
  <conditionalFormatting sqref="K5:M19 K21:M22 K20">
    <cfRule type="expression" dxfId="97" priority="4" stopIfTrue="1">
      <formula>AND($M$3="Lb")</formula>
    </cfRule>
  </conditionalFormatting>
  <conditionalFormatting sqref="H20:J20">
    <cfRule type="expression" dxfId="96" priority="2" stopIfTrue="1">
      <formula>AND($M$3="Kg")</formula>
    </cfRule>
  </conditionalFormatting>
  <conditionalFormatting sqref="M20">
    <cfRule type="expression" dxfId="95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21" workbookViewId="0">
      <selection activeCell="A41" sqref="A41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224</v>
      </c>
      <c r="D35" s="5" t="str">
        <f>IF(Lifting!$C$4="Squat 1","Knäböj 1","")</f>
        <v/>
      </c>
      <c r="I35" t="s">
        <v>221</v>
      </c>
      <c r="L35" s="5"/>
      <c r="M35" s="5"/>
      <c r="O35" s="94" t="s">
        <v>184</v>
      </c>
      <c r="P35" s="5"/>
      <c r="Q35" s="5">
        <f>[2]Setup!D32</f>
        <v>55</v>
      </c>
      <c r="R35" s="5"/>
    </row>
    <row r="36" spans="1:18" x14ac:dyDescent="0.2">
      <c r="A36" s="372">
        <f ca="1">INDIRECT(ADDRESS(Lifting!AY5,9,,,"Lifting"))</f>
        <v>36190</v>
      </c>
      <c r="D36" s="5" t="str">
        <f>IF(Lifting!$C$4="Squat 2","Knäböj 2","")</f>
        <v/>
      </c>
      <c r="I36" t="s">
        <v>222</v>
      </c>
      <c r="J36" t="b">
        <f>IF(LEFT(Lifting!C4,5)="Squat",TRUE,FALSE)</f>
        <v>0</v>
      </c>
      <c r="K36" t="str">
        <f ca="1">IF(AND(J36,Lifting!BI2),Lifting!K9,IF(AND(J36,NOT(Lifting!AY5=Lifting!BB6)),INDIRECT(ADDRESS(Lifting!AY5+1,11,,,"Lifting")),""))</f>
        <v/>
      </c>
      <c r="L36" s="5"/>
      <c r="M36" s="5"/>
      <c r="O36" s="94" t="s">
        <v>185</v>
      </c>
      <c r="Q36" s="5">
        <f>[2]Setup!G32</f>
        <v>25</v>
      </c>
      <c r="R36" s="5"/>
    </row>
    <row r="37" spans="1:18" x14ac:dyDescent="0.2">
      <c r="A37" t="s">
        <v>225</v>
      </c>
      <c r="D37" s="5" t="str">
        <f>IF(Lifting!$C$4="Squat 3","Knäböj 3","")</f>
        <v/>
      </c>
      <c r="I37" t="s">
        <v>223</v>
      </c>
      <c r="J37" t="b">
        <f>IF(LEFT(Lifting!C4,5)="Bench",TRUE,FALSE)</f>
        <v>0</v>
      </c>
      <c r="K37" t="str">
        <f ca="1">IF(AND(J37,Lifting!BI2),Lifting!P9,IF(AND(J37,NOT(Lifting!AY5=Lifting!BB6)),INDIRECT(ADDRESS(Lifting!AY5+1,16,,,"Lifting")),""))</f>
        <v/>
      </c>
      <c r="L37" s="5"/>
      <c r="M37" s="5"/>
      <c r="P37" s="5"/>
      <c r="Q37" s="5"/>
      <c r="R37" s="5"/>
    </row>
    <row r="38" spans="1:18" x14ac:dyDescent="0.2">
      <c r="A38" s="238">
        <f ca="1">INDIRECT(ADDRESS(Lifting!AY5,6,,,"Lifting"))</f>
        <v>63</v>
      </c>
      <c r="B38" t="str">
        <f ca="1">CONCATENATE("Klass ",A38," kg")</f>
        <v>Klass 63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3/25 10 2,5</v>
      </c>
      <c r="P38" s="5"/>
      <c r="Q38" s="5"/>
      <c r="R38" s="94" t="str">
        <f ca="1">IF(O38="","",CONCATENATE("Nästa vikt:",RIGHT(O38,LEN(O38)-13)))</f>
        <v>Nästa vikt: 3/25 10 2,5</v>
      </c>
    </row>
    <row r="39" spans="1:18" x14ac:dyDescent="0.2">
      <c r="A39" t="s">
        <v>226</v>
      </c>
      <c r="D39" s="5" t="str">
        <f>IF(Lifting!$C$4="Bench Press 2","Bänkpress 2","")</f>
        <v/>
      </c>
      <c r="O39" t="str">
        <f ca="1">IF(AND(K36="",K37=""),"",CONCATENATE("Next Rack: ",K36,K37))</f>
        <v/>
      </c>
      <c r="R39" s="94" t="str">
        <f ca="1">IF(O39="","",CONCATENATE("Nästa höjd: ",TRIM(RIGHT(O39,LEN(O39)-10))))</f>
        <v/>
      </c>
    </row>
    <row r="40" spans="1:18" x14ac:dyDescent="0.2">
      <c r="A40" t="str">
        <f ca="1">IF(A36="","",CONCATENATE(RIGHT(YEAR(A36),2),TEXT(A36,"MM"),TEXT(A36,"DD"),", klass ",A38," kg"))</f>
        <v>990130, klass 63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>Marklyft 1</v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Marklyft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2"/>
  <sheetViews>
    <sheetView showGridLines="0" workbookViewId="0">
      <selection activeCell="A3" sqref="A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12.28515625" style="247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245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246" t="s">
        <v>227</v>
      </c>
      <c r="H2" s="114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1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N3" s="110"/>
      <c r="O3" s="110"/>
      <c r="P3" s="110"/>
      <c r="Q3" s="110"/>
      <c r="R3" s="111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</sheetData>
  <sheetProtection sheet="1" objects="1" scenarios="1"/>
  <phoneticPr fontId="0" type="noConversion"/>
  <conditionalFormatting sqref="A2:M65515">
    <cfRule type="expression" dxfId="94" priority="1" stopIfTrue="1">
      <formula>AND(ROW(A2)=$Z$1,COLUMN(A2)=$Z$2)</formula>
    </cfRule>
    <cfRule type="expression" dxfId="93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69:N65515 N3:N41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5"/>
    <dataValidation type="list" allowBlank="1" showInputMessage="1" showErrorMessage="1" sqref="A3:A65515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5 I3:I65515">
      <formula1>AND(MOD(I3,IF($P$2="Lb",5,2.5))=0)</formula1>
    </dataValidation>
    <dataValidation type="list" allowBlank="1" showInputMessage="1" showErrorMessage="1" sqref="D3:D65515">
      <formula1>INDIRECT($R$2)</formula1>
    </dataValidation>
    <dataValidation type="list" allowBlank="1" showInputMessage="1" showErrorMessage="1" sqref="C3:C65515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3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38" customWidth="1"/>
    <col min="2" max="2" width="17.7109375" style="201" customWidth="1"/>
    <col min="3" max="3" width="9.7109375" style="128" customWidth="1"/>
    <col min="4" max="4" width="6.5703125" style="138" customWidth="1"/>
    <col min="5" max="5" width="6.28515625" style="138" customWidth="1"/>
    <col min="6" max="6" width="6.7109375" style="128" customWidth="1"/>
    <col min="7" max="7" width="6" style="138" customWidth="1"/>
    <col min="8" max="8" width="6.28515625" style="128" hidden="1" customWidth="1"/>
    <col min="9" max="9" width="10.140625" style="202" hidden="1" customWidth="1"/>
    <col min="10" max="10" width="6.28515625" style="128" hidden="1" customWidth="1"/>
    <col min="11" max="11" width="5.28515625" style="138" customWidth="1"/>
    <col min="12" max="14" width="7.5703125" style="203" customWidth="1"/>
    <col min="15" max="15" width="7.5703125" style="138" hidden="1" customWidth="1"/>
    <col min="16" max="16" width="5.28515625" style="204" customWidth="1"/>
    <col min="17" max="19" width="7.5703125" style="138" customWidth="1"/>
    <col min="20" max="20" width="7.5703125" style="138" hidden="1" customWidth="1"/>
    <col min="21" max="21" width="6.5703125" style="138" customWidth="1"/>
    <col min="22" max="24" width="6.85546875" style="138" customWidth="1"/>
    <col min="25" max="25" width="7.140625" style="138" hidden="1" customWidth="1"/>
    <col min="26" max="26" width="7.5703125" style="138" customWidth="1"/>
    <col min="27" max="27" width="10.28515625" style="138" customWidth="1"/>
    <col min="28" max="28" width="10.28515625" style="138" hidden="1" customWidth="1"/>
    <col min="29" max="29" width="5.7109375" style="138" hidden="1" customWidth="1"/>
    <col min="30" max="30" width="13.42578125" style="138" hidden="1" customWidth="1"/>
    <col min="31" max="31" width="9.140625" style="138" hidden="1" customWidth="1"/>
    <col min="32" max="33" width="9.140625" style="128" hidden="1" customWidth="1"/>
    <col min="34" max="34" width="18.5703125" style="205" hidden="1" customWidth="1"/>
    <col min="35" max="35" width="6" style="138" hidden="1" customWidth="1"/>
    <col min="36" max="36" width="6.42578125" style="138" hidden="1" customWidth="1"/>
    <col min="37" max="37" width="9" style="138" hidden="1" customWidth="1"/>
    <col min="38" max="38" width="7" style="138" hidden="1" customWidth="1"/>
    <col min="39" max="39" width="9.140625" style="128" hidden="1" customWidth="1"/>
    <col min="40" max="43" width="5.85546875" style="194" hidden="1" customWidth="1"/>
    <col min="44" max="47" width="9.140625" style="128" hidden="1" customWidth="1"/>
    <col min="48" max="48" width="20" style="195" hidden="1" customWidth="1"/>
    <col min="49" max="49" width="6.7109375" style="128" hidden="1" customWidth="1"/>
    <col min="50" max="63" width="9.140625" style="128" hidden="1" customWidth="1"/>
    <col min="64" max="66" width="6.85546875" style="128" hidden="1" customWidth="1"/>
    <col min="67" max="67" width="11.5703125" style="197" hidden="1" customWidth="1"/>
    <col min="68" max="68" width="9.140625" style="128" hidden="1" customWidth="1"/>
    <col min="69" max="71" width="6.85546875" style="128" hidden="1" customWidth="1"/>
    <col min="72" max="72" width="11.5703125" style="197" hidden="1" customWidth="1"/>
    <col min="73" max="73" width="9.140625" style="128" hidden="1" customWidth="1"/>
    <col min="74" max="76" width="6.85546875" style="128" hidden="1" customWidth="1"/>
    <col min="77" max="78" width="11.5703125" style="197" hidden="1" customWidth="1"/>
    <col min="79" max="79" width="12" style="128" hidden="1" customWidth="1"/>
    <col min="80" max="95" width="9.140625" style="128" customWidth="1"/>
    <col min="96" max="16384" width="9.140625" style="128"/>
  </cols>
  <sheetData>
    <row r="1" spans="1:125" ht="50.25" customHeight="1" x14ac:dyDescent="0.2">
      <c r="A1" s="337" t="s">
        <v>200</v>
      </c>
      <c r="B1" s="338"/>
      <c r="C1" s="338"/>
      <c r="D1" s="338"/>
      <c r="E1" s="338"/>
      <c r="F1" s="338"/>
      <c r="G1" s="338"/>
      <c r="H1" s="115"/>
      <c r="I1" s="116"/>
      <c r="J1" s="115"/>
      <c r="K1" s="117"/>
      <c r="L1" s="118"/>
      <c r="M1" s="118"/>
      <c r="N1" s="118"/>
      <c r="O1" s="117"/>
      <c r="P1" s="119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5"/>
      <c r="AG1" s="115"/>
      <c r="AH1" s="120"/>
      <c r="AI1" s="117"/>
      <c r="AJ1" s="117"/>
      <c r="AK1" s="117"/>
      <c r="AL1" s="117"/>
      <c r="AM1" s="115"/>
      <c r="AN1" s="121"/>
      <c r="AO1" s="121"/>
      <c r="AP1" s="121"/>
      <c r="AQ1" s="121"/>
      <c r="AR1" s="115"/>
      <c r="AS1" s="122" t="str">
        <f>CONCATENATE("Lists!E2:E",IF(Lists!E1=1,11,IF(OR(Lists!E1=4,Lists!E1=3,Lists!E1=2),5,8)))</f>
        <v>Lists!E2:E11</v>
      </c>
      <c r="AT1" s="115"/>
      <c r="AU1" s="115"/>
      <c r="AV1" s="123">
        <f ca="1">COUNTIF(INDIRECT("AU1:AU200"),1)</f>
        <v>4</v>
      </c>
      <c r="AW1" s="124"/>
      <c r="AX1" s="115"/>
      <c r="AY1" s="115"/>
      <c r="AZ1" s="125"/>
      <c r="BA1" s="126" t="s">
        <v>23</v>
      </c>
      <c r="BB1" s="126" t="s">
        <v>24</v>
      </c>
      <c r="BC1" s="126" t="s">
        <v>25</v>
      </c>
      <c r="BD1" s="126" t="s">
        <v>43</v>
      </c>
      <c r="BE1" s="126" t="s">
        <v>44</v>
      </c>
      <c r="BF1" s="126" t="s">
        <v>45</v>
      </c>
      <c r="BG1" s="126" t="s">
        <v>46</v>
      </c>
      <c r="BH1" s="126" t="s">
        <v>47</v>
      </c>
      <c r="BI1" s="237" t="s">
        <v>220</v>
      </c>
      <c r="BJ1" s="115"/>
      <c r="BK1" s="115"/>
      <c r="BL1" s="115">
        <v>1</v>
      </c>
      <c r="BM1" s="115"/>
      <c r="BN1" s="115"/>
      <c r="BO1" s="127"/>
      <c r="BP1" s="115"/>
      <c r="BQ1" s="115"/>
      <c r="BR1" s="115"/>
      <c r="BS1" s="115"/>
      <c r="BT1" s="127"/>
      <c r="BU1" s="115"/>
      <c r="BV1" s="115"/>
      <c r="BW1" s="115"/>
      <c r="BX1" s="115"/>
      <c r="BY1" s="127"/>
      <c r="BZ1" s="127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</row>
    <row r="2" spans="1:125" ht="25.5" customHeight="1" x14ac:dyDescent="0.2">
      <c r="A2" s="333" t="str">
        <f ca="1">CONCATENATE(INDIRECT(ADDRESS(AY5,6)),IF(F7="WtCls (lb)"," lb cls"," kg cls"))</f>
        <v>63 kg cls</v>
      </c>
      <c r="B2" s="334"/>
      <c r="C2" s="340">
        <f ca="1">INDIRECT(AY4)</f>
        <v>145</v>
      </c>
      <c r="D2" s="341"/>
      <c r="E2" s="344" t="str">
        <f>Setup!M3</f>
        <v>Kg</v>
      </c>
      <c r="F2" s="346">
        <f ca="1">ROUND(IF(E2="kg",C2*2.2046,C2/2.2046),1)</f>
        <v>319.7</v>
      </c>
      <c r="G2" s="347"/>
      <c r="H2" s="115"/>
      <c r="I2" s="116"/>
      <c r="J2" s="115"/>
      <c r="K2" s="117"/>
      <c r="L2" s="118"/>
      <c r="M2" s="118"/>
      <c r="N2" s="118"/>
      <c r="O2" s="117"/>
      <c r="P2" s="119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5"/>
      <c r="AG2" s="115"/>
      <c r="AH2" s="120"/>
      <c r="AI2" s="117"/>
      <c r="AJ2" s="117"/>
      <c r="AK2" s="117"/>
      <c r="AL2" s="117"/>
      <c r="AM2" s="115"/>
      <c r="AN2" s="121"/>
      <c r="AO2" s="121"/>
      <c r="AP2" s="121"/>
      <c r="AQ2" s="121"/>
      <c r="AR2" s="115"/>
      <c r="AS2" s="117" t="str">
        <f ca="1">CONCATENATE("B9:B",BA6)</f>
        <v>B9:B11</v>
      </c>
      <c r="AT2" s="129" t="s">
        <v>129</v>
      </c>
      <c r="AU2" s="117" t="s">
        <v>110</v>
      </c>
      <c r="AV2" s="130"/>
      <c r="AW2" s="124"/>
      <c r="AX2" s="115"/>
      <c r="AY2" s="115"/>
      <c r="AZ2" s="115"/>
      <c r="BA2" s="126">
        <f>IF(BA1=RIGHT($A$7,1),0,BH2+1)</f>
        <v>0</v>
      </c>
      <c r="BB2" s="126">
        <f t="shared" ref="BB2:BH2" si="0">IF(BB1=RIGHT($A$7,1),0,BA2+1)</f>
        <v>1</v>
      </c>
      <c r="BC2" s="126">
        <f t="shared" si="0"/>
        <v>2</v>
      </c>
      <c r="BD2" s="126">
        <f t="shared" si="0"/>
        <v>3</v>
      </c>
      <c r="BE2" s="126">
        <f t="shared" si="0"/>
        <v>4</v>
      </c>
      <c r="BF2" s="126">
        <f t="shared" si="0"/>
        <v>5</v>
      </c>
      <c r="BG2" s="126">
        <f t="shared" si="0"/>
        <v>6</v>
      </c>
      <c r="BH2" s="126">
        <f t="shared" si="0"/>
        <v>7</v>
      </c>
      <c r="BI2" s="131" t="b">
        <f ca="1">IF(AND(AY5=BB6,OR(BD4=12,BD4=13,BD4=17,BD4=18,BD4=22,BD4=23)),TRUE)</f>
        <v>0</v>
      </c>
      <c r="BJ2" s="115"/>
      <c r="BK2" s="115"/>
      <c r="BL2" s="115">
        <v>1</v>
      </c>
      <c r="BM2" s="115"/>
      <c r="BN2" s="115"/>
      <c r="BO2" s="127"/>
      <c r="BP2" s="115"/>
      <c r="BQ2" s="115"/>
      <c r="BR2" s="115"/>
      <c r="BS2" s="115"/>
      <c r="BT2" s="127"/>
      <c r="BU2" s="115"/>
      <c r="BV2" s="115"/>
      <c r="BW2" s="115"/>
      <c r="BX2" s="115"/>
      <c r="BY2" s="127"/>
      <c r="BZ2" s="127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</row>
    <row r="3" spans="1:125" ht="25.5" customHeight="1" x14ac:dyDescent="0.2">
      <c r="A3" s="330" t="str">
        <f ca="1">INDIRECT(CONCATENATE("Setup!C",MATCH(INDIRECT(ADDRESS(AY5,4)),Setup!B:B,0)))</f>
        <v>Open Women</v>
      </c>
      <c r="B3" s="330"/>
      <c r="C3" s="342"/>
      <c r="D3" s="343"/>
      <c r="E3" s="345"/>
      <c r="F3" s="348" t="str">
        <f>IF(E2="Kg","Pounds", "Kilograms")</f>
        <v>Pounds</v>
      </c>
      <c r="G3" s="349"/>
      <c r="H3" s="115"/>
      <c r="I3" s="116"/>
      <c r="J3" s="115"/>
      <c r="K3" s="117"/>
      <c r="L3" s="118"/>
      <c r="M3" s="118"/>
      <c r="N3" s="118"/>
      <c r="O3" s="117"/>
      <c r="P3" s="119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5"/>
      <c r="AG3" s="115"/>
      <c r="AH3" s="120"/>
      <c r="AI3" s="117"/>
      <c r="AJ3" s="117"/>
      <c r="AK3" s="117"/>
      <c r="AL3" s="117"/>
      <c r="AM3" s="115"/>
      <c r="AN3" s="121"/>
      <c r="AO3" s="121"/>
      <c r="AP3" s="121"/>
      <c r="AQ3" s="121"/>
      <c r="AR3" s="115"/>
      <c r="AS3" s="122" t="str">
        <f>CONCATENATE("Setup!B12:B",COUNTA(Setup!B:B)+8)</f>
        <v>Setup!B12:B15</v>
      </c>
      <c r="AT3" s="129" t="s">
        <v>12</v>
      </c>
      <c r="AU3" s="117" t="s">
        <v>118</v>
      </c>
      <c r="AV3" s="132" t="s">
        <v>113</v>
      </c>
      <c r="AW3" s="133"/>
      <c r="AX3" s="133"/>
      <c r="AY3" s="134" t="s">
        <v>112</v>
      </c>
      <c r="AZ3" s="115"/>
      <c r="BA3" s="135" t="s">
        <v>50</v>
      </c>
      <c r="BB3" s="122" t="s">
        <v>7</v>
      </c>
      <c r="BC3" s="115"/>
      <c r="BD3" s="134" t="s">
        <v>55</v>
      </c>
      <c r="BE3" s="134" t="s">
        <v>51</v>
      </c>
      <c r="BF3" s="134" t="s">
        <v>54</v>
      </c>
      <c r="BG3" s="134" t="s">
        <v>149</v>
      </c>
      <c r="BH3" s="115"/>
      <c r="BI3" s="115" t="b">
        <f ca="1">IF(AND(AY5=BD6,OR(BD4=12,BD4=13)),TRUE)</f>
        <v>0</v>
      </c>
      <c r="BJ3" s="115"/>
      <c r="BK3" s="115"/>
      <c r="BL3" s="115">
        <v>1</v>
      </c>
      <c r="BM3" s="115"/>
      <c r="BN3" s="115"/>
      <c r="BO3" s="127"/>
      <c r="BP3" s="115"/>
      <c r="BQ3" s="115"/>
      <c r="BR3" s="115"/>
      <c r="BS3" s="115"/>
      <c r="BT3" s="127"/>
      <c r="BU3" s="115"/>
      <c r="BV3" s="115"/>
      <c r="BW3" s="115"/>
      <c r="BX3" s="115"/>
      <c r="BY3" s="127"/>
      <c r="BZ3" s="127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</row>
    <row r="4" spans="1:125" ht="25.5" customHeight="1" x14ac:dyDescent="0.2">
      <c r="A4" s="331" t="str">
        <f ca="1">OFFSET(Setup!P1,MATCH(INDIRECT(ADDRESS(AY5,3)),Setup!O:O,0)-1,0)</f>
        <v>Göteborg KK</v>
      </c>
      <c r="B4" s="332"/>
      <c r="C4" s="335" t="s">
        <v>38</v>
      </c>
      <c r="D4" s="336"/>
      <c r="E4" s="336"/>
      <c r="F4" s="339" t="str">
        <f ca="1">CONCATENATE(IF(BD4&lt;20,"Rack = ","Total = "),INDIRECT(ADDRESS(AY5,IF(LEFT(C4,1)="S",11,IF(LEFT(C4,1)="B",16,26)))))</f>
        <v>Total = 330</v>
      </c>
      <c r="G4" s="339"/>
      <c r="H4" s="115"/>
      <c r="I4" s="116"/>
      <c r="J4" s="115"/>
      <c r="K4" s="117"/>
      <c r="L4" s="118"/>
      <c r="M4" s="118"/>
      <c r="N4" s="118"/>
      <c r="O4" s="117"/>
      <c r="P4" s="119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5"/>
      <c r="AG4" s="115"/>
      <c r="AH4" s="120"/>
      <c r="AI4" s="117"/>
      <c r="AJ4" s="117"/>
      <c r="AK4" s="117"/>
      <c r="AL4" s="117"/>
      <c r="AM4" s="115"/>
      <c r="AN4" s="121"/>
      <c r="AO4" s="121"/>
      <c r="AP4" s="121"/>
      <c r="AQ4" s="121"/>
      <c r="AR4" s="115"/>
      <c r="AS4" s="122" t="str">
        <f>CONCATENATE("Setup!O6:O",COUNTA(Setup!O:O)+3)</f>
        <v>Setup!O6:O6</v>
      </c>
      <c r="AT4" s="129" t="s">
        <v>21</v>
      </c>
      <c r="AU4" s="117" t="s">
        <v>119</v>
      </c>
      <c r="AV4" s="132" t="s">
        <v>114</v>
      </c>
      <c r="AW4" s="115"/>
      <c r="AX4" s="115"/>
      <c r="AY4" s="117" t="str">
        <f ca="1">ADDRESS(MATCH(A1,INDIRECT(AS2),0)+8,BD4)</f>
        <v>$V$9</v>
      </c>
      <c r="AZ4" s="115"/>
      <c r="BA4" s="117" t="str">
        <f ca="1">CONCATENATE("B",$BA$5,":","B",BA6)</f>
        <v>B9:B11</v>
      </c>
      <c r="BB4" s="135">
        <v>22</v>
      </c>
      <c r="BC4" s="136" t="s">
        <v>57</v>
      </c>
      <c r="BD4" s="117">
        <f ca="1">OFFSET(Lists!C1,MATCH(C4,Attempts,0),0)</f>
        <v>22</v>
      </c>
      <c r="BE4" s="117" t="s">
        <v>23</v>
      </c>
      <c r="BF4" s="122" t="str">
        <f>CONCATENATE("$A$",BF5,":$A$",BF6)</f>
        <v>$A$9:$A$12</v>
      </c>
      <c r="BG4" s="117">
        <f>IF(C4="Squat 3",17,22)</f>
        <v>22</v>
      </c>
      <c r="BH4" s="115"/>
      <c r="BI4" s="115" t="b">
        <f ca="1">IF(AND(AY5=BD6,OR(BD4=17,BD4=18)),TRUE)</f>
        <v>0</v>
      </c>
      <c r="BJ4" s="115"/>
      <c r="BK4" s="115"/>
      <c r="BL4" s="115">
        <v>1</v>
      </c>
      <c r="BM4" s="115"/>
      <c r="BN4" s="115"/>
      <c r="BO4" s="127"/>
      <c r="BP4" s="115"/>
      <c r="BQ4" s="115"/>
      <c r="BR4" s="115"/>
      <c r="BS4" s="115"/>
      <c r="BT4" s="127"/>
      <c r="BU4" s="115"/>
      <c r="BV4" s="115"/>
      <c r="BW4" s="115"/>
      <c r="BX4" s="115"/>
      <c r="BY4" s="127"/>
      <c r="BZ4" s="127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</row>
    <row r="5" spans="1:125" ht="25.5" customHeight="1" x14ac:dyDescent="0.2">
      <c r="A5" s="328" t="s">
        <v>164</v>
      </c>
      <c r="B5" s="329"/>
      <c r="C5" s="137"/>
      <c r="E5" s="139"/>
      <c r="F5" s="140" t="s">
        <v>6</v>
      </c>
      <c r="G5" s="141" t="s">
        <v>166</v>
      </c>
      <c r="H5" s="115"/>
      <c r="I5" s="116"/>
      <c r="J5" s="115"/>
      <c r="K5" s="117"/>
      <c r="L5" s="118"/>
      <c r="M5" s="118"/>
      <c r="N5" s="118"/>
      <c r="O5" s="117"/>
      <c r="P5" s="119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5"/>
      <c r="AG5" s="115"/>
      <c r="AH5" s="120"/>
      <c r="AI5" s="117"/>
      <c r="AJ5" s="117"/>
      <c r="AK5" s="117"/>
      <c r="AL5" s="117"/>
      <c r="AM5" s="115">
        <f ca="1">INDIRECT(ADDRESS(AY5,36))</f>
        <v>1511</v>
      </c>
      <c r="AN5" s="121"/>
      <c r="AO5" s="121"/>
      <c r="AP5" s="121"/>
      <c r="AQ5" s="121"/>
      <c r="AR5" s="115"/>
      <c r="AS5" s="115"/>
      <c r="AT5" s="129" t="s">
        <v>22</v>
      </c>
      <c r="AU5" s="117" t="s">
        <v>120</v>
      </c>
      <c r="AV5" s="142"/>
      <c r="AW5" s="135" t="s">
        <v>42</v>
      </c>
      <c r="AX5" s="117">
        <v>275</v>
      </c>
      <c r="AY5" s="117">
        <f ca="1">MATCH(A1,INDIRECT(AS2),0)+8</f>
        <v>9</v>
      </c>
      <c r="AZ5" s="117" t="s">
        <v>23</v>
      </c>
      <c r="BA5" s="117">
        <v>9</v>
      </c>
      <c r="BB5" s="135">
        <v>9</v>
      </c>
      <c r="BC5" s="136" t="s">
        <v>58</v>
      </c>
      <c r="BD5" s="117">
        <f ca="1">IF(BD4&lt;20,IF(BD4&lt;15,15,20),25)</f>
        <v>25</v>
      </c>
      <c r="BE5" s="117">
        <f ca="1">MATCH($BE$4,INDIRECT(BF4),0)+8</f>
        <v>9</v>
      </c>
      <c r="BF5" s="117">
        <v>9</v>
      </c>
      <c r="BG5" s="117">
        <f>BB6+1</f>
        <v>13</v>
      </c>
      <c r="BH5" s="115"/>
      <c r="BI5" s="115"/>
      <c r="BJ5" s="115"/>
      <c r="BK5" s="115"/>
      <c r="BL5" s="115">
        <v>1</v>
      </c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43"/>
      <c r="CA5" s="144">
        <f ca="1">NOW()-TODAY()</f>
        <v>0.57725810185365845</v>
      </c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</row>
    <row r="6" spans="1:125" s="137" customFormat="1" ht="25.5" hidden="1" customHeight="1" x14ac:dyDescent="0.2">
      <c r="A6" s="145"/>
      <c r="B6" s="146"/>
      <c r="C6" s="147"/>
      <c r="D6" s="148"/>
      <c r="E6" s="148"/>
      <c r="F6" s="149"/>
      <c r="G6" s="150"/>
      <c r="H6" s="151"/>
      <c r="I6" s="152"/>
      <c r="J6" s="151"/>
      <c r="K6" s="153"/>
      <c r="L6" s="154"/>
      <c r="M6" s="154"/>
      <c r="N6" s="154"/>
      <c r="O6" s="153"/>
      <c r="P6" s="155"/>
      <c r="Q6" s="153"/>
      <c r="R6" s="153"/>
      <c r="S6" s="153"/>
      <c r="T6" s="153"/>
      <c r="U6" s="153"/>
      <c r="V6" s="153"/>
      <c r="W6" s="156"/>
      <c r="X6" s="157"/>
      <c r="Y6" s="158"/>
      <c r="Z6" s="153"/>
      <c r="AA6" s="153"/>
      <c r="AB6" s="153"/>
      <c r="AC6" s="153"/>
      <c r="AD6" s="153"/>
      <c r="AE6" s="151"/>
      <c r="AF6" s="151"/>
      <c r="AG6" s="151"/>
      <c r="AH6" s="159"/>
      <c r="AI6" s="153"/>
      <c r="AJ6" s="153"/>
      <c r="AK6" s="153"/>
      <c r="AL6" s="153"/>
      <c r="AM6" s="151"/>
      <c r="AN6" s="160"/>
      <c r="AO6" s="160"/>
      <c r="AP6" s="160"/>
      <c r="AQ6" s="160"/>
      <c r="AR6" s="151"/>
      <c r="AS6" s="151"/>
      <c r="AT6" s="161" t="s">
        <v>133</v>
      </c>
      <c r="AU6" s="162" t="s">
        <v>121</v>
      </c>
      <c r="AV6" s="163" t="str">
        <f>CONCATENATE("AV9:AV",BF6)</f>
        <v>AV9:AV12</v>
      </c>
      <c r="AW6" s="164" t="s">
        <v>2</v>
      </c>
      <c r="AX6" s="153" t="s">
        <v>48</v>
      </c>
      <c r="AY6" s="151"/>
      <c r="AZ6" s="162"/>
      <c r="BA6" s="162">
        <f ca="1">COUNTIF(INDIRECT(BF4),AZ5)+8</f>
        <v>11</v>
      </c>
      <c r="BB6" s="164">
        <v>12</v>
      </c>
      <c r="BC6" s="165" t="s">
        <v>59</v>
      </c>
      <c r="BD6" s="162">
        <f ca="1">MATCH(A1,INDIRECT(AS2),0)+8</f>
        <v>9</v>
      </c>
      <c r="BE6" s="153">
        <f ca="1">COUNTIF(INDIRECT(BF4),BE4)+BE5-1</f>
        <v>11</v>
      </c>
      <c r="BF6" s="162">
        <f>COUNTA($BL:$BL)</f>
        <v>12</v>
      </c>
      <c r="BG6" s="162">
        <f ca="1">COUNTIF(A:A,INDIRECT(ADDRESS(BG5,1)))+BG5-1</f>
        <v>12</v>
      </c>
      <c r="BH6" s="151"/>
      <c r="BI6" s="151"/>
      <c r="BJ6" s="151"/>
      <c r="BK6" s="151"/>
      <c r="BL6" s="151">
        <v>1</v>
      </c>
      <c r="BM6" s="151"/>
      <c r="BN6" s="151"/>
      <c r="BO6" s="166"/>
      <c r="BP6" s="151"/>
      <c r="BQ6" s="151"/>
      <c r="BR6" s="151"/>
      <c r="BS6" s="151"/>
      <c r="BT6" s="166"/>
      <c r="BU6" s="151"/>
      <c r="BV6" s="151"/>
      <c r="BW6" s="151"/>
      <c r="BX6" s="151"/>
      <c r="BY6" s="166"/>
      <c r="BZ6" s="166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  <c r="DR6" s="151"/>
      <c r="DS6" s="151"/>
      <c r="DT6" s="151"/>
      <c r="DU6" s="151"/>
    </row>
    <row r="7" spans="1:125" s="170" customFormat="1" ht="27" customHeight="1" x14ac:dyDescent="0.2">
      <c r="A7" s="167" t="s">
        <v>190</v>
      </c>
      <c r="B7" s="168" t="s">
        <v>0</v>
      </c>
      <c r="C7" s="169" t="s">
        <v>41</v>
      </c>
      <c r="D7" s="169" t="s">
        <v>2</v>
      </c>
      <c r="E7" s="169" t="str">
        <f>'Weigh-In'!E2</f>
        <v>Bwt (kg)</v>
      </c>
      <c r="F7" s="169" t="str">
        <f>IF(E7="Bwt (lb)","WtCls (lb)","WtCls (kg)")</f>
        <v>WtCls (kg)</v>
      </c>
      <c r="G7" s="169" t="s">
        <v>1</v>
      </c>
      <c r="H7" s="170" t="s">
        <v>5</v>
      </c>
      <c r="I7" s="171" t="s">
        <v>195</v>
      </c>
      <c r="J7" s="169" t="s">
        <v>4</v>
      </c>
      <c r="K7" s="169" t="s">
        <v>8</v>
      </c>
      <c r="L7" s="169" t="s">
        <v>9</v>
      </c>
      <c r="M7" s="169" t="s">
        <v>10</v>
      </c>
      <c r="N7" s="169" t="s">
        <v>11</v>
      </c>
      <c r="O7" s="169" t="s">
        <v>12</v>
      </c>
      <c r="P7" s="172" t="s">
        <v>13</v>
      </c>
      <c r="Q7" s="169" t="s">
        <v>14</v>
      </c>
      <c r="R7" s="169" t="s">
        <v>15</v>
      </c>
      <c r="S7" s="169" t="s">
        <v>16</v>
      </c>
      <c r="T7" s="169" t="s">
        <v>21</v>
      </c>
      <c r="U7" s="169" t="s">
        <v>17</v>
      </c>
      <c r="V7" s="169" t="s">
        <v>18</v>
      </c>
      <c r="W7" s="173" t="s">
        <v>19</v>
      </c>
      <c r="X7" s="169" t="s">
        <v>20</v>
      </c>
      <c r="Y7" s="174" t="s">
        <v>22</v>
      </c>
      <c r="Z7" s="167" t="s">
        <v>129</v>
      </c>
      <c r="AA7" s="169" t="s">
        <v>194</v>
      </c>
      <c r="AB7" s="169" t="s">
        <v>193</v>
      </c>
      <c r="AC7" s="169" t="s">
        <v>26</v>
      </c>
      <c r="AD7" s="175" t="s">
        <v>135</v>
      </c>
      <c r="AE7" s="169" t="s">
        <v>27</v>
      </c>
      <c r="AG7" s="170">
        <v>1</v>
      </c>
      <c r="AH7" s="176" t="s">
        <v>115</v>
      </c>
      <c r="AI7" s="169" t="s">
        <v>116</v>
      </c>
      <c r="AJ7" s="169" t="s">
        <v>154</v>
      </c>
      <c r="AK7" s="169" t="s">
        <v>155</v>
      </c>
      <c r="AL7" s="169" t="s">
        <v>142</v>
      </c>
      <c r="AN7" s="177" t="s">
        <v>156</v>
      </c>
      <c r="AO7" s="177" t="s">
        <v>157</v>
      </c>
      <c r="AP7" s="177" t="s">
        <v>158</v>
      </c>
      <c r="AQ7" s="177" t="s">
        <v>159</v>
      </c>
      <c r="AU7" s="177" t="str">
        <f ca="1">OFFSET(AU1,MATCH(Z7,AT2:AT6,0),0)</f>
        <v>PL</v>
      </c>
      <c r="AW7" s="177"/>
      <c r="AX7" s="178"/>
      <c r="AY7" s="178"/>
      <c r="AZ7" s="178"/>
      <c r="BA7" s="179" t="s">
        <v>153</v>
      </c>
      <c r="BB7" s="169" t="s">
        <v>53</v>
      </c>
      <c r="BL7" s="169" t="s">
        <v>9</v>
      </c>
      <c r="BM7" s="169" t="s">
        <v>10</v>
      </c>
      <c r="BN7" s="169" t="s">
        <v>11</v>
      </c>
      <c r="BO7" s="180" t="s">
        <v>28</v>
      </c>
      <c r="BP7" s="169" t="s">
        <v>13</v>
      </c>
      <c r="BQ7" s="169" t="s">
        <v>14</v>
      </c>
      <c r="BR7" s="169" t="s">
        <v>15</v>
      </c>
      <c r="BS7" s="169" t="s">
        <v>16</v>
      </c>
      <c r="BT7" s="180" t="s">
        <v>29</v>
      </c>
      <c r="BU7" s="169" t="s">
        <v>17</v>
      </c>
      <c r="BV7" s="169" t="s">
        <v>18</v>
      </c>
      <c r="BW7" s="169" t="s">
        <v>19</v>
      </c>
      <c r="BX7" s="169" t="s">
        <v>20</v>
      </c>
      <c r="BY7" s="180" t="s">
        <v>30</v>
      </c>
      <c r="BZ7" s="180" t="s">
        <v>160</v>
      </c>
      <c r="CA7" s="170" t="s">
        <v>167</v>
      </c>
    </row>
    <row r="8" spans="1:125" ht="19.5" hidden="1" customHeight="1" x14ac:dyDescent="0.2">
      <c r="A8" s="181"/>
      <c r="B8" s="182" t="s">
        <v>111</v>
      </c>
      <c r="C8" s="182"/>
      <c r="D8" s="183"/>
      <c r="E8" s="183">
        <v>0</v>
      </c>
      <c r="F8" s="183" t="e">
        <f>IF(LEFT(D8,1)="M",VLOOKUP(IF($E$7="Bwt (kg)",E8,E8/2.2046),Lists!$B$16:$D$24,IF(ISERROR(FIND("J",D8)),3,2)),VLOOKUP(IF($E$7="Bwt (kg)",E8,E8/2.2046),Lists!$B$26:$D$33,IF(ISERROR(FIND("J",D8)),3,2)))</f>
        <v>#N/A</v>
      </c>
      <c r="G8" s="183">
        <v>0</v>
      </c>
      <c r="H8" s="184">
        <f>IF(AND(VALUE(E8)&gt;0,OR(LEFT(D8,1)="M",LEFT(D8,1)="F")),IF(LEFT(D8,1)="M",Wilks_Men(IF(RIGHT($F$7,4)="(lb)",E8/2.2046,E8)),Wilks_Women(IF(RIGHT($F$7,4)="(lb)",E8/2.2046,E8))),0)</f>
        <v>0</v>
      </c>
      <c r="I8" s="185">
        <v>0</v>
      </c>
      <c r="J8" s="138">
        <f ca="1">IF(I8,VLOOKUP(INT((NOW()-I8)/365.25),DATA!$A$2:$B$53,2,TRUE),0)</f>
        <v>0</v>
      </c>
      <c r="K8" s="183"/>
      <c r="L8" s="186">
        <v>0</v>
      </c>
      <c r="M8" s="186"/>
      <c r="N8" s="186"/>
      <c r="O8" s="187">
        <f t="shared" ref="O8" si="1">IF(MAX(BL8:BN8)&gt;0,MAX(ABS(L8)*BL8,ABS(M8)*BM8,ABS(N8)*BN8),0)</f>
        <v>0</v>
      </c>
      <c r="P8" s="188"/>
      <c r="Q8" s="181">
        <v>0</v>
      </c>
      <c r="R8" s="181"/>
      <c r="S8" s="181"/>
      <c r="T8" s="187">
        <f t="shared" ref="T8" si="2">IF(MAX(BQ8:BS8)&gt;0,MAX(ABS(Q8)*BQ8,ABS(R8)*BR8,ABS(S8)*BS8),0)</f>
        <v>0</v>
      </c>
      <c r="U8" s="187">
        <f t="shared" ref="U8" si="3">IF(OR(O8=0,T8=0),0,O8+T8)</f>
        <v>0</v>
      </c>
      <c r="V8" s="181">
        <v>0</v>
      </c>
      <c r="W8" s="189"/>
      <c r="X8" s="181"/>
      <c r="Y8" s="190">
        <f t="shared" ref="Y8" si="4">IF(MAX(BV8:BX8)&gt;0,MAX(ABS(V8)*BV8,ABS(W8)*BW8,ABS(X8)*BX8),0)</f>
        <v>0</v>
      </c>
      <c r="Z8" s="187">
        <f t="shared" ref="Z8" ca="1" si="5">AU8*IF($AU$7="SQ",O8,IF($AU$7="BP",T8,IF($AU$7="DL",Y8,IF($AU$7="PP",IF(OR(T8=0,Y8=0),0,T8+Y8),IF(OR($U8=0,$Y8=0),0,$O8+$T8+$Y8)))))</f>
        <v>0</v>
      </c>
      <c r="AA8" s="191">
        <f t="shared" ref="AA8" ca="1" si="6">IF($E$2="Lb",Z8*H8/2.2046,Z8*H8)</f>
        <v>0</v>
      </c>
      <c r="AB8" s="191">
        <f t="shared" ref="AB8" ca="1" si="7">IF(AND(I8&gt;23,I8&lt;40),0,AA8*J8)</f>
        <v>0</v>
      </c>
      <c r="AC8" s="181" t="e">
        <f ca="1">OFFSET(Setup!$F$1,MATCH(D8,INDIRECT("Setup!B1:B100"),0)-1,0)</f>
        <v>#N/A</v>
      </c>
      <c r="AD8" s="192" t="str">
        <f t="shared" ref="AD8" ca="1" si="8">IF(OR(Z8=0,AU8=0,AH8=0),"",CONCATENATE(AL8,"-",D8,IF(AC8&gt;1,"","-"),IF(AC8&gt;1,"",F8),"-",$AU$7))</f>
        <v/>
      </c>
      <c r="AE8" s="183"/>
      <c r="AH8" s="193">
        <f ca="1">AU8*(IF(OR(D8="",E8=""),0,MATCH(D8,INDIRECT("Setup!B1:B100"),0)*100000000+IF(AC8=1,(MATCH(F8,Lists!$I$16:$I$32,0)),0)*1000000+IF(Z8=0,0,IF(AC8=1,AN8*1000,IF(AC8=2,AA8,AB8))+IF(AC8=1,AP8+AQ8/1000,0))))</f>
        <v>0</v>
      </c>
      <c r="AI8" s="138">
        <f t="shared" ref="AI8" ca="1" si="9">RANK(AH8,INDIRECT("AH1:AH200"),0)</f>
        <v>5</v>
      </c>
      <c r="AJ8" s="138">
        <f t="shared" ref="AJ8" ca="1" si="10">INT(AH8/1000000)</f>
        <v>0</v>
      </c>
      <c r="AK8" s="138">
        <f ca="1">RANK(AJ8,INDIRECT("AJ1:AJ200"),0)</f>
        <v>5</v>
      </c>
      <c r="AL8" s="138">
        <f t="shared" ref="AL8" ca="1" si="11">AI8-AK8+1</f>
        <v>1</v>
      </c>
      <c r="AN8" s="194">
        <f t="shared" ref="AN8" ca="1" si="12">RANK(Z8,INDIRECT("Z1:Z200"),-1)</f>
        <v>1</v>
      </c>
      <c r="AO8" s="194">
        <f t="shared" ref="AO8" si="13">E8</f>
        <v>0</v>
      </c>
      <c r="AP8" s="194">
        <f t="shared" ref="AP8" ca="1" si="14">RANK(AO8,INDIRECT("AO1:AO200"))</f>
        <v>5</v>
      </c>
      <c r="AQ8" s="194">
        <f t="shared" ref="AQ8" ca="1" si="15">RANK(BZ8,INDIRECT("BZ:BZ"),-1)</f>
        <v>1</v>
      </c>
      <c r="AU8" s="194">
        <f t="shared" ref="AU8" ca="1" si="16">IF(ISERROR(FIND($AU$7,AE8)),0,1)</f>
        <v>0</v>
      </c>
      <c r="AW8" s="194"/>
      <c r="AX8" s="196"/>
      <c r="AY8" s="196"/>
      <c r="AZ8" s="196"/>
      <c r="BA8" s="138" t="e">
        <f t="shared" ref="BA8" si="17">HLOOKUP($A8,$BA$1:$BH$2,2,FALSE)</f>
        <v>#N/A</v>
      </c>
      <c r="BB8" s="128" t="str">
        <f t="shared" ref="BB8" ca="1" si="18">IF(OR(INDIRECT(ADDRESS(ROW(BB8),$BB$4))="",INDIRECT(ADDRESS(ROW(BB8),$BB$4))=0),"",ABS(INDIRECT(ADDRESS(ROW(BB8),$BB$4)))+0.0001*INDIRECT(ADDRESS(ROW(BB8),7)))</f>
        <v/>
      </c>
      <c r="BL8" s="128">
        <v>0</v>
      </c>
      <c r="BM8" s="128">
        <v>0</v>
      </c>
      <c r="BN8" s="128">
        <v>0</v>
      </c>
      <c r="BQ8" s="128">
        <v>0</v>
      </c>
      <c r="BR8" s="128">
        <v>0</v>
      </c>
      <c r="BS8" s="128">
        <v>0</v>
      </c>
      <c r="BV8" s="128">
        <v>0</v>
      </c>
      <c r="BW8" s="128">
        <v>0</v>
      </c>
      <c r="BX8" s="128">
        <v>0</v>
      </c>
      <c r="BY8" s="197">
        <f>IF(BX8=1,3,IF(BW8=1,2,IF(BV8=1,1,0)))</f>
        <v>0</v>
      </c>
      <c r="BZ8" s="197">
        <f t="shared" ref="BZ8" ca="1" si="19">IF($AU$7="SQ",BO8,IF($AU$7="BP",BT8,BY8))</f>
        <v>0</v>
      </c>
    </row>
    <row r="9" spans="1:125" ht="19.5" customHeight="1" x14ac:dyDescent="0.2">
      <c r="A9" s="181" t="s">
        <v>23</v>
      </c>
      <c r="B9" s="182" t="s">
        <v>200</v>
      </c>
      <c r="C9" s="182" t="s">
        <v>188</v>
      </c>
      <c r="D9" s="183" t="s">
        <v>161</v>
      </c>
      <c r="E9" s="183">
        <v>62</v>
      </c>
      <c r="F9" s="183">
        <f>IF(LEFT(D9,1)="M",VLOOKUP(IF($E$7="Bwt (kg)",E9,E9/2.2046),Lists!$B$16:$D$24,IF(ISERROR(FIND("J",D9)),3,2)),VLOOKUP(IF($E$7="Bwt (kg)",E9,E9/2.2046),Lists!$B$26:$D$33,IF(ISERROR(FIND("J",D9)),3,2)))</f>
        <v>63</v>
      </c>
      <c r="G9" s="183">
        <v>44</v>
      </c>
      <c r="H9" s="184">
        <f>IF(AND(VALUE(E9)&gt;0,OR(LEFT(D9,1)="M",LEFT(D9,1)="F")),IF(LEFT(D9,1)="M",Wilks_Men(IF(RIGHT($F$7,4)="(lb)",E9/2.2046,E9)),Wilks_Women(IF(RIGHT($F$7,4)="(lb)",E9/2.2046,E9))),0)</f>
        <v>1.0871000289916992</v>
      </c>
      <c r="I9" s="244">
        <v>36190</v>
      </c>
      <c r="J9" s="138">
        <f ca="1">IF(I9,VLOOKUP(INT((NOW()-I9)/365.25),DATA!$A$2:$B$53,2,TRUE),0)</f>
        <v>1.06</v>
      </c>
      <c r="K9" s="183">
        <v>13</v>
      </c>
      <c r="L9" s="198">
        <v>115</v>
      </c>
      <c r="M9" s="233">
        <v>120</v>
      </c>
      <c r="N9" s="239">
        <v>125</v>
      </c>
      <c r="O9" s="187">
        <f>IF(MAX(BL9:BN9)&gt;0,MAX(ABS(L9)*BL9,ABS(M9)*BM9,ABS(N9)*BN9),0)</f>
        <v>120</v>
      </c>
      <c r="P9" s="188" t="s">
        <v>202</v>
      </c>
      <c r="Q9" s="233">
        <v>65</v>
      </c>
      <c r="R9" s="239">
        <v>67.5</v>
      </c>
      <c r="S9" s="181"/>
      <c r="T9" s="187">
        <f>IF(MAX(BQ9:BS9)&gt;0,MAX(ABS(Q9)*BQ9,ABS(R9)*BR9,ABS(S9)*BS9),0)</f>
        <v>65</v>
      </c>
      <c r="U9" s="187">
        <f>IF(OR(O9=0,T9=0),0,O9+T9)</f>
        <v>185</v>
      </c>
      <c r="V9" s="233">
        <v>145</v>
      </c>
      <c r="W9" s="234">
        <v>150</v>
      </c>
      <c r="X9" s="181"/>
      <c r="Y9" s="190">
        <f>IF(MAX(BV9:BX9)&gt;0,MAX(ABS(V9)*BV9,ABS(W9)*BW9,ABS(X9)*BX9),0)</f>
        <v>145</v>
      </c>
      <c r="Z9" s="187">
        <f ca="1">AU9*IF($AU$7="SQ",O9,IF($AU$7="BP",T9,IF($AU$7="DL",Y9,IF($AU$7="PP",IF(OR(T9=0,Y9=0),0,T9+Y9),IF(OR($U9=0,$Y9=0),0,$O9+$T9+$Y9)))))</f>
        <v>330</v>
      </c>
      <c r="AA9" s="191">
        <f ca="1">IF($E$2="Lb",Z9*H9/2.2046,Z9*H9)</f>
        <v>358.74300956726074</v>
      </c>
      <c r="AB9" s="191">
        <f ca="1">IF(AND(I9&gt;23,I9&lt;40),0,AA9*J9)</f>
        <v>380.26759014129641</v>
      </c>
      <c r="AC9" s="181">
        <f ca="1">OFFSET(Setup!$F$1,MATCH(D9,INDIRECT("Setup!B1:B100"),0)-1,0)</f>
        <v>1</v>
      </c>
      <c r="AD9" s="192" t="str">
        <f ca="1">IF(OR(Z9=0,AU9=0,AH9=0),"",CONCATENATE(AL9,"-",D9,IF(AC9&gt;1,"","-"),IF(AC9&gt;1,"",F9),"-",$AU$7))</f>
        <v>1-F-O-63-PL</v>
      </c>
      <c r="AE9" s="183" t="s">
        <v>110</v>
      </c>
      <c r="AH9" s="193">
        <f ca="1">AU9*(IF(OR(D9="",E9=""),0,MATCH(D9,INDIRECT("Setup!B1:B100"),0)*100000000+IF(AC9=1,(MATCH(F9,Lists!$I$16:$I$32,0)),0)*1000000+IF(Z9=0,0,IF(AC9=1,AN9*1000,IF(AC9=2,AA9,AB9))+IF(AC9=1,AP9+AQ9/1000,0))))</f>
        <v>1511005004.0050001</v>
      </c>
      <c r="AI9" s="138">
        <f ca="1">RANK(AH9,INDIRECT("AH1:AH200"),0)</f>
        <v>1</v>
      </c>
      <c r="AJ9" s="138">
        <f ca="1">INT(AH9/1000000)</f>
        <v>1511</v>
      </c>
      <c r="AK9" s="138">
        <f ca="1">RANK(AJ9,INDIRECT("AJ1:AJ200"),0)</f>
        <v>1</v>
      </c>
      <c r="AL9" s="138">
        <f ca="1">AI9-AK9+1</f>
        <v>1</v>
      </c>
      <c r="AN9" s="194">
        <f ca="1">RANK(Z9,INDIRECT("Z1:Z200"),-1)</f>
        <v>5</v>
      </c>
      <c r="AO9" s="194">
        <f>E9</f>
        <v>62</v>
      </c>
      <c r="AP9" s="194">
        <f ca="1">RANK(AO9,INDIRECT("AO1:AO200"))</f>
        <v>4</v>
      </c>
      <c r="AQ9" s="194">
        <f ca="1">RANK(BZ9,INDIRECT("BZ:BZ"),-1)</f>
        <v>5</v>
      </c>
      <c r="AU9" s="194">
        <f ca="1">IF(ISERROR(FIND($AU$7,AE9)),0,1)</f>
        <v>1</v>
      </c>
      <c r="AW9" s="194"/>
      <c r="AX9" s="196"/>
      <c r="AY9" s="196"/>
      <c r="AZ9" s="196"/>
      <c r="BA9" s="138">
        <f>HLOOKUP($A9,$BA$1:$BH$2,2,FALSE)</f>
        <v>0</v>
      </c>
      <c r="BB9" s="128">
        <f ca="1">IF(OR(INDIRECT(ADDRESS(ROW(BB9),$BB$4))="",INDIRECT(ADDRESS(ROW(BB9),$BB$4))=0),"",ABS(INDIRECT(ADDRESS(ROW(BB9),$BB$4)))+0.0001*INDIRECT(ADDRESS(ROW(BB9),7)))</f>
        <v>145.0044</v>
      </c>
      <c r="BL9" s="128">
        <v>1</v>
      </c>
      <c r="BM9" s="128">
        <v>1</v>
      </c>
      <c r="BN9" s="128">
        <v>0</v>
      </c>
      <c r="BO9" s="197">
        <v>43040.886967592596</v>
      </c>
      <c r="BQ9" s="128">
        <v>1</v>
      </c>
      <c r="BR9" s="128">
        <v>0</v>
      </c>
      <c r="BS9" s="128">
        <v>0</v>
      </c>
      <c r="BT9" s="197">
        <v>43040.56422453704</v>
      </c>
      <c r="BV9" s="128">
        <v>1</v>
      </c>
      <c r="BW9" s="128">
        <v>0</v>
      </c>
      <c r="BX9" s="128">
        <v>0</v>
      </c>
      <c r="BY9" s="197">
        <v>43040.564282407409</v>
      </c>
      <c r="BZ9" s="197">
        <f ca="1">IF($AU$7="SQ",BO9,IF($AU$7="BP",BT9,BY9))</f>
        <v>43040.564282407409</v>
      </c>
      <c r="CA9" s="199">
        <v>0.88766203703703705</v>
      </c>
    </row>
    <row r="10" spans="1:125" ht="19.5" customHeight="1" x14ac:dyDescent="0.2">
      <c r="A10" s="181" t="s">
        <v>23</v>
      </c>
      <c r="B10" s="182" t="s">
        <v>198</v>
      </c>
      <c r="C10" s="182" t="s">
        <v>188</v>
      </c>
      <c r="D10" s="183" t="s">
        <v>48</v>
      </c>
      <c r="E10" s="183">
        <v>77</v>
      </c>
      <c r="F10" s="183">
        <f>IF(LEFT(D10,1)="M",VLOOKUP(IF($E$7="Bwt (kg)",E10,E10/2.2046),Lists!$B$16:$D$24,IF(ISERROR(FIND("J",D10)),3,2)),VLOOKUP(IF($E$7="Bwt (kg)",E10,E10/2.2046),Lists!$B$26:$D$33,IF(ISERROR(FIND("J",D10)),3,2)))</f>
        <v>83</v>
      </c>
      <c r="G10" s="183">
        <v>15</v>
      </c>
      <c r="H10" s="184">
        <f>IF(AND(VALUE(E10)&gt;0,OR(LEFT(D10,1)="M",LEFT(D10,1)="F")),IF(LEFT(D10,1)="M",Wilks_Men(IF(RIGHT($F$7,4)="(lb)",E10/2.2046,E10)),Wilks_Women(IF(RIGHT($F$7,4)="(lb)",E10/2.2046,E10))),0)</f>
        <v>0.69989997148513794</v>
      </c>
      <c r="I10" s="244">
        <v>33357</v>
      </c>
      <c r="J10" s="138">
        <f ca="1">IF(I10,VLOOKUP(INT((NOW()-I10)/365.25),DATA!$A$2:$B$53,2,TRUE),0)</f>
        <v>1</v>
      </c>
      <c r="K10" s="183" t="s">
        <v>191</v>
      </c>
      <c r="L10" s="200">
        <v>-190</v>
      </c>
      <c r="M10" s="233">
        <v>200</v>
      </c>
      <c r="N10" s="239">
        <v>205</v>
      </c>
      <c r="O10" s="187">
        <f>IF(MAX(BL10:BN10)&gt;0,MAX(ABS(L10)*BL10,ABS(M10)*BM10,ABS(N10)*BN10),0)</f>
        <v>200</v>
      </c>
      <c r="P10" s="188" t="s">
        <v>192</v>
      </c>
      <c r="Q10" s="233">
        <v>135</v>
      </c>
      <c r="R10" s="239">
        <v>140</v>
      </c>
      <c r="S10" s="181"/>
      <c r="T10" s="187">
        <f>IF(MAX(BQ10:BS10)&gt;0,MAX(ABS(Q10)*BQ10,ABS(R10)*BR10,ABS(S10)*BS10),0)</f>
        <v>135</v>
      </c>
      <c r="U10" s="187">
        <f>IF(OR(O10=0,T10=0),0,O10+T10)</f>
        <v>335</v>
      </c>
      <c r="V10" s="181">
        <v>200</v>
      </c>
      <c r="W10" s="234">
        <v>210</v>
      </c>
      <c r="X10" s="181"/>
      <c r="Y10" s="190">
        <f>IF(MAX(BV10:BX10)&gt;0,MAX(ABS(V10)*BV10,ABS(W10)*BW10,ABS(X10)*BX10),0)</f>
        <v>0</v>
      </c>
      <c r="Z10" s="187">
        <f ca="1">AU10*IF($AU$7="SQ",O10,IF($AU$7="BP",T10,IF($AU$7="DL",Y10,IF($AU$7="PP",IF(OR(T10=0,Y10=0),0,T10+Y10),IF(OR($U10=0,$Y10=0),0,$O10+$T10+$Y10)))))</f>
        <v>0</v>
      </c>
      <c r="AA10" s="191">
        <f ca="1">IF($E$2="Lb",Z10*H10/2.2046,Z10*H10)</f>
        <v>0</v>
      </c>
      <c r="AB10" s="191">
        <f ca="1">IF(AND(I10&gt;23,I10&lt;40),0,AA10*J10)</f>
        <v>0</v>
      </c>
      <c r="AC10" s="181">
        <f ca="1">OFFSET(Setup!$F$1,MATCH(D10,INDIRECT("Setup!B1:B100"),0)-1,0)</f>
        <v>1</v>
      </c>
      <c r="AD10" s="192" t="str">
        <f ca="1">IF(OR(Z10=0,AU10=0,AH10=0),"",CONCATENATE(AL10,"-",D10,IF(AC10&gt;1,"","-"),IF(AC10&gt;1,"",F10),"-",$AU$7))</f>
        <v/>
      </c>
      <c r="AE10" s="183" t="s">
        <v>110</v>
      </c>
      <c r="AH10" s="193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38">
        <f ca="1">RANK(AH10,INDIRECT("AH1:AH200"),0)</f>
        <v>2</v>
      </c>
      <c r="AJ10" s="138">
        <f ca="1">INT(AH10/1000000)</f>
        <v>1407</v>
      </c>
      <c r="AK10" s="138">
        <f ca="1">RANK(AJ10,INDIRECT("AJ1:AJ200"),0)</f>
        <v>2</v>
      </c>
      <c r="AL10" s="138">
        <f ca="1">AI10-AK10+1</f>
        <v>1</v>
      </c>
      <c r="AN10" s="194">
        <f ca="1">RANK(Z10,INDIRECT("Z1:Z200"),-1)</f>
        <v>1</v>
      </c>
      <c r="AO10" s="194">
        <f>E10</f>
        <v>77</v>
      </c>
      <c r="AP10" s="194">
        <f ca="1">RANK(AO10,INDIRECT("AO1:AO200"))</f>
        <v>3</v>
      </c>
      <c r="AQ10" s="194">
        <f ca="1">RANK(BZ10,INDIRECT("BZ:BZ"),-1)</f>
        <v>1</v>
      </c>
      <c r="AU10" s="194">
        <f ca="1">IF(ISERROR(FIND($AU$7,AE10)),0,1)</f>
        <v>1</v>
      </c>
      <c r="AW10" s="194"/>
      <c r="AX10" s="196"/>
      <c r="AY10" s="196"/>
      <c r="AZ10" s="196"/>
      <c r="BA10" s="138">
        <f>HLOOKUP($A10,$BA$1:$BH$2,2,FALSE)</f>
        <v>0</v>
      </c>
      <c r="BB10" s="128">
        <f ca="1">IF(OR(INDIRECT(ADDRESS(ROW(BB10),$BB$4))="",INDIRECT(ADDRESS(ROW(BB10),$BB$4))=0),"",ABS(INDIRECT(ADDRESS(ROW(BB10),$BB$4)))+0.0001*INDIRECT(ADDRESS(ROW(BB10),7)))</f>
        <v>200.00149999999999</v>
      </c>
      <c r="BL10" s="128">
        <v>-1</v>
      </c>
      <c r="BM10" s="128">
        <v>1</v>
      </c>
      <c r="BN10" s="128">
        <v>0</v>
      </c>
      <c r="BO10" s="197">
        <v>43041.564247685186</v>
      </c>
      <c r="BQ10" s="128">
        <v>1</v>
      </c>
      <c r="BR10" s="128">
        <v>0</v>
      </c>
      <c r="BS10" s="128">
        <v>0</v>
      </c>
      <c r="BT10" s="197">
        <v>43040.721087962964</v>
      </c>
      <c r="BV10" s="128">
        <v>0</v>
      </c>
      <c r="BW10" s="128">
        <v>0</v>
      </c>
      <c r="BX10" s="128">
        <v>0</v>
      </c>
      <c r="BY10" s="197">
        <f>IF(BX10=1,3,IF(BW10=1,2,IF(BV10=1,1,0)))</f>
        <v>0</v>
      </c>
      <c r="BZ10" s="197">
        <f ca="1">IF($AU$7="SQ",BO10,IF($AU$7="BP",BT10,BY10))</f>
        <v>0</v>
      </c>
      <c r="CA10" s="199">
        <v>0.56494212962962964</v>
      </c>
    </row>
    <row r="11" spans="1:125" ht="19.5" customHeight="1" x14ac:dyDescent="0.2">
      <c r="A11" s="181" t="s">
        <v>23</v>
      </c>
      <c r="B11" s="182" t="s">
        <v>199</v>
      </c>
      <c r="C11" s="182" t="s">
        <v>188</v>
      </c>
      <c r="D11" s="183" t="s">
        <v>48</v>
      </c>
      <c r="E11" s="183">
        <v>92</v>
      </c>
      <c r="F11" s="183">
        <f>IF(LEFT(D11,1)="M",VLOOKUP(IF($E$7="Bwt (kg)",E11,E11/2.2046),Lists!$B$16:$D$24,IF(ISERROR(FIND("J",D11)),3,2)),VLOOKUP(IF($E$7="Bwt (kg)",E11,E11/2.2046),Lists!$B$26:$D$33,IF(ISERROR(FIND("J",D11)),3,2)))</f>
        <v>93</v>
      </c>
      <c r="G11" s="183">
        <v>32</v>
      </c>
      <c r="H11" s="184">
        <f>IF(AND(VALUE(E11)&gt;0,OR(LEFT(D11,1)="M",LEFT(D11,1)="F")),IF(LEFT(D11,1)="M",Wilks_Men(IF(RIGHT($F$7,4)="(lb)",E11/2.2046,E11)),Wilks_Women(IF(RIGHT($F$7,4)="(lb)",E11/2.2046,E11))),0)</f>
        <v>0.6315000057220459</v>
      </c>
      <c r="I11" s="244">
        <v>34490</v>
      </c>
      <c r="J11" s="138">
        <f ca="1">IF(I11,VLOOKUP(INT((NOW()-I11)/365.25),DATA!$A$2:$B$53,2,TRUE),0)</f>
        <v>1</v>
      </c>
      <c r="K11" s="183">
        <v>13</v>
      </c>
      <c r="L11" s="198">
        <v>145</v>
      </c>
      <c r="M11" s="233">
        <v>150</v>
      </c>
      <c r="N11" s="239">
        <v>155</v>
      </c>
      <c r="O11" s="187">
        <f>IF(MAX(BL11:BN11)&gt;0,MAX(ABS(L11)*BL11,ABS(M11)*BM11,ABS(N11)*BN11),0)</f>
        <v>150</v>
      </c>
      <c r="P11" s="188" t="s">
        <v>201</v>
      </c>
      <c r="Q11" s="181">
        <v>145</v>
      </c>
      <c r="R11" s="181"/>
      <c r="S11" s="181"/>
      <c r="T11" s="187">
        <f>IF(MAX(BQ11:BS11)&gt;0,MAX(ABS(Q11)*BQ11,ABS(R11)*BR11,ABS(S11)*BS11),0)</f>
        <v>0</v>
      </c>
      <c r="U11" s="187">
        <f>IF(OR(O11=0,T11=0),0,O11+T11)</f>
        <v>0</v>
      </c>
      <c r="V11" s="181">
        <v>230</v>
      </c>
      <c r="W11" s="189"/>
      <c r="X11" s="181"/>
      <c r="Y11" s="190">
        <f>IF(MAX(BV11:BX11)&gt;0,MAX(ABS(V11)*BV11,ABS(W11)*BW11,ABS(X11)*BX11),0)</f>
        <v>0</v>
      </c>
      <c r="Z11" s="187">
        <f ca="1">AU11*IF($AU$7="SQ",O11,IF($AU$7="BP",T11,IF($AU$7="DL",Y11,IF($AU$7="PP",IF(OR(T11=0,Y11=0),0,T11+Y11),IF(OR($U11=0,$Y11=0),0,$O11+$T11+$Y11)))))</f>
        <v>0</v>
      </c>
      <c r="AA11" s="191">
        <f ca="1">IF($E$2="Lb",Z11*H11/2.2046,Z11*H11)</f>
        <v>0</v>
      </c>
      <c r="AB11" s="191">
        <f ca="1">IF(AND(I11&gt;23,I11&lt;40),0,AA11*J11)</f>
        <v>0</v>
      </c>
      <c r="AC11" s="181">
        <f ca="1">OFFSET(Setup!$F$1,MATCH(D11,INDIRECT("Setup!B1:B100"),0)-1,0)</f>
        <v>1</v>
      </c>
      <c r="AD11" s="192" t="str">
        <f ca="1">IF(OR(Z11=0,AU11=0,AH11=0),"",CONCATENATE(AL11,"-",D11,IF(AC11&gt;1,"","-"),IF(AC11&gt;1,"",F11),"-",$AU$7))</f>
        <v/>
      </c>
      <c r="AE11" s="183" t="s">
        <v>110</v>
      </c>
      <c r="AH11" s="193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38">
        <f ca="1">RANK(AH11,INDIRECT("AH1:AH200"),0)</f>
        <v>3</v>
      </c>
      <c r="AJ11" s="138">
        <f ca="1">INT(AH11/1000000)</f>
        <v>1404</v>
      </c>
      <c r="AK11" s="138">
        <f ca="1">RANK(AJ11,INDIRECT("AJ1:AJ200"),0)</f>
        <v>3</v>
      </c>
      <c r="AL11" s="138">
        <f ca="1">AI11-AK11+1</f>
        <v>1</v>
      </c>
      <c r="AN11" s="194">
        <f ca="1">RANK(Z11,INDIRECT("Z1:Z200"),-1)</f>
        <v>1</v>
      </c>
      <c r="AO11" s="194">
        <f>E11</f>
        <v>92</v>
      </c>
      <c r="AP11" s="194">
        <f ca="1">RANK(AO11,INDIRECT("AO1:AO200"))</f>
        <v>1</v>
      </c>
      <c r="AQ11" s="194">
        <f ca="1">RANK(BZ11,INDIRECT("BZ:BZ"),-1)</f>
        <v>1</v>
      </c>
      <c r="AU11" s="194">
        <f ca="1">IF(ISERROR(FIND($AU$7,AE11)),0,1)</f>
        <v>1</v>
      </c>
      <c r="AW11" s="194"/>
      <c r="AX11" s="196"/>
      <c r="AY11" s="196"/>
      <c r="AZ11" s="196"/>
      <c r="BA11" s="138">
        <f>HLOOKUP($A11,$BA$1:$BH$2,2,FALSE)</f>
        <v>0</v>
      </c>
      <c r="BB11" s="128">
        <f ca="1">IF(OR(INDIRECT(ADDRESS(ROW(BB11),$BB$4))="",INDIRECT(ADDRESS(ROW(BB11),$BB$4))=0),"",ABS(INDIRECT(ADDRESS(ROW(BB11),$BB$4)))+0.0001*INDIRECT(ADDRESS(ROW(BB11),7)))</f>
        <v>230.00319999999999</v>
      </c>
      <c r="BL11" s="128">
        <v>1</v>
      </c>
      <c r="BM11" s="128">
        <v>1</v>
      </c>
      <c r="BN11" s="128">
        <v>0</v>
      </c>
      <c r="BO11" s="197">
        <v>43041.563425925924</v>
      </c>
      <c r="BQ11" s="128">
        <v>0</v>
      </c>
      <c r="BR11" s="128">
        <v>0</v>
      </c>
      <c r="BS11" s="128">
        <v>0</v>
      </c>
      <c r="BV11" s="128">
        <v>0</v>
      </c>
      <c r="BW11" s="128">
        <v>0</v>
      </c>
      <c r="BX11" s="128">
        <v>0</v>
      </c>
      <c r="BY11" s="197">
        <f>IF(BX11=1,3,IF(BW11=1,2,IF(BV11=1,1,0)))</f>
        <v>0</v>
      </c>
      <c r="BZ11" s="197">
        <f ca="1">IF($AU$7="SQ",BO11,IF($AU$7="BP",BT11,BY11))</f>
        <v>0</v>
      </c>
      <c r="CA11" s="199">
        <v>0.56412037037037044</v>
      </c>
    </row>
    <row r="12" spans="1:125" ht="19.5" customHeight="1" x14ac:dyDescent="0.2">
      <c r="A12" s="181" t="s">
        <v>24</v>
      </c>
      <c r="B12" s="182" t="s">
        <v>218</v>
      </c>
      <c r="C12" s="182" t="s">
        <v>188</v>
      </c>
      <c r="D12" s="183" t="s">
        <v>75</v>
      </c>
      <c r="E12" s="183">
        <v>83</v>
      </c>
      <c r="F12" s="183">
        <f>IF(LEFT(D12,1)="M",VLOOKUP(IF($E$7="Bwt (kg)",E12,E12/2.2046),Lists!$B$16:$D$24,IF(ISERROR(FIND("J",D12)),3,2)),VLOOKUP(IF($E$7="Bwt (kg)",E12,E12/2.2046),Lists!$B$26:$D$33,IF(ISERROR(FIND("J",D12)),3,2)))</f>
        <v>83</v>
      </c>
      <c r="G12" s="183">
        <v>54</v>
      </c>
      <c r="H12" s="184">
        <f>IF(AND(VALUE(E12)&gt;0,OR(LEFT(D12,1)="M",LEFT(D12,1)="F")),IF(LEFT(D12,1)="M",Wilks_Men(IF(RIGHT($F$7,4)="(lb)",E12/2.2046,E12)),Wilks_Women(IF(RIGHT($F$7,4)="(lb)",E12/2.2046,E12))),0)</f>
        <v>0.66750001907348633</v>
      </c>
      <c r="I12" s="244">
        <v>33357</v>
      </c>
      <c r="J12" s="138">
        <f ca="1">IF(I12,VLOOKUP(INT((NOW()-I12)/365.25),DATA!$A$2:$B$53,2,TRUE),0)</f>
        <v>1</v>
      </c>
      <c r="K12" s="183">
        <v>13</v>
      </c>
      <c r="L12" s="186">
        <v>130</v>
      </c>
      <c r="M12" s="186"/>
      <c r="N12" s="186"/>
      <c r="O12" s="187">
        <f>IF(MAX(BL12:BN12)&gt;0,MAX(ABS(L12)*BL12,ABS(M12)*BM12,ABS(N12)*BN12),0)</f>
        <v>0</v>
      </c>
      <c r="P12" s="188" t="s">
        <v>219</v>
      </c>
      <c r="Q12" s="181">
        <v>130</v>
      </c>
      <c r="R12" s="181"/>
      <c r="S12" s="181"/>
      <c r="T12" s="187">
        <f>IF(MAX(BQ12:BS12)&gt;0,MAX(ABS(Q12)*BQ12,ABS(R12)*BR12,ABS(S12)*BS12),0)</f>
        <v>0</v>
      </c>
      <c r="U12" s="187">
        <f>IF(OR(O12=0,T12=0),0,O12+T12)</f>
        <v>0</v>
      </c>
      <c r="V12" s="181">
        <v>200</v>
      </c>
      <c r="W12" s="181"/>
      <c r="X12" s="181"/>
      <c r="Y12" s="187">
        <f>IF(MAX(BV12:BX12)&gt;0,MAX(ABS(V12)*BV12,ABS(W12)*BW12,ABS(X12)*BX12),0)</f>
        <v>0</v>
      </c>
      <c r="Z12" s="187">
        <f ca="1">AU12*IF($AU$7="SQ",O12,IF($AU$7="BP",T12,IF($AU$7="DL",Y12,IF($AU$7="PP",IF(OR(T12=0,Y12=0),0,T12+Y12),IF(OR($U12=0,$Y12=0),0,$O12+$T12+$Y12)))))</f>
        <v>0</v>
      </c>
      <c r="AA12" s="191">
        <f ca="1">IF($E$2="Lb",Z12*H12/2.2046,Z12*H12)</f>
        <v>0</v>
      </c>
      <c r="AB12" s="191">
        <f ca="1">IF(AND(I12&gt;23,I12&lt;40),0,AA12*J12)</f>
        <v>0</v>
      </c>
      <c r="AC12" s="181">
        <f ca="1">OFFSET(Setup!$F$1,MATCH(D12,INDIRECT("Setup!B1:B100"),0)-1,0)</f>
        <v>2</v>
      </c>
      <c r="AD12" s="192" t="str">
        <f ca="1">IF(OR(Z12=0,AU12=0,AH12=0),"",CONCATENATE(AL12,"-",D12,IF(AC12&gt;1,"","-"),IF(AC12&gt;1,"",F12),"-",$AU$7))</f>
        <v/>
      </c>
      <c r="AE12" s="183" t="s">
        <v>110</v>
      </c>
      <c r="AH12" s="193">
        <f ca="1">AU12*(IF(OR(D12="",E12=""),0,MATCH(D12,INDIRECT("Setup!B1:B100"),0)*100000000+IF(AC12=1,(MATCH(F12,Lists!$I$16:$I$32,0)),0)*1000000+IF(Z12=0,0,IF(AC12=1,AN12*1000,IF(AC12=2,AA12,AB12))+IF(AC12=1,AP12+AQ12/1000,0))))</f>
        <v>1200000000</v>
      </c>
      <c r="AI12" s="138">
        <f ca="1">RANK(AH12,INDIRECT("AH1:AH200"),0)</f>
        <v>4</v>
      </c>
      <c r="AJ12" s="138">
        <f ca="1">INT(AH12/1000000)</f>
        <v>1200</v>
      </c>
      <c r="AK12" s="138">
        <f ca="1">RANK(AJ12,INDIRECT("AJ1:AJ200"),0)</f>
        <v>4</v>
      </c>
      <c r="AL12" s="138">
        <f ca="1">AI12-AK12+1</f>
        <v>1</v>
      </c>
      <c r="AN12" s="194">
        <f ca="1">RANK(Z12,INDIRECT("Z1:Z200"),-1)</f>
        <v>1</v>
      </c>
      <c r="AO12" s="194">
        <f>E12</f>
        <v>83</v>
      </c>
      <c r="AP12" s="194">
        <f ca="1">RANK(AO12,INDIRECT("AO1:AO200"))</f>
        <v>2</v>
      </c>
      <c r="AQ12" s="194">
        <f ca="1">RANK(BZ12,INDIRECT("BZ:BZ"),-1)</f>
        <v>1</v>
      </c>
      <c r="AU12" s="194">
        <f ca="1">IF(ISERROR(FIND($AU$7,AE12)),0,1)</f>
        <v>1</v>
      </c>
      <c r="AW12" s="194"/>
      <c r="AX12" s="196"/>
      <c r="AY12" s="196"/>
      <c r="AZ12" s="196"/>
      <c r="BA12" s="138">
        <f>HLOOKUP($A12,$BA$1:$BH$2,2,FALSE)</f>
        <v>1</v>
      </c>
      <c r="BB12" s="128">
        <f ca="1">IF(OR(INDIRECT(ADDRESS(ROW(BB12),$BB$4))="",INDIRECT(ADDRESS(ROW(BB12),$BB$4))=0),"",ABS(INDIRECT(ADDRESS(ROW(BB12),$BB$4)))+0.0001*INDIRECT(ADDRESS(ROW(BB12),7)))</f>
        <v>200.00540000000001</v>
      </c>
      <c r="BL12" s="128">
        <v>0</v>
      </c>
      <c r="BM12" s="128">
        <v>0</v>
      </c>
      <c r="BN12" s="128">
        <v>0</v>
      </c>
      <c r="BQ12" s="128">
        <v>0</v>
      </c>
      <c r="BR12" s="128">
        <v>0</v>
      </c>
      <c r="BS12" s="128">
        <v>0</v>
      </c>
      <c r="BV12" s="128">
        <v>0</v>
      </c>
      <c r="BW12" s="128">
        <v>0</v>
      </c>
      <c r="BX12" s="128">
        <v>0</v>
      </c>
      <c r="BY12" s="197">
        <f>IF(BX12=1,3,IF(BW12=1,2,IF(BV12=1,1,0)))</f>
        <v>0</v>
      </c>
      <c r="BZ12" s="197">
        <f ca="1">IF($AU$7="SQ",BO12,IF($AU$7="BP",BT12,BY12))</f>
        <v>0</v>
      </c>
    </row>
    <row r="13" spans="1:125" x14ac:dyDescent="0.2">
      <c r="J13" s="138"/>
    </row>
  </sheetData>
  <sheetProtection sheet="1" objects="1" scenarios="1"/>
  <sortState ref="A9:XFD12">
    <sortCondition descending="1" ref="AU9"/>
    <sortCondition descending="1" ref="AH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92" priority="168" stopIfTrue="1">
      <formula>AND(BL8=0,COLUMN(L8)=$BD$4,ROW(L8)=$AY$5)</formula>
    </cfRule>
    <cfRule type="expression" dxfId="91" priority="169" stopIfTrue="1">
      <formula>OR(AND(BL8=1,COLUMN(L8)&lt;=$BD$4,ROW(L8)=$AY$5),AND(BL8=1,COLUMN(L8)=$BD$4,ROW(L8)&lt;=$AY$5))</formula>
    </cfRule>
  </conditionalFormatting>
  <conditionalFormatting sqref="M8:N8 R8:S8 W8:X8">
    <cfRule type="expression" dxfId="90" priority="170" stopIfTrue="1">
      <formula>AND(BM8=0,COLUMN(M8)=$BD$4,ROW(M8)=$AY$5)</formula>
    </cfRule>
    <cfRule type="expression" dxfId="89" priority="171" stopIfTrue="1">
      <formula>OR(AND(BM8=1,COLUMN(M8)&lt;=$BD$4,ROW(M8)=$AY$5),AND(BM8=1,COLUMN(M8)=$BD$4,ROW(M8)&lt;=$AY$5))</formula>
    </cfRule>
    <cfRule type="expression" dxfId="88" priority="172" stopIfTrue="1">
      <formula>AND(M8="",BL8&lt;&gt;0,$CA8&lt;&gt;0,$CA8&lt;$CA$5)</formula>
    </cfRule>
  </conditionalFormatting>
  <conditionalFormatting sqref="Z8">
    <cfRule type="expression" dxfId="87" priority="158" stopIfTrue="1">
      <formula>AND(ROW(Z8)=$AY$5)</formula>
    </cfRule>
    <cfRule type="expression" dxfId="86" priority="159" stopIfTrue="1">
      <formula>AND(AC8=1)</formula>
    </cfRule>
  </conditionalFormatting>
  <conditionalFormatting sqref="AA8">
    <cfRule type="expression" dxfId="85" priority="160" stopIfTrue="1">
      <formula>AND($AC8=2)</formula>
    </cfRule>
  </conditionalFormatting>
  <conditionalFormatting sqref="AB8">
    <cfRule type="expression" dxfId="84" priority="161" stopIfTrue="1">
      <formula>AND($AC8=3)</formula>
    </cfRule>
  </conditionalFormatting>
  <conditionalFormatting sqref="A4">
    <cfRule type="expression" dxfId="83" priority="166" stopIfTrue="1">
      <formula>ISNA(A4)</formula>
    </cfRule>
  </conditionalFormatting>
  <conditionalFormatting sqref="A8">
    <cfRule type="expression" dxfId="82" priority="162" stopIfTrue="1">
      <formula>AND(A8=RIGHT($A$7,1))</formula>
    </cfRule>
  </conditionalFormatting>
  <conditionalFormatting sqref="L7:N7 Q7:S7 V7:X7">
    <cfRule type="expression" dxfId="81" priority="164" stopIfTrue="1">
      <formula>AND(COLUMN(L7)=$BD$4)</formula>
    </cfRule>
  </conditionalFormatting>
  <conditionalFormatting sqref="K8 T8:U8 O8 Y8 C8:G8">
    <cfRule type="expression" dxfId="80" priority="165" stopIfTrue="1">
      <formula>AND(ROW(C8)=$AY$5)</formula>
    </cfRule>
  </conditionalFormatting>
  <conditionalFormatting sqref="B8">
    <cfRule type="cellIs" dxfId="79" priority="182" stopIfTrue="1" operator="equal">
      <formula>$A$1</formula>
    </cfRule>
    <cfRule type="expression" dxfId="78" priority="183" stopIfTrue="1">
      <formula>AND(ROW(B8)=$AG$7)</formula>
    </cfRule>
  </conditionalFormatting>
  <conditionalFormatting sqref="AD8">
    <cfRule type="expression" dxfId="77" priority="212" stopIfTrue="1">
      <formula>AND(AJ8=$AM$5)</formula>
    </cfRule>
  </conditionalFormatting>
  <conditionalFormatting sqref="L10:L12 Q10:Q12 V10:V12">
    <cfRule type="expression" dxfId="76" priority="21" stopIfTrue="1">
      <formula>AND(BL10=0,COLUMN(L10)=$BD$4,ROW(L10)=$AY$5)</formula>
    </cfRule>
    <cfRule type="expression" dxfId="75" priority="22" stopIfTrue="1">
      <formula>OR(AND(BL10=1,COLUMN(L10)&lt;=$BD$4,ROW(L10)=$AY$5),AND(BL10=1,COLUMN(L10)=$BD$4,ROW(L10)&lt;=$AY$5))</formula>
    </cfRule>
  </conditionalFormatting>
  <conditionalFormatting sqref="M10:N12 R10:S12 W10:X12">
    <cfRule type="expression" dxfId="74" priority="23" stopIfTrue="1">
      <formula>AND(BM10=0,COLUMN(M10)=$BD$4,ROW(M10)=$AY$5)</formula>
    </cfRule>
    <cfRule type="expression" dxfId="73" priority="24" stopIfTrue="1">
      <formula>OR(AND(BM10=1,COLUMN(M10)&lt;=$BD$4,ROW(M10)=$AY$5),AND(BM10=1,COLUMN(M10)=$BD$4,ROW(M10)&lt;=$AY$5))</formula>
    </cfRule>
    <cfRule type="expression" dxfId="72" priority="25" stopIfTrue="1">
      <formula>AND(M10="",BL10&lt;&gt;0,$CA10&lt;&gt;0,$CA10&lt;$CA$5)</formula>
    </cfRule>
  </conditionalFormatting>
  <conditionalFormatting sqref="Z10:Z12">
    <cfRule type="expression" dxfId="71" priority="15" stopIfTrue="1">
      <formula>AND(ROW(Z10)=$AY$5)</formula>
    </cfRule>
    <cfRule type="expression" dxfId="70" priority="16" stopIfTrue="1">
      <formula>AND(AC10=1)</formula>
    </cfRule>
  </conditionalFormatting>
  <conditionalFormatting sqref="AA10:AA12">
    <cfRule type="expression" dxfId="69" priority="17" stopIfTrue="1">
      <formula>AND($AC10=2)</formula>
    </cfRule>
  </conditionalFormatting>
  <conditionalFormatting sqref="AB10:AB12">
    <cfRule type="expression" dxfId="68" priority="18" stopIfTrue="1">
      <formula>AND($AC10=3)</formula>
    </cfRule>
  </conditionalFormatting>
  <conditionalFormatting sqref="A10:A12">
    <cfRule type="expression" dxfId="67" priority="19" stopIfTrue="1">
      <formula>AND(A10=RIGHT($A$7,1))</formula>
    </cfRule>
  </conditionalFormatting>
  <conditionalFormatting sqref="K10:K12 T10:U12 O10:O12 Y10:Y12 C10:G12">
    <cfRule type="expression" dxfId="66" priority="20" stopIfTrue="1">
      <formula>AND(ROW(C10)=$AY$5)</formula>
    </cfRule>
  </conditionalFormatting>
  <conditionalFormatting sqref="B10:B12">
    <cfRule type="cellIs" dxfId="65" priority="26" stopIfTrue="1" operator="equal">
      <formula>$A$1</formula>
    </cfRule>
    <cfRule type="expression" dxfId="64" priority="27" stopIfTrue="1">
      <formula>AND(ROW(B10)=$AG$7)</formula>
    </cfRule>
  </conditionalFormatting>
  <conditionalFormatting sqref="AD10:AD12">
    <cfRule type="expression" dxfId="63" priority="28" stopIfTrue="1">
      <formula>AND(AJ10=$AM$5)</formula>
    </cfRule>
  </conditionalFormatting>
  <conditionalFormatting sqref="L9 Q9 V9">
    <cfRule type="expression" dxfId="62" priority="7" stopIfTrue="1">
      <formula>AND(BL9=0,COLUMN(L9)=$BD$4,ROW(L9)=$AY$5)</formula>
    </cfRule>
    <cfRule type="expression" dxfId="61" priority="8" stopIfTrue="1">
      <formula>OR(AND(BL9=1,COLUMN(L9)&lt;=$BD$4,ROW(L9)=$AY$5),AND(BL9=1,COLUMN(L9)=$BD$4,ROW(L9)&lt;=$AY$5))</formula>
    </cfRule>
  </conditionalFormatting>
  <conditionalFormatting sqref="M9:N9 R9:S9 W9:X9">
    <cfRule type="expression" dxfId="60" priority="9" stopIfTrue="1">
      <formula>AND(BM9=0,COLUMN(M9)=$BD$4,ROW(M9)=$AY$5)</formula>
    </cfRule>
    <cfRule type="expression" dxfId="59" priority="10" stopIfTrue="1">
      <formula>OR(AND(BM9=1,COLUMN(M9)&lt;=$BD$4,ROW(M9)=$AY$5),AND(BM9=1,COLUMN(M9)=$BD$4,ROW(M9)&lt;=$AY$5))</formula>
    </cfRule>
    <cfRule type="expression" dxfId="58" priority="11" stopIfTrue="1">
      <formula>AND(M9="",BL9&lt;&gt;0,$CA9&lt;&gt;0,$CA9&lt;$CA$5)</formula>
    </cfRule>
  </conditionalFormatting>
  <conditionalFormatting sqref="Z9">
    <cfRule type="expression" dxfId="57" priority="1" stopIfTrue="1">
      <formula>AND(ROW(Z9)=$AY$5)</formula>
    </cfRule>
    <cfRule type="expression" dxfId="56" priority="2" stopIfTrue="1">
      <formula>AND(AC9=1)</formula>
    </cfRule>
  </conditionalFormatting>
  <conditionalFormatting sqref="AA9">
    <cfRule type="expression" dxfId="55" priority="3" stopIfTrue="1">
      <formula>AND($AC9=2)</formula>
    </cfRule>
  </conditionalFormatting>
  <conditionalFormatting sqref="AB9">
    <cfRule type="expression" dxfId="54" priority="4" stopIfTrue="1">
      <formula>AND($AC9=3)</formula>
    </cfRule>
  </conditionalFormatting>
  <conditionalFormatting sqref="A9">
    <cfRule type="expression" dxfId="53" priority="5" stopIfTrue="1">
      <formula>AND(A9=RIGHT($A$7,1))</formula>
    </cfRule>
  </conditionalFormatting>
  <conditionalFormatting sqref="K9 T9:U9 O9 Y9 C9:G9">
    <cfRule type="expression" dxfId="52" priority="6" stopIfTrue="1">
      <formula>AND(ROW(C9)=$AY$5)</formula>
    </cfRule>
  </conditionalFormatting>
  <conditionalFormatting sqref="B9">
    <cfRule type="cellIs" dxfId="51" priority="12" stopIfTrue="1" operator="equal">
      <formula>$A$1</formula>
    </cfRule>
    <cfRule type="expression" dxfId="50" priority="13" stopIfTrue="1">
      <formula>AND(ROW(B9)=$AG$7)</formula>
    </cfRule>
  </conditionalFormatting>
  <conditionalFormatting sqref="AD9">
    <cfRule type="expression" dxfId="49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12 V8:V12 L8:L12">
      <formula1>AND(MOD(L8,IF($F$2="Lb",5,2.5))=0)</formula1>
    </dataValidation>
    <dataValidation type="list" errorStyle="information" allowBlank="1" showInputMessage="1" showErrorMessage="1" sqref="AC8:AC12">
      <formula1>"1,2,3"</formula1>
    </dataValidation>
    <dataValidation type="list" allowBlank="1" showInputMessage="1" showErrorMessage="1" sqref="D8:D12">
      <formula1>INDIRECT($AS$3)</formula1>
    </dataValidation>
    <dataValidation type="list" allowBlank="1" showInputMessage="1" showErrorMessage="1" sqref="C8:C12">
      <formula1>INDIRECT($AS$4)</formula1>
    </dataValidation>
    <dataValidation type="list" allowBlank="1" showInputMessage="1" showErrorMessage="1" sqref="AC13:AC6550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12 R8:S12 M8:N12">
      <formula1>AND(M8&gt;L8,M8&gt;=ABS(L8),MOD(M8,IF($F$2="Lb",5,2.5))=0)</formula1>
    </dataValidation>
    <dataValidation type="list" allowBlank="1" showInputMessage="1" showErrorMessage="1" sqref="A8:A6550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21" customWidth="1"/>
    <col min="2" max="2" width="7.7109375" style="266" customWidth="1"/>
    <col min="3" max="3" width="6.85546875" style="266" customWidth="1"/>
    <col min="4" max="4" width="22.7109375" style="266" customWidth="1"/>
    <col min="5" max="5" width="7.85546875" style="266" bestFit="1" customWidth="1"/>
    <col min="6" max="6" width="8.5703125" style="266" customWidth="1"/>
    <col min="7" max="7" width="9.140625" style="221"/>
    <col min="8" max="16" width="8.7109375" style="217" customWidth="1"/>
    <col min="17" max="17" width="8.7109375" style="225" customWidth="1"/>
    <col min="18" max="18" width="8.7109375" style="217" hidden="1" customWidth="1"/>
    <col min="19" max="26" width="9.140625" style="221" hidden="1" customWidth="1"/>
    <col min="27" max="27" width="1.7109375" style="221" customWidth="1"/>
    <col min="28" max="16384" width="9.140625" style="221"/>
  </cols>
  <sheetData>
    <row r="1" spans="2:18" s="216" customFormat="1" ht="9" customHeight="1" x14ac:dyDescent="0.2">
      <c r="B1" s="261"/>
      <c r="C1" s="251"/>
      <c r="D1" s="251"/>
      <c r="E1" s="251"/>
      <c r="F1" s="251"/>
      <c r="G1" s="213"/>
      <c r="H1" s="212"/>
      <c r="I1" s="214"/>
      <c r="J1" s="214"/>
      <c r="K1" s="214"/>
      <c r="L1" s="214"/>
      <c r="M1" s="214"/>
      <c r="N1" s="214"/>
      <c r="O1" s="212"/>
      <c r="P1" s="212"/>
      <c r="Q1" s="215"/>
    </row>
    <row r="2" spans="2:18" ht="9" customHeight="1" x14ac:dyDescent="0.75">
      <c r="B2" s="350"/>
      <c r="C2" s="350"/>
      <c r="D2" s="350"/>
      <c r="E2" s="350"/>
      <c r="F2" s="350"/>
      <c r="G2" s="350"/>
      <c r="H2" s="351" t="str">
        <f ca="1">IF(Lifting!C2="","",CONCATENATE(Lifting!C2," kg"))</f>
        <v>145 kg</v>
      </c>
      <c r="I2" s="351"/>
      <c r="J2" s="351"/>
      <c r="K2" s="213"/>
      <c r="O2" s="218"/>
      <c r="P2" s="219"/>
      <c r="Q2" s="220"/>
      <c r="R2" s="219"/>
    </row>
    <row r="3" spans="2:18" ht="15" customHeight="1" x14ac:dyDescent="0.75">
      <c r="B3" s="350"/>
      <c r="C3" s="350"/>
      <c r="D3" s="350"/>
      <c r="E3" s="350"/>
      <c r="F3" s="350"/>
      <c r="G3" s="350"/>
      <c r="H3" s="351"/>
      <c r="I3" s="351"/>
      <c r="J3" s="351"/>
      <c r="K3" s="213"/>
      <c r="O3" s="219"/>
      <c r="P3" s="219"/>
      <c r="Q3" s="220"/>
      <c r="R3" s="219"/>
    </row>
    <row r="4" spans="2:18" ht="9" customHeight="1" x14ac:dyDescent="0.75">
      <c r="B4" s="350"/>
      <c r="C4" s="350"/>
      <c r="D4" s="350"/>
      <c r="E4" s="350"/>
      <c r="F4" s="350"/>
      <c r="G4" s="350"/>
      <c r="H4" s="351"/>
      <c r="I4" s="351"/>
      <c r="J4" s="351"/>
      <c r="K4" s="213"/>
      <c r="O4" s="219"/>
      <c r="P4" s="219"/>
      <c r="Q4" s="220"/>
      <c r="R4" s="219"/>
    </row>
    <row r="5" spans="2:18" ht="15" customHeight="1" x14ac:dyDescent="0.75">
      <c r="B5" s="352"/>
      <c r="C5" s="352"/>
      <c r="D5" s="352"/>
      <c r="E5" s="352"/>
      <c r="F5" s="352"/>
      <c r="G5" s="352"/>
      <c r="H5" s="351"/>
      <c r="I5" s="351"/>
      <c r="J5" s="351"/>
      <c r="O5" s="219"/>
      <c r="P5" s="219"/>
      <c r="Q5" s="220"/>
      <c r="R5" s="219"/>
    </row>
    <row r="6" spans="2:18" ht="15" customHeight="1" x14ac:dyDescent="0.2">
      <c r="B6" s="352"/>
      <c r="C6" s="352"/>
      <c r="D6" s="352"/>
      <c r="E6" s="352"/>
      <c r="F6" s="352"/>
      <c r="G6" s="352"/>
      <c r="H6" s="353" t="str">
        <f ca="1">Lifting!F4</f>
        <v>Total = 330</v>
      </c>
      <c r="I6" s="353"/>
      <c r="J6" s="353"/>
      <c r="K6" s="222"/>
      <c r="O6" s="223"/>
      <c r="P6" s="223"/>
      <c r="Q6" s="224"/>
      <c r="R6" s="216"/>
    </row>
    <row r="7" spans="2:18" ht="15" customHeight="1" x14ac:dyDescent="0.2">
      <c r="B7" s="354"/>
      <c r="C7" s="354"/>
      <c r="D7" s="354"/>
      <c r="E7" s="354"/>
      <c r="F7" s="354"/>
      <c r="G7" s="354"/>
      <c r="H7" s="353"/>
      <c r="I7" s="353"/>
      <c r="J7" s="353"/>
      <c r="R7" s="221"/>
    </row>
    <row r="8" spans="2:18" ht="3" customHeight="1" x14ac:dyDescent="0.25">
      <c r="B8" s="253"/>
      <c r="C8" s="262"/>
      <c r="D8" s="253"/>
      <c r="E8" s="252"/>
      <c r="F8" s="252"/>
      <c r="G8" s="226"/>
      <c r="H8" s="353"/>
      <c r="I8" s="353"/>
      <c r="J8" s="353"/>
      <c r="K8" s="227"/>
      <c r="L8" s="227"/>
      <c r="M8" s="227"/>
      <c r="N8" s="227"/>
      <c r="R8" s="221"/>
    </row>
    <row r="9" spans="2:18" ht="9" customHeight="1" x14ac:dyDescent="0.2">
      <c r="B9" s="252"/>
      <c r="C9" s="262"/>
      <c r="D9" s="252"/>
      <c r="E9" s="252"/>
      <c r="F9" s="252"/>
      <c r="G9" s="228"/>
      <c r="H9" s="228"/>
      <c r="I9" s="228"/>
      <c r="J9" s="228"/>
      <c r="K9" s="229"/>
      <c r="L9" s="229"/>
      <c r="M9" s="229"/>
      <c r="R9" s="221"/>
    </row>
    <row r="10" spans="2:18" ht="15" x14ac:dyDescent="0.2">
      <c r="B10" s="263" t="s">
        <v>203</v>
      </c>
      <c r="C10" s="264" t="s">
        <v>204</v>
      </c>
      <c r="D10" s="264" t="s">
        <v>205</v>
      </c>
      <c r="E10" s="264" t="s">
        <v>206</v>
      </c>
      <c r="F10" s="264" t="s">
        <v>207</v>
      </c>
      <c r="G10" s="230" t="s">
        <v>208</v>
      </c>
      <c r="H10" s="230" t="s">
        <v>209</v>
      </c>
      <c r="I10" s="230" t="s">
        <v>210</v>
      </c>
      <c r="J10" s="230" t="s">
        <v>211</v>
      </c>
      <c r="K10" s="230" t="s">
        <v>212</v>
      </c>
      <c r="L10" s="230" t="s">
        <v>213</v>
      </c>
      <c r="M10" s="230" t="s">
        <v>214</v>
      </c>
      <c r="N10" s="230" t="s">
        <v>215</v>
      </c>
      <c r="O10" s="231" t="s">
        <v>216</v>
      </c>
      <c r="P10" s="231" t="s">
        <v>217</v>
      </c>
      <c r="Q10" s="232" t="s">
        <v>194</v>
      </c>
      <c r="R10" s="221"/>
    </row>
    <row r="11" spans="2:18" ht="15" x14ac:dyDescent="0.2">
      <c r="B11" s="265" t="str">
        <f ca="1">IF(INDIRECT("Lifting!A9")="","",INDIRECT("Lifting!A9"))</f>
        <v>A</v>
      </c>
      <c r="C11" s="265">
        <f ca="1">IF(INDIRECT("Lifting!G9")="","",INDIRECT("Lifting!G9"))</f>
        <v>44</v>
      </c>
      <c r="D11" s="265" t="str">
        <f ca="1">IF(INDIRECT("Lifting!B9")="","",INDIRECT("Lifting!B9"))</f>
        <v>Lifter 3</v>
      </c>
      <c r="E11" s="265" t="str">
        <f ca="1">IF(INDIRECT("Lifting!C9")="","",INDIRECT("Lifting!C9"))</f>
        <v>GKK</v>
      </c>
      <c r="F11" s="265">
        <f ca="1">IF(INDIRECT("Lifting!E9")="","",INDIRECT("Lifting!E9"))</f>
        <v>62</v>
      </c>
      <c r="G11" s="235">
        <f ca="1">IF(INDIRECT("Lifting!L9")="","",ABS(INDIRECT("Lifting!L9")))</f>
        <v>115</v>
      </c>
      <c r="H11" s="235">
        <f ca="1">IF(INDIRECT("Lifting!M9")="","",ABS(INDIRECT("Lifting!M9")))</f>
        <v>120</v>
      </c>
      <c r="I11" s="235">
        <f ca="1">IF(INDIRECT("Lifting!N9")="","",ABS(INDIRECT("Lifting!N9")))</f>
        <v>125</v>
      </c>
      <c r="J11" s="235">
        <f ca="1">IF(INDIRECT("Lifting!Q9")="","",ABS(INDIRECT("Lifting!Q9")))</f>
        <v>65</v>
      </c>
      <c r="K11" s="235">
        <f ca="1">IF(INDIRECT("Lifting!R9")="","",ABS(INDIRECT("Lifting!R9")))</f>
        <v>67.5</v>
      </c>
      <c r="L11" s="235" t="str">
        <f ca="1">IF(INDIRECT("Lifting!S9")="","",ABS(INDIRECT("Lifting!S9")))</f>
        <v/>
      </c>
      <c r="M11" s="235">
        <f ca="1">IF(INDIRECT("Lifting!V9")="","",ABS(INDIRECT("Lifting!V9")))</f>
        <v>145</v>
      </c>
      <c r="N11" s="235">
        <f ca="1">IF(INDIRECT("Lifting!W9")="","",ABS(INDIRECT("Lifting!W9")))</f>
        <v>150</v>
      </c>
      <c r="O11" s="235" t="str">
        <f ca="1">IF(INDIRECT("Lifting!X9")="","",ABS(INDIRECT("Lifting!X9")))</f>
        <v/>
      </c>
      <c r="P11" s="235">
        <f ca="1">IF(INDIRECT("Lifting!O9")+INDIRECT("Lifting!T9")+INDIRECT("Lifting!Y9")&gt;0,INDIRECT("Lifting!O9")+INDIRECT("Lifting!T9")+INDIRECT("Lifting!Y9"),"")</f>
        <v>330</v>
      </c>
      <c r="Q11" s="236">
        <f ca="1">IF(P11="","",P11*INDIRECT("Lifting!H9"))</f>
        <v>358.74300956726074</v>
      </c>
      <c r="R11" s="221"/>
    </row>
    <row r="12" spans="2:18" ht="15" x14ac:dyDescent="0.2">
      <c r="B12" s="265" t="str">
        <f ca="1">IF(INDIRECT("Lifting!A10")="","",INDIRECT("Lifting!A10"))</f>
        <v>A</v>
      </c>
      <c r="C12" s="265">
        <f ca="1">IF(INDIRECT("Lifting!G10")="","",INDIRECT("Lifting!G10"))</f>
        <v>15</v>
      </c>
      <c r="D12" s="265" t="str">
        <f ca="1">IF(INDIRECT("Lifting!B10")="","",INDIRECT("Lifting!B10"))</f>
        <v>Lifter 1</v>
      </c>
      <c r="E12" s="265" t="str">
        <f ca="1">IF(INDIRECT("Lifting!C10")="","",INDIRECT("Lifting!C10"))</f>
        <v>GKK</v>
      </c>
      <c r="F12" s="265">
        <f ca="1">IF(INDIRECT("Lifting!E10")="","",INDIRECT("Lifting!E10"))</f>
        <v>77</v>
      </c>
      <c r="G12" s="235">
        <f ca="1">IF(INDIRECT("Lifting!L10")="","",ABS(INDIRECT("Lifting!L10")))</f>
        <v>190</v>
      </c>
      <c r="H12" s="235">
        <f ca="1">IF(INDIRECT("Lifting!M10")="","",ABS(INDIRECT("Lifting!M10")))</f>
        <v>200</v>
      </c>
      <c r="I12" s="235">
        <f ca="1">IF(INDIRECT("Lifting!N10")="","",ABS(INDIRECT("Lifting!N10")))</f>
        <v>205</v>
      </c>
      <c r="J12" s="235">
        <f ca="1">IF(INDIRECT("Lifting!Q10")="","",ABS(INDIRECT("Lifting!Q10")))</f>
        <v>135</v>
      </c>
      <c r="K12" s="235">
        <f ca="1">IF(INDIRECT("Lifting!R10")="","",ABS(INDIRECT("Lifting!R10")))</f>
        <v>140</v>
      </c>
      <c r="L12" s="235" t="str">
        <f ca="1">IF(INDIRECT("Lifting!S10")="","",ABS(INDIRECT("Lifting!S10")))</f>
        <v/>
      </c>
      <c r="M12" s="235">
        <f ca="1">IF(INDIRECT("Lifting!V10")="","",ABS(INDIRECT("Lifting!V10")))</f>
        <v>200</v>
      </c>
      <c r="N12" s="235">
        <f ca="1">IF(INDIRECT("Lifting!W10")="","",ABS(INDIRECT("Lifting!W10")))</f>
        <v>210</v>
      </c>
      <c r="O12" s="235" t="str">
        <f ca="1">IF(INDIRECT("Lifting!X10")="","",ABS(INDIRECT("Lifting!X10")))</f>
        <v/>
      </c>
      <c r="P12" s="235">
        <f ca="1">IF(INDIRECT("Lifting!O10")+INDIRECT("Lifting!T10")+INDIRECT("Lifting!Y10")&gt;0,INDIRECT("Lifting!O10")+INDIRECT("Lifting!T10")+INDIRECT("Lifting!Y10"),"")</f>
        <v>335</v>
      </c>
      <c r="Q12" s="236">
        <f ca="1">IF(P12="","",P12*INDIRECT("Lifting!H10"))</f>
        <v>234.46649044752121</v>
      </c>
      <c r="R12" s="221"/>
    </row>
    <row r="13" spans="2:18" ht="15" x14ac:dyDescent="0.2">
      <c r="B13" s="265" t="str">
        <f ca="1">IF(INDIRECT("Lifting!A11")="","",INDIRECT("Lifting!A11"))</f>
        <v>A</v>
      </c>
      <c r="C13" s="265">
        <f ca="1">IF(INDIRECT("Lifting!G11")="","",INDIRECT("Lifting!G11"))</f>
        <v>32</v>
      </c>
      <c r="D13" s="265" t="str">
        <f ca="1">IF(INDIRECT("Lifting!B11")="","",INDIRECT("Lifting!B11"))</f>
        <v>Lifter 2</v>
      </c>
      <c r="E13" s="265" t="str">
        <f ca="1">IF(INDIRECT("Lifting!C11")="","",INDIRECT("Lifting!C11"))</f>
        <v>GKK</v>
      </c>
      <c r="F13" s="265">
        <f ca="1">IF(INDIRECT("Lifting!E11")="","",INDIRECT("Lifting!E11"))</f>
        <v>92</v>
      </c>
      <c r="G13" s="235">
        <f ca="1">IF(INDIRECT("Lifting!L11")="","",ABS(INDIRECT("Lifting!L11")))</f>
        <v>145</v>
      </c>
      <c r="H13" s="235">
        <f ca="1">IF(INDIRECT("Lifting!M11")="","",ABS(INDIRECT("Lifting!M11")))</f>
        <v>150</v>
      </c>
      <c r="I13" s="235">
        <f ca="1">IF(INDIRECT("Lifting!N11")="","",ABS(INDIRECT("Lifting!N11")))</f>
        <v>155</v>
      </c>
      <c r="J13" s="235">
        <f ca="1">IF(INDIRECT("Lifting!Q11")="","",ABS(INDIRECT("Lifting!Q11")))</f>
        <v>145</v>
      </c>
      <c r="K13" s="235" t="str">
        <f ca="1">IF(INDIRECT("Lifting!R11")="","",ABS(INDIRECT("Lifting!R11")))</f>
        <v/>
      </c>
      <c r="L13" s="235" t="str">
        <f ca="1">IF(INDIRECT("Lifting!S11")="","",ABS(INDIRECT("Lifting!S11")))</f>
        <v/>
      </c>
      <c r="M13" s="235">
        <f ca="1">IF(INDIRECT("Lifting!V11")="","",ABS(INDIRECT("Lifting!V11")))</f>
        <v>230</v>
      </c>
      <c r="N13" s="235" t="str">
        <f ca="1">IF(INDIRECT("Lifting!W11")="","",ABS(INDIRECT("Lifting!W11")))</f>
        <v/>
      </c>
      <c r="O13" s="235" t="str">
        <f ca="1">IF(INDIRECT("Lifting!X11")="","",ABS(INDIRECT("Lifting!X11")))</f>
        <v/>
      </c>
      <c r="P13" s="235">
        <f ca="1">IF(INDIRECT("Lifting!O11")+INDIRECT("Lifting!T11")+INDIRECT("Lifting!Y11")&gt;0,INDIRECT("Lifting!O11")+INDIRECT("Lifting!T11")+INDIRECT("Lifting!Y11"),"")</f>
        <v>150</v>
      </c>
      <c r="Q13" s="236">
        <f ca="1">IF(P13="","",P13*INDIRECT("Lifting!H11"))</f>
        <v>94.725000858306885</v>
      </c>
      <c r="R13" s="221"/>
    </row>
    <row r="14" spans="2:18" ht="15" x14ac:dyDescent="0.2">
      <c r="B14" s="265" t="str">
        <f ca="1">IF(INDIRECT("Lifting!A12")="","",INDIRECT("Lifting!A12"))</f>
        <v>B</v>
      </c>
      <c r="C14" s="265">
        <f ca="1">IF(INDIRECT("Lifting!G12")="","",INDIRECT("Lifting!G12"))</f>
        <v>54</v>
      </c>
      <c r="D14" s="265" t="str">
        <f ca="1">IF(INDIRECT("Lifting!B12")="","",INDIRECT("Lifting!B12"))</f>
        <v>Lifter 4</v>
      </c>
      <c r="E14" s="265" t="str">
        <f ca="1">IF(INDIRECT("Lifting!C12")="","",INDIRECT("Lifting!C12"))</f>
        <v>GKK</v>
      </c>
      <c r="F14" s="265">
        <f ca="1">IF(INDIRECT("Lifting!E12")="","",INDIRECT("Lifting!E12"))</f>
        <v>83</v>
      </c>
      <c r="G14" s="235">
        <f ca="1">IF(INDIRECT("Lifting!L12")="","",ABS(INDIRECT("Lifting!L12")))</f>
        <v>130</v>
      </c>
      <c r="H14" s="235" t="str">
        <f ca="1">IF(INDIRECT("Lifting!M12")="","",ABS(INDIRECT("Lifting!M12")))</f>
        <v/>
      </c>
      <c r="I14" s="235" t="str">
        <f ca="1">IF(INDIRECT("Lifting!N12")="","",ABS(INDIRECT("Lifting!N12")))</f>
        <v/>
      </c>
      <c r="J14" s="235">
        <f ca="1">IF(INDIRECT("Lifting!Q12")="","",ABS(INDIRECT("Lifting!Q12")))</f>
        <v>130</v>
      </c>
      <c r="K14" s="235" t="str">
        <f ca="1">IF(INDIRECT("Lifting!R12")="","",ABS(INDIRECT("Lifting!R12")))</f>
        <v/>
      </c>
      <c r="L14" s="235" t="str">
        <f ca="1">IF(INDIRECT("Lifting!S12")="","",ABS(INDIRECT("Lifting!S12")))</f>
        <v/>
      </c>
      <c r="M14" s="235">
        <f ca="1">IF(INDIRECT("Lifting!V12")="","",ABS(INDIRECT("Lifting!V12")))</f>
        <v>200</v>
      </c>
      <c r="N14" s="235" t="str">
        <f ca="1">IF(INDIRECT("Lifting!W12")="","",ABS(INDIRECT("Lifting!W12")))</f>
        <v/>
      </c>
      <c r="O14" s="235" t="str">
        <f ca="1">IF(INDIRECT("Lifting!X12")="","",ABS(INDIRECT("Lifting!X12")))</f>
        <v/>
      </c>
      <c r="P14" s="235" t="str">
        <f ca="1">IF(INDIRECT("Lifting!O12")+INDIRECT("Lifting!T12")+INDIRECT("Lifting!Y12")&gt;0,INDIRECT("Lifting!O12")+INDIRECT("Lifting!T12")+INDIRECT("Lifting!Y12"),"")</f>
        <v/>
      </c>
      <c r="Q14" s="236" t="str">
        <f ca="1">IF(P14="","",P14*INDIRECT("Lifting!H12"))</f>
        <v/>
      </c>
      <c r="R14" s="221"/>
    </row>
    <row r="15" spans="2:18" ht="15" x14ac:dyDescent="0.2">
      <c r="B15" s="265" t="str">
        <f ca="1">IF(INDIRECT("Lifting!A13")="","",INDIRECT("Lifting!A13"))</f>
        <v/>
      </c>
      <c r="C15" s="265" t="str">
        <f ca="1">IF(INDIRECT("Lifting!G13")="","",INDIRECT("Lifting!G13"))</f>
        <v/>
      </c>
      <c r="D15" s="265" t="str">
        <f ca="1">IF(INDIRECT("Lifting!B13")="","",INDIRECT("Lifting!B13"))</f>
        <v/>
      </c>
      <c r="E15" s="265" t="str">
        <f ca="1">IF(INDIRECT("Lifting!C13")="","",INDIRECT("Lifting!C13"))</f>
        <v/>
      </c>
      <c r="F15" s="265" t="str">
        <f ca="1">IF(INDIRECT("Lifting!E13")="","",INDIRECT("Lifting!E13"))</f>
        <v/>
      </c>
      <c r="G15" s="235" t="str">
        <f ca="1">IF(INDIRECT("Lifting!L13")="","",ABS(INDIRECT("Lifting!L13")))</f>
        <v/>
      </c>
      <c r="H15" s="235" t="str">
        <f ca="1">IF(INDIRECT("Lifting!M13")="","",ABS(INDIRECT("Lifting!M13")))</f>
        <v/>
      </c>
      <c r="I15" s="235" t="str">
        <f ca="1">IF(INDIRECT("Lifting!N13")="","",ABS(INDIRECT("Lifting!N13")))</f>
        <v/>
      </c>
      <c r="J15" s="235" t="str">
        <f ca="1">IF(INDIRECT("Lifting!Q13")="","",ABS(INDIRECT("Lifting!Q13")))</f>
        <v/>
      </c>
      <c r="K15" s="235" t="str">
        <f ca="1">IF(INDIRECT("Lifting!R13")="","",ABS(INDIRECT("Lifting!R13")))</f>
        <v/>
      </c>
      <c r="L15" s="235" t="str">
        <f ca="1">IF(INDIRECT("Lifting!S13")="","",ABS(INDIRECT("Lifting!S13")))</f>
        <v/>
      </c>
      <c r="M15" s="235" t="str">
        <f ca="1">IF(INDIRECT("Lifting!V13")="","",ABS(INDIRECT("Lifting!V13")))</f>
        <v/>
      </c>
      <c r="N15" s="235" t="str">
        <f ca="1">IF(INDIRECT("Lifting!W13")="","",ABS(INDIRECT("Lifting!W13")))</f>
        <v/>
      </c>
      <c r="O15" s="235" t="str">
        <f ca="1">IF(INDIRECT("Lifting!X13")="","",ABS(INDIRECT("Lifting!X13")))</f>
        <v/>
      </c>
      <c r="P15" s="235" t="str">
        <f ca="1">IF(INDIRECT("Lifting!O13")+INDIRECT("Lifting!T13")+INDIRECT("Lifting!Y13")&gt;0,INDIRECT("Lifting!O13")+INDIRECT("Lifting!T13")+INDIRECT("Lifting!Y13"),"")</f>
        <v/>
      </c>
      <c r="Q15" s="236" t="str">
        <f ca="1">IF(P15="","",P15*INDIRECT("Lifting!H13"))</f>
        <v/>
      </c>
      <c r="R15" s="221"/>
    </row>
    <row r="16" spans="2:18" ht="15" x14ac:dyDescent="0.2">
      <c r="B16" s="265" t="str">
        <f ca="1">IF(INDIRECT("Lifting!A14")="","",INDIRECT("Lifting!A14"))</f>
        <v/>
      </c>
      <c r="C16" s="265" t="str">
        <f ca="1">IF(INDIRECT("Lifting!G14")="","",INDIRECT("Lifting!G14"))</f>
        <v/>
      </c>
      <c r="D16" s="265" t="str">
        <f ca="1">IF(INDIRECT("Lifting!B14")="","",INDIRECT("Lifting!B14"))</f>
        <v/>
      </c>
      <c r="E16" s="265" t="str">
        <f ca="1">IF(INDIRECT("Lifting!C14")="","",INDIRECT("Lifting!C14"))</f>
        <v/>
      </c>
      <c r="F16" s="265" t="str">
        <f ca="1">IF(INDIRECT("Lifting!E14")="","",INDIRECT("Lifting!E14"))</f>
        <v/>
      </c>
      <c r="G16" s="235" t="str">
        <f ca="1">IF(INDIRECT("Lifting!L14")="","",ABS(INDIRECT("Lifting!L14")))</f>
        <v/>
      </c>
      <c r="H16" s="235" t="str">
        <f ca="1">IF(INDIRECT("Lifting!M14")="","",ABS(INDIRECT("Lifting!M14")))</f>
        <v/>
      </c>
      <c r="I16" s="235" t="str">
        <f ca="1">IF(INDIRECT("Lifting!N14")="","",ABS(INDIRECT("Lifting!N14")))</f>
        <v/>
      </c>
      <c r="J16" s="235" t="str">
        <f ca="1">IF(INDIRECT("Lifting!Q14")="","",ABS(INDIRECT("Lifting!Q14")))</f>
        <v/>
      </c>
      <c r="K16" s="235" t="str">
        <f ca="1">IF(INDIRECT("Lifting!R14")="","",ABS(INDIRECT("Lifting!R14")))</f>
        <v/>
      </c>
      <c r="L16" s="235" t="str">
        <f ca="1">IF(INDIRECT("Lifting!S14")="","",ABS(INDIRECT("Lifting!S14")))</f>
        <v/>
      </c>
      <c r="M16" s="235" t="str">
        <f ca="1">IF(INDIRECT("Lifting!V14")="","",ABS(INDIRECT("Lifting!V14")))</f>
        <v/>
      </c>
      <c r="N16" s="235" t="str">
        <f ca="1">IF(INDIRECT("Lifting!W14")="","",ABS(INDIRECT("Lifting!W14")))</f>
        <v/>
      </c>
      <c r="O16" s="235" t="str">
        <f ca="1">IF(INDIRECT("Lifting!X14")="","",ABS(INDIRECT("Lifting!X14")))</f>
        <v/>
      </c>
      <c r="P16" s="235" t="str">
        <f ca="1">IF(INDIRECT("Lifting!O14")+INDIRECT("Lifting!T14")+INDIRECT("Lifting!Y14")&gt;0,INDIRECT("Lifting!O14")+INDIRECT("Lifting!T14")+INDIRECT("Lifting!Y14"),"")</f>
        <v/>
      </c>
      <c r="Q16" s="236" t="str">
        <f ca="1">IF(P16="","",P16*INDIRECT("Lifting!H14"))</f>
        <v/>
      </c>
      <c r="R16" s="221"/>
    </row>
    <row r="17" spans="2:18" ht="15" x14ac:dyDescent="0.2">
      <c r="B17" s="265" t="str">
        <f ca="1">IF(INDIRECT("Lifting!A15")="","",INDIRECT("Lifting!A15"))</f>
        <v/>
      </c>
      <c r="C17" s="265" t="str">
        <f ca="1">IF(INDIRECT("Lifting!G15")="","",INDIRECT("Lifting!G15"))</f>
        <v/>
      </c>
      <c r="D17" s="265" t="str">
        <f ca="1">IF(INDIRECT("Lifting!B15")="","",INDIRECT("Lifting!B15"))</f>
        <v/>
      </c>
      <c r="E17" s="265" t="str">
        <f ca="1">IF(INDIRECT("Lifting!C15")="","",INDIRECT("Lifting!C15"))</f>
        <v/>
      </c>
      <c r="F17" s="265" t="str">
        <f ca="1">IF(INDIRECT("Lifting!E15")="","",INDIRECT("Lifting!E15"))</f>
        <v/>
      </c>
      <c r="G17" s="235" t="str">
        <f ca="1">IF(INDIRECT("Lifting!L15")="","",ABS(INDIRECT("Lifting!L15")))</f>
        <v/>
      </c>
      <c r="H17" s="235" t="str">
        <f ca="1">IF(INDIRECT("Lifting!M15")="","",ABS(INDIRECT("Lifting!M15")))</f>
        <v/>
      </c>
      <c r="I17" s="235" t="str">
        <f ca="1">IF(INDIRECT("Lifting!N15")="","",ABS(INDIRECT("Lifting!N15")))</f>
        <v/>
      </c>
      <c r="J17" s="235" t="str">
        <f ca="1">IF(INDIRECT("Lifting!Q15")="","",ABS(INDIRECT("Lifting!Q15")))</f>
        <v/>
      </c>
      <c r="K17" s="235" t="str">
        <f ca="1">IF(INDIRECT("Lifting!R15")="","",ABS(INDIRECT("Lifting!R15")))</f>
        <v/>
      </c>
      <c r="L17" s="235" t="str">
        <f ca="1">IF(INDIRECT("Lifting!S15")="","",ABS(INDIRECT("Lifting!S15")))</f>
        <v/>
      </c>
      <c r="M17" s="235" t="str">
        <f ca="1">IF(INDIRECT("Lifting!V15")="","",ABS(INDIRECT("Lifting!V15")))</f>
        <v/>
      </c>
      <c r="N17" s="235" t="str">
        <f ca="1">IF(INDIRECT("Lifting!W15")="","",ABS(INDIRECT("Lifting!W15")))</f>
        <v/>
      </c>
      <c r="O17" s="235" t="str">
        <f ca="1">IF(INDIRECT("Lifting!X15")="","",ABS(INDIRECT("Lifting!X15")))</f>
        <v/>
      </c>
      <c r="P17" s="235" t="str">
        <f ca="1">IF(INDIRECT("Lifting!O15")+INDIRECT("Lifting!T15")+INDIRECT("Lifting!Y15")&gt;0,INDIRECT("Lifting!O15")+INDIRECT("Lifting!T15")+INDIRECT("Lifting!Y15"),"")</f>
        <v/>
      </c>
      <c r="Q17" s="236" t="str">
        <f ca="1">IF(P17="","",P17*INDIRECT("Lifting!H15"))</f>
        <v/>
      </c>
      <c r="R17" s="221"/>
    </row>
    <row r="18" spans="2:18" ht="15" x14ac:dyDescent="0.2">
      <c r="B18" s="265" t="str">
        <f ca="1">IF(INDIRECT("Lifting!A16")="","",INDIRECT("Lifting!A16"))</f>
        <v/>
      </c>
      <c r="C18" s="265" t="str">
        <f ca="1">IF(INDIRECT("Lifting!G16")="","",INDIRECT("Lifting!G16"))</f>
        <v/>
      </c>
      <c r="D18" s="265" t="str">
        <f ca="1">IF(INDIRECT("Lifting!B16")="","",INDIRECT("Lifting!B16"))</f>
        <v/>
      </c>
      <c r="E18" s="265" t="str">
        <f ca="1">IF(INDIRECT("Lifting!C16")="","",INDIRECT("Lifting!C16"))</f>
        <v/>
      </c>
      <c r="F18" s="265" t="str">
        <f ca="1">IF(INDIRECT("Lifting!E16")="","",INDIRECT("Lifting!E16"))</f>
        <v/>
      </c>
      <c r="G18" s="235" t="str">
        <f ca="1">IF(INDIRECT("Lifting!L16")="","",ABS(INDIRECT("Lifting!L16")))</f>
        <v/>
      </c>
      <c r="H18" s="235" t="str">
        <f ca="1">IF(INDIRECT("Lifting!M16")="","",ABS(INDIRECT("Lifting!M16")))</f>
        <v/>
      </c>
      <c r="I18" s="235" t="str">
        <f ca="1">IF(INDIRECT("Lifting!N16")="","",ABS(INDIRECT("Lifting!N16")))</f>
        <v/>
      </c>
      <c r="J18" s="235" t="str">
        <f ca="1">IF(INDIRECT("Lifting!Q16")="","",ABS(INDIRECT("Lifting!Q16")))</f>
        <v/>
      </c>
      <c r="K18" s="235" t="str">
        <f ca="1">IF(INDIRECT("Lifting!R16")="","",ABS(INDIRECT("Lifting!R16")))</f>
        <v/>
      </c>
      <c r="L18" s="235" t="str">
        <f ca="1">IF(INDIRECT("Lifting!S16")="","",ABS(INDIRECT("Lifting!S16")))</f>
        <v/>
      </c>
      <c r="M18" s="235" t="str">
        <f ca="1">IF(INDIRECT("Lifting!V16")="","",ABS(INDIRECT("Lifting!V16")))</f>
        <v/>
      </c>
      <c r="N18" s="235" t="str">
        <f ca="1">IF(INDIRECT("Lifting!W16")="","",ABS(INDIRECT("Lifting!W16")))</f>
        <v/>
      </c>
      <c r="O18" s="235" t="str">
        <f ca="1">IF(INDIRECT("Lifting!X16")="","",ABS(INDIRECT("Lifting!X16")))</f>
        <v/>
      </c>
      <c r="P18" s="235" t="str">
        <f ca="1">IF(INDIRECT("Lifting!O16")+INDIRECT("Lifting!T16")+INDIRECT("Lifting!Y16")&gt;0,INDIRECT("Lifting!O16")+INDIRECT("Lifting!T16")+INDIRECT("Lifting!Y16"),"")</f>
        <v/>
      </c>
      <c r="Q18" s="236" t="str">
        <f ca="1">IF(P18="","",P18*INDIRECT("Lifting!H16"))</f>
        <v/>
      </c>
      <c r="R18" s="221"/>
    </row>
    <row r="19" spans="2:18" ht="15" x14ac:dyDescent="0.2">
      <c r="B19" s="265" t="str">
        <f ca="1">IF(INDIRECT("Lifting!A17")="","",INDIRECT("Lifting!A17"))</f>
        <v/>
      </c>
      <c r="C19" s="265" t="str">
        <f ca="1">IF(INDIRECT("Lifting!G17")="","",INDIRECT("Lifting!G17"))</f>
        <v/>
      </c>
      <c r="D19" s="265" t="str">
        <f ca="1">IF(INDIRECT("Lifting!B17")="","",INDIRECT("Lifting!B17"))</f>
        <v/>
      </c>
      <c r="E19" s="265" t="str">
        <f ca="1">IF(INDIRECT("Lifting!C17")="","",INDIRECT("Lifting!C17"))</f>
        <v/>
      </c>
      <c r="F19" s="265" t="str">
        <f ca="1">IF(INDIRECT("Lifting!E17")="","",INDIRECT("Lifting!E17"))</f>
        <v/>
      </c>
      <c r="G19" s="235" t="str">
        <f ca="1">IF(INDIRECT("Lifting!L17")="","",ABS(INDIRECT("Lifting!L17")))</f>
        <v/>
      </c>
      <c r="H19" s="235" t="str">
        <f ca="1">IF(INDIRECT("Lifting!M17")="","",ABS(INDIRECT("Lifting!M17")))</f>
        <v/>
      </c>
      <c r="I19" s="235" t="str">
        <f ca="1">IF(INDIRECT("Lifting!N17")="","",ABS(INDIRECT("Lifting!N17")))</f>
        <v/>
      </c>
      <c r="J19" s="235" t="str">
        <f ca="1">IF(INDIRECT("Lifting!Q17")="","",ABS(INDIRECT("Lifting!Q17")))</f>
        <v/>
      </c>
      <c r="K19" s="235" t="str">
        <f ca="1">IF(INDIRECT("Lifting!R17")="","",ABS(INDIRECT("Lifting!R17")))</f>
        <v/>
      </c>
      <c r="L19" s="235" t="str">
        <f ca="1">IF(INDIRECT("Lifting!S17")="","",ABS(INDIRECT("Lifting!S17")))</f>
        <v/>
      </c>
      <c r="M19" s="235" t="str">
        <f ca="1">IF(INDIRECT("Lifting!V17")="","",ABS(INDIRECT("Lifting!V17")))</f>
        <v/>
      </c>
      <c r="N19" s="235" t="str">
        <f ca="1">IF(INDIRECT("Lifting!W17")="","",ABS(INDIRECT("Lifting!W17")))</f>
        <v/>
      </c>
      <c r="O19" s="235" t="str">
        <f ca="1">IF(INDIRECT("Lifting!X17")="","",ABS(INDIRECT("Lifting!X17")))</f>
        <v/>
      </c>
      <c r="P19" s="235" t="str">
        <f ca="1">IF(INDIRECT("Lifting!O17")+INDIRECT("Lifting!T17")+INDIRECT("Lifting!Y17")&gt;0,INDIRECT("Lifting!O17")+INDIRECT("Lifting!T17")+INDIRECT("Lifting!Y17"),"")</f>
        <v/>
      </c>
      <c r="Q19" s="236" t="str">
        <f ca="1">IF(P19="","",P19*INDIRECT("Lifting!H17"))</f>
        <v/>
      </c>
      <c r="R19" s="221"/>
    </row>
    <row r="20" spans="2:18" ht="15" x14ac:dyDescent="0.2">
      <c r="B20" s="265" t="str">
        <f ca="1">IF(INDIRECT("Lifting!A18")="","",INDIRECT("Lifting!A18"))</f>
        <v/>
      </c>
      <c r="C20" s="265" t="str">
        <f ca="1">IF(INDIRECT("Lifting!G18")="","",INDIRECT("Lifting!G18"))</f>
        <v/>
      </c>
      <c r="D20" s="265" t="str">
        <f ca="1">IF(INDIRECT("Lifting!B18")="","",INDIRECT("Lifting!B18"))</f>
        <v/>
      </c>
      <c r="E20" s="265" t="str">
        <f ca="1">IF(INDIRECT("Lifting!C18")="","",INDIRECT("Lifting!C18"))</f>
        <v/>
      </c>
      <c r="F20" s="265" t="str">
        <f ca="1">IF(INDIRECT("Lifting!E18")="","",INDIRECT("Lifting!E18"))</f>
        <v/>
      </c>
      <c r="G20" s="235" t="str">
        <f ca="1">IF(INDIRECT("Lifting!L18")="","",ABS(INDIRECT("Lifting!L18")))</f>
        <v/>
      </c>
      <c r="H20" s="235" t="str">
        <f ca="1">IF(INDIRECT("Lifting!M18")="","",ABS(INDIRECT("Lifting!M18")))</f>
        <v/>
      </c>
      <c r="I20" s="235" t="str">
        <f ca="1">IF(INDIRECT("Lifting!N18")="","",ABS(INDIRECT("Lifting!N18")))</f>
        <v/>
      </c>
      <c r="J20" s="235" t="str">
        <f ca="1">IF(INDIRECT("Lifting!Q18")="","",ABS(INDIRECT("Lifting!Q18")))</f>
        <v/>
      </c>
      <c r="K20" s="235" t="str">
        <f ca="1">IF(INDIRECT("Lifting!R18")="","",ABS(INDIRECT("Lifting!R18")))</f>
        <v/>
      </c>
      <c r="L20" s="235" t="str">
        <f ca="1">IF(INDIRECT("Lifting!S18")="","",ABS(INDIRECT("Lifting!S18")))</f>
        <v/>
      </c>
      <c r="M20" s="235" t="str">
        <f ca="1">IF(INDIRECT("Lifting!V18")="","",ABS(INDIRECT("Lifting!V18")))</f>
        <v/>
      </c>
      <c r="N20" s="235" t="str">
        <f ca="1">IF(INDIRECT("Lifting!W18")="","",ABS(INDIRECT("Lifting!W18")))</f>
        <v/>
      </c>
      <c r="O20" s="235" t="str">
        <f ca="1">IF(INDIRECT("Lifting!X18")="","",ABS(INDIRECT("Lifting!X18")))</f>
        <v/>
      </c>
      <c r="P20" s="235" t="str">
        <f ca="1">IF(INDIRECT("Lifting!O18")+INDIRECT("Lifting!T18")+INDIRECT("Lifting!Y18")&gt;0,INDIRECT("Lifting!O18")+INDIRECT("Lifting!T18")+INDIRECT("Lifting!Y18"),"")</f>
        <v/>
      </c>
      <c r="Q20" s="236" t="str">
        <f ca="1">IF(P20="","",P20*INDIRECT("Lifting!H18"))</f>
        <v/>
      </c>
      <c r="R20" s="221"/>
    </row>
    <row r="21" spans="2:18" ht="15" x14ac:dyDescent="0.2">
      <c r="B21" s="265" t="str">
        <f ca="1">IF(INDIRECT("Lifting!A19")="","",INDIRECT("Lifting!A19"))</f>
        <v/>
      </c>
      <c r="C21" s="265" t="str">
        <f ca="1">IF(INDIRECT("Lifting!G19")="","",INDIRECT("Lifting!G19"))</f>
        <v/>
      </c>
      <c r="D21" s="265" t="str">
        <f ca="1">IF(INDIRECT("Lifting!B19")="","",INDIRECT("Lifting!B19"))</f>
        <v/>
      </c>
      <c r="E21" s="265" t="str">
        <f ca="1">IF(INDIRECT("Lifting!C19")="","",INDIRECT("Lifting!C19"))</f>
        <v/>
      </c>
      <c r="F21" s="265" t="str">
        <f ca="1">IF(INDIRECT("Lifting!E19")="","",INDIRECT("Lifting!E19"))</f>
        <v/>
      </c>
      <c r="G21" s="235" t="str">
        <f ca="1">IF(INDIRECT("Lifting!L19")="","",ABS(INDIRECT("Lifting!L19")))</f>
        <v/>
      </c>
      <c r="H21" s="235" t="str">
        <f ca="1">IF(INDIRECT("Lifting!M19")="","",ABS(INDIRECT("Lifting!M19")))</f>
        <v/>
      </c>
      <c r="I21" s="235" t="str">
        <f ca="1">IF(INDIRECT("Lifting!N19")="","",ABS(INDIRECT("Lifting!N19")))</f>
        <v/>
      </c>
      <c r="J21" s="235" t="str">
        <f ca="1">IF(INDIRECT("Lifting!Q19")="","",ABS(INDIRECT("Lifting!Q19")))</f>
        <v/>
      </c>
      <c r="K21" s="235" t="str">
        <f ca="1">IF(INDIRECT("Lifting!R19")="","",ABS(INDIRECT("Lifting!R19")))</f>
        <v/>
      </c>
      <c r="L21" s="235" t="str">
        <f ca="1">IF(INDIRECT("Lifting!S19")="","",ABS(INDIRECT("Lifting!S19")))</f>
        <v/>
      </c>
      <c r="M21" s="235" t="str">
        <f ca="1">IF(INDIRECT("Lifting!V19")="","",ABS(INDIRECT("Lifting!V19")))</f>
        <v/>
      </c>
      <c r="N21" s="235" t="str">
        <f ca="1">IF(INDIRECT("Lifting!W19")="","",ABS(INDIRECT("Lifting!W19")))</f>
        <v/>
      </c>
      <c r="O21" s="235" t="str">
        <f ca="1">IF(INDIRECT("Lifting!X19")="","",ABS(INDIRECT("Lifting!X19")))</f>
        <v/>
      </c>
      <c r="P21" s="235" t="str">
        <f ca="1">IF(INDIRECT("Lifting!O19")+INDIRECT("Lifting!T19")+INDIRECT("Lifting!Y19")&gt;0,INDIRECT("Lifting!O19")+INDIRECT("Lifting!T19")+INDIRECT("Lifting!Y19"),"")</f>
        <v/>
      </c>
      <c r="Q21" s="236" t="str">
        <f ca="1">IF(P21="","",P21*INDIRECT("Lifting!H19"))</f>
        <v/>
      </c>
      <c r="R21" s="221"/>
    </row>
    <row r="22" spans="2:18" ht="15" x14ac:dyDescent="0.2">
      <c r="B22" s="265" t="str">
        <f ca="1">IF(INDIRECT("Lifting!A20")="","",INDIRECT("Lifting!A20"))</f>
        <v/>
      </c>
      <c r="C22" s="265" t="str">
        <f ca="1">IF(INDIRECT("Lifting!G20")="","",INDIRECT("Lifting!G20"))</f>
        <v/>
      </c>
      <c r="D22" s="265" t="str">
        <f ca="1">IF(INDIRECT("Lifting!B20")="","",INDIRECT("Lifting!B20"))</f>
        <v/>
      </c>
      <c r="E22" s="265" t="str">
        <f ca="1">IF(INDIRECT("Lifting!C20")="","",INDIRECT("Lifting!C20"))</f>
        <v/>
      </c>
      <c r="F22" s="265" t="str">
        <f ca="1">IF(INDIRECT("Lifting!E20")="","",INDIRECT("Lifting!E20"))</f>
        <v/>
      </c>
      <c r="G22" s="235" t="str">
        <f ca="1">IF(INDIRECT("Lifting!L20")="","",ABS(INDIRECT("Lifting!L20")))</f>
        <v/>
      </c>
      <c r="H22" s="235" t="str">
        <f ca="1">IF(INDIRECT("Lifting!M20")="","",ABS(INDIRECT("Lifting!M20")))</f>
        <v/>
      </c>
      <c r="I22" s="235" t="str">
        <f ca="1">IF(INDIRECT("Lifting!N20")="","",ABS(INDIRECT("Lifting!N20")))</f>
        <v/>
      </c>
      <c r="J22" s="235" t="str">
        <f ca="1">IF(INDIRECT("Lifting!Q20")="","",ABS(INDIRECT("Lifting!Q20")))</f>
        <v/>
      </c>
      <c r="K22" s="235" t="str">
        <f ca="1">IF(INDIRECT("Lifting!R20")="","",ABS(INDIRECT("Lifting!R20")))</f>
        <v/>
      </c>
      <c r="L22" s="235" t="str">
        <f ca="1">IF(INDIRECT("Lifting!S20")="","",ABS(INDIRECT("Lifting!S20")))</f>
        <v/>
      </c>
      <c r="M22" s="235" t="str">
        <f ca="1">IF(INDIRECT("Lifting!V20")="","",ABS(INDIRECT("Lifting!V20")))</f>
        <v/>
      </c>
      <c r="N22" s="235" t="str">
        <f ca="1">IF(INDIRECT("Lifting!W20")="","",ABS(INDIRECT("Lifting!W20")))</f>
        <v/>
      </c>
      <c r="O22" s="235" t="str">
        <f ca="1">IF(INDIRECT("Lifting!X20")="","",ABS(INDIRECT("Lifting!X20")))</f>
        <v/>
      </c>
      <c r="P22" s="235" t="str">
        <f ca="1">IF(INDIRECT("Lifting!O20")+INDIRECT("Lifting!T20")+INDIRECT("Lifting!Y20")&gt;0,INDIRECT("Lifting!O20")+INDIRECT("Lifting!T20")+INDIRECT("Lifting!Y20"),"")</f>
        <v/>
      </c>
      <c r="Q22" s="236" t="str">
        <f ca="1">IF(P22="","",P22*INDIRECT("Lifting!H20"))</f>
        <v/>
      </c>
      <c r="R22" s="221"/>
    </row>
    <row r="23" spans="2:18" ht="15" x14ac:dyDescent="0.2">
      <c r="B23" s="265" t="str">
        <f ca="1">IF(INDIRECT("Lifting!A21")="","",INDIRECT("Lifting!A21"))</f>
        <v/>
      </c>
      <c r="C23" s="265" t="str">
        <f ca="1">IF(INDIRECT("Lifting!G21")="","",INDIRECT("Lifting!G21"))</f>
        <v/>
      </c>
      <c r="D23" s="265" t="str">
        <f ca="1">IF(INDIRECT("Lifting!B21")="","",INDIRECT("Lifting!B21"))</f>
        <v/>
      </c>
      <c r="E23" s="265" t="str">
        <f ca="1">IF(INDIRECT("Lifting!C21")="","",INDIRECT("Lifting!C21"))</f>
        <v/>
      </c>
      <c r="F23" s="265" t="str">
        <f ca="1">IF(INDIRECT("Lifting!E21")="","",INDIRECT("Lifting!E21"))</f>
        <v/>
      </c>
      <c r="G23" s="235" t="str">
        <f ca="1">IF(INDIRECT("Lifting!L21")="","",ABS(INDIRECT("Lifting!L21")))</f>
        <v/>
      </c>
      <c r="H23" s="235" t="str">
        <f ca="1">IF(INDIRECT("Lifting!M21")="","",ABS(INDIRECT("Lifting!M21")))</f>
        <v/>
      </c>
      <c r="I23" s="235" t="str">
        <f ca="1">IF(INDIRECT("Lifting!N21")="","",ABS(INDIRECT("Lifting!N21")))</f>
        <v/>
      </c>
      <c r="J23" s="235" t="str">
        <f ca="1">IF(INDIRECT("Lifting!Q21")="","",ABS(INDIRECT("Lifting!Q21")))</f>
        <v/>
      </c>
      <c r="K23" s="235" t="str">
        <f ca="1">IF(INDIRECT("Lifting!R21")="","",ABS(INDIRECT("Lifting!R21")))</f>
        <v/>
      </c>
      <c r="L23" s="235" t="str">
        <f ca="1">IF(INDIRECT("Lifting!S21")="","",ABS(INDIRECT("Lifting!S21")))</f>
        <v/>
      </c>
      <c r="M23" s="235" t="str">
        <f ca="1">IF(INDIRECT("Lifting!V21")="","",ABS(INDIRECT("Lifting!V21")))</f>
        <v/>
      </c>
      <c r="N23" s="235" t="str">
        <f ca="1">IF(INDIRECT("Lifting!W21")="","",ABS(INDIRECT("Lifting!W21")))</f>
        <v/>
      </c>
      <c r="O23" s="235" t="str">
        <f ca="1">IF(INDIRECT("Lifting!X21")="","",ABS(INDIRECT("Lifting!X21")))</f>
        <v/>
      </c>
      <c r="P23" s="235" t="str">
        <f ca="1">IF(INDIRECT("Lifting!O21")+INDIRECT("Lifting!T21")+INDIRECT("Lifting!Y21")&gt;0,INDIRECT("Lifting!O21")+INDIRECT("Lifting!T21")+INDIRECT("Lifting!Y21"),"")</f>
        <v/>
      </c>
      <c r="Q23" s="236" t="str">
        <f ca="1">IF(P23="","",P23*INDIRECT("Lifting!H21"))</f>
        <v/>
      </c>
      <c r="R23" s="221"/>
    </row>
    <row r="24" spans="2:18" ht="15" x14ac:dyDescent="0.2">
      <c r="B24" s="265" t="str">
        <f ca="1">IF(INDIRECT("Lifting!A22")="","",INDIRECT("Lifting!A22"))</f>
        <v/>
      </c>
      <c r="C24" s="265" t="str">
        <f ca="1">IF(INDIRECT("Lifting!G22")="","",INDIRECT("Lifting!G22"))</f>
        <v/>
      </c>
      <c r="D24" s="265" t="str">
        <f ca="1">IF(INDIRECT("Lifting!B22")="","",INDIRECT("Lifting!B22"))</f>
        <v/>
      </c>
      <c r="E24" s="265" t="str">
        <f ca="1">IF(INDIRECT("Lifting!C22")="","",INDIRECT("Lifting!C22"))</f>
        <v/>
      </c>
      <c r="F24" s="265" t="str">
        <f ca="1">IF(INDIRECT("Lifting!E22")="","",INDIRECT("Lifting!E22"))</f>
        <v/>
      </c>
      <c r="G24" s="235" t="str">
        <f ca="1">IF(INDIRECT("Lifting!L22")="","",ABS(INDIRECT("Lifting!L22")))</f>
        <v/>
      </c>
      <c r="H24" s="235" t="str">
        <f ca="1">IF(INDIRECT("Lifting!M22")="","",ABS(INDIRECT("Lifting!M22")))</f>
        <v/>
      </c>
      <c r="I24" s="235" t="str">
        <f ca="1">IF(INDIRECT("Lifting!N22")="","",ABS(INDIRECT("Lifting!N22")))</f>
        <v/>
      </c>
      <c r="J24" s="235" t="str">
        <f ca="1">IF(INDIRECT("Lifting!Q22")="","",ABS(INDIRECT("Lifting!Q22")))</f>
        <v/>
      </c>
      <c r="K24" s="235" t="str">
        <f ca="1">IF(INDIRECT("Lifting!R22")="","",ABS(INDIRECT("Lifting!R22")))</f>
        <v/>
      </c>
      <c r="L24" s="235" t="str">
        <f ca="1">IF(INDIRECT("Lifting!S22")="","",ABS(INDIRECT("Lifting!S22")))</f>
        <v/>
      </c>
      <c r="M24" s="235" t="str">
        <f ca="1">IF(INDIRECT("Lifting!V22")="","",ABS(INDIRECT("Lifting!V22")))</f>
        <v/>
      </c>
      <c r="N24" s="235" t="str">
        <f ca="1">IF(INDIRECT("Lifting!W22")="","",ABS(INDIRECT("Lifting!W22")))</f>
        <v/>
      </c>
      <c r="O24" s="235" t="str">
        <f ca="1">IF(INDIRECT("Lifting!X22")="","",ABS(INDIRECT("Lifting!X22")))</f>
        <v/>
      </c>
      <c r="P24" s="235" t="str">
        <f ca="1">IF(INDIRECT("Lifting!O22")+INDIRECT("Lifting!T22")+INDIRECT("Lifting!Y22")&gt;0,INDIRECT("Lifting!O22")+INDIRECT("Lifting!T22")+INDIRECT("Lifting!Y22"),"")</f>
        <v/>
      </c>
      <c r="Q24" s="236" t="str">
        <f ca="1">IF(P24="","",P24*INDIRECT("Lifting!H22"))</f>
        <v/>
      </c>
      <c r="R24" s="221"/>
    </row>
    <row r="25" spans="2:18" ht="15" x14ac:dyDescent="0.2">
      <c r="B25" s="265" t="str">
        <f ca="1">IF(INDIRECT("Lifting!A23")="","",INDIRECT("Lifting!A23"))</f>
        <v/>
      </c>
      <c r="C25" s="265" t="str">
        <f ca="1">IF(INDIRECT("Lifting!G23")="","",INDIRECT("Lifting!G23"))</f>
        <v/>
      </c>
      <c r="D25" s="265" t="str">
        <f ca="1">IF(INDIRECT("Lifting!B23")="","",INDIRECT("Lifting!B23"))</f>
        <v/>
      </c>
      <c r="E25" s="265" t="str">
        <f ca="1">IF(INDIRECT("Lifting!C23")="","",INDIRECT("Lifting!C23"))</f>
        <v/>
      </c>
      <c r="F25" s="265" t="str">
        <f ca="1">IF(INDIRECT("Lifting!E23")="","",INDIRECT("Lifting!E23"))</f>
        <v/>
      </c>
      <c r="G25" s="235" t="str">
        <f ca="1">IF(INDIRECT("Lifting!L23")="","",ABS(INDIRECT("Lifting!L23")))</f>
        <v/>
      </c>
      <c r="H25" s="235" t="str">
        <f ca="1">IF(INDIRECT("Lifting!M23")="","",ABS(INDIRECT("Lifting!M23")))</f>
        <v/>
      </c>
      <c r="I25" s="235" t="str">
        <f ca="1">IF(INDIRECT("Lifting!N23")="","",ABS(INDIRECT("Lifting!N23")))</f>
        <v/>
      </c>
      <c r="J25" s="235" t="str">
        <f ca="1">IF(INDIRECT("Lifting!Q23")="","",ABS(INDIRECT("Lifting!Q23")))</f>
        <v/>
      </c>
      <c r="K25" s="235" t="str">
        <f ca="1">IF(INDIRECT("Lifting!R23")="","",ABS(INDIRECT("Lifting!R23")))</f>
        <v/>
      </c>
      <c r="L25" s="235" t="str">
        <f ca="1">IF(INDIRECT("Lifting!S23")="","",ABS(INDIRECT("Lifting!S23")))</f>
        <v/>
      </c>
      <c r="M25" s="235" t="str">
        <f ca="1">IF(INDIRECT("Lifting!V23")="","",ABS(INDIRECT("Lifting!V23")))</f>
        <v/>
      </c>
      <c r="N25" s="235" t="str">
        <f ca="1">IF(INDIRECT("Lifting!W23")="","",ABS(INDIRECT("Lifting!W23")))</f>
        <v/>
      </c>
      <c r="O25" s="235" t="str">
        <f ca="1">IF(INDIRECT("Lifting!X23")="","",ABS(INDIRECT("Lifting!X23")))</f>
        <v/>
      </c>
      <c r="P25" s="235" t="str">
        <f ca="1">IF(INDIRECT("Lifting!O23")+INDIRECT("Lifting!T23")+INDIRECT("Lifting!Y23")&gt;0,INDIRECT("Lifting!O23")+INDIRECT("Lifting!T23")+INDIRECT("Lifting!Y23"),"")</f>
        <v/>
      </c>
      <c r="Q25" s="236" t="str">
        <f ca="1">IF(P25="","",P25*INDIRECT("Lifting!H23"))</f>
        <v/>
      </c>
      <c r="R25" s="221"/>
    </row>
    <row r="26" spans="2:18" ht="15" x14ac:dyDescent="0.2">
      <c r="B26" s="265" t="str">
        <f ca="1">IF(INDIRECT("Lifting!A24")="","",INDIRECT("Lifting!A24"))</f>
        <v/>
      </c>
      <c r="C26" s="265" t="str">
        <f ca="1">IF(INDIRECT("Lifting!G24")="","",INDIRECT("Lifting!G24"))</f>
        <v/>
      </c>
      <c r="D26" s="265" t="str">
        <f ca="1">IF(INDIRECT("Lifting!B24")="","",INDIRECT("Lifting!B24"))</f>
        <v/>
      </c>
      <c r="E26" s="265" t="str">
        <f ca="1">IF(INDIRECT("Lifting!C24")="","",INDIRECT("Lifting!C24"))</f>
        <v/>
      </c>
      <c r="F26" s="265" t="str">
        <f ca="1">IF(INDIRECT("Lifting!E24")="","",INDIRECT("Lifting!E24"))</f>
        <v/>
      </c>
      <c r="G26" s="235" t="str">
        <f ca="1">IF(INDIRECT("Lifting!L24")="","",ABS(INDIRECT("Lifting!L24")))</f>
        <v/>
      </c>
      <c r="H26" s="235" t="str">
        <f ca="1">IF(INDIRECT("Lifting!M24")="","",ABS(INDIRECT("Lifting!M24")))</f>
        <v/>
      </c>
      <c r="I26" s="235" t="str">
        <f ca="1">IF(INDIRECT("Lifting!N24")="","",ABS(INDIRECT("Lifting!N24")))</f>
        <v/>
      </c>
      <c r="J26" s="235" t="str">
        <f ca="1">IF(INDIRECT("Lifting!Q24")="","",ABS(INDIRECT("Lifting!Q24")))</f>
        <v/>
      </c>
      <c r="K26" s="235" t="str">
        <f ca="1">IF(INDIRECT("Lifting!R24")="","",ABS(INDIRECT("Lifting!R24")))</f>
        <v/>
      </c>
      <c r="L26" s="235" t="str">
        <f ca="1">IF(INDIRECT("Lifting!S24")="","",ABS(INDIRECT("Lifting!S24")))</f>
        <v/>
      </c>
      <c r="M26" s="235" t="str">
        <f ca="1">IF(INDIRECT("Lifting!V24")="","",ABS(INDIRECT("Lifting!V24")))</f>
        <v/>
      </c>
      <c r="N26" s="235" t="str">
        <f ca="1">IF(INDIRECT("Lifting!W24")="","",ABS(INDIRECT("Lifting!W24")))</f>
        <v/>
      </c>
      <c r="O26" s="235" t="str">
        <f ca="1">IF(INDIRECT("Lifting!X24")="","",ABS(INDIRECT("Lifting!X24")))</f>
        <v/>
      </c>
      <c r="P26" s="235" t="str">
        <f ca="1">IF(INDIRECT("Lifting!O24")+INDIRECT("Lifting!T24")+INDIRECT("Lifting!Y24")&gt;0,INDIRECT("Lifting!O24")+INDIRECT("Lifting!T24")+INDIRECT("Lifting!Y24"),"")</f>
        <v/>
      </c>
      <c r="Q26" s="236" t="str">
        <f ca="1">IF(P26="","",P26*INDIRECT("Lifting!H24"))</f>
        <v/>
      </c>
      <c r="R26" s="221"/>
    </row>
    <row r="27" spans="2:18" ht="15" x14ac:dyDescent="0.2">
      <c r="B27" s="265" t="str">
        <f ca="1">IF(INDIRECT("Lifting!A25")="","",INDIRECT("Lifting!A25"))</f>
        <v/>
      </c>
      <c r="C27" s="265" t="str">
        <f ca="1">IF(INDIRECT("Lifting!G25")="","",INDIRECT("Lifting!G25"))</f>
        <v/>
      </c>
      <c r="D27" s="265" t="str">
        <f ca="1">IF(INDIRECT("Lifting!B25")="","",INDIRECT("Lifting!B25"))</f>
        <v/>
      </c>
      <c r="E27" s="265" t="str">
        <f ca="1">IF(INDIRECT("Lifting!C25")="","",INDIRECT("Lifting!C25"))</f>
        <v/>
      </c>
      <c r="F27" s="265" t="str">
        <f ca="1">IF(INDIRECT("Lifting!E25")="","",INDIRECT("Lifting!E25"))</f>
        <v/>
      </c>
      <c r="G27" s="235" t="str">
        <f ca="1">IF(INDIRECT("Lifting!L25")="","",ABS(INDIRECT("Lifting!L25")))</f>
        <v/>
      </c>
      <c r="H27" s="235" t="str">
        <f ca="1">IF(INDIRECT("Lifting!M25")="","",ABS(INDIRECT("Lifting!M25")))</f>
        <v/>
      </c>
      <c r="I27" s="235" t="str">
        <f ca="1">IF(INDIRECT("Lifting!N25")="","",ABS(INDIRECT("Lifting!N25")))</f>
        <v/>
      </c>
      <c r="J27" s="235" t="str">
        <f ca="1">IF(INDIRECT("Lifting!Q25")="","",ABS(INDIRECT("Lifting!Q25")))</f>
        <v/>
      </c>
      <c r="K27" s="235" t="str">
        <f ca="1">IF(INDIRECT("Lifting!R25")="","",ABS(INDIRECT("Lifting!R25")))</f>
        <v/>
      </c>
      <c r="L27" s="235" t="str">
        <f ca="1">IF(INDIRECT("Lifting!S25")="","",ABS(INDIRECT("Lifting!S25")))</f>
        <v/>
      </c>
      <c r="M27" s="235" t="str">
        <f ca="1">IF(INDIRECT("Lifting!V25")="","",ABS(INDIRECT("Lifting!V25")))</f>
        <v/>
      </c>
      <c r="N27" s="235" t="str">
        <f ca="1">IF(INDIRECT("Lifting!W25")="","",ABS(INDIRECT("Lifting!W25")))</f>
        <v/>
      </c>
      <c r="O27" s="235" t="str">
        <f ca="1">IF(INDIRECT("Lifting!X25")="","",ABS(INDIRECT("Lifting!X25")))</f>
        <v/>
      </c>
      <c r="P27" s="235" t="str">
        <f ca="1">IF(INDIRECT("Lifting!O25")+INDIRECT("Lifting!T25")+INDIRECT("Lifting!Y25")&gt;0,INDIRECT("Lifting!O25")+INDIRECT("Lifting!T25")+INDIRECT("Lifting!Y25"),"")</f>
        <v/>
      </c>
      <c r="Q27" s="236" t="str">
        <f ca="1">IF(P27="","",P27*INDIRECT("Lifting!H25"))</f>
        <v/>
      </c>
      <c r="R27" s="221"/>
    </row>
    <row r="28" spans="2:18" ht="15" x14ac:dyDescent="0.2">
      <c r="B28" s="265" t="str">
        <f ca="1">IF(INDIRECT("Lifting!A26")="","",INDIRECT("Lifting!A26"))</f>
        <v/>
      </c>
      <c r="C28" s="265" t="str">
        <f ca="1">IF(INDIRECT("Lifting!G26")="","",INDIRECT("Lifting!G26"))</f>
        <v/>
      </c>
      <c r="D28" s="265" t="str">
        <f ca="1">IF(INDIRECT("Lifting!B26")="","",INDIRECT("Lifting!B26"))</f>
        <v/>
      </c>
      <c r="E28" s="265" t="str">
        <f ca="1">IF(INDIRECT("Lifting!C26")="","",INDIRECT("Lifting!C26"))</f>
        <v/>
      </c>
      <c r="F28" s="265" t="str">
        <f ca="1">IF(INDIRECT("Lifting!E26")="","",INDIRECT("Lifting!E26"))</f>
        <v/>
      </c>
      <c r="G28" s="235" t="str">
        <f ca="1">IF(INDIRECT("Lifting!L26")="","",ABS(INDIRECT("Lifting!L26")))</f>
        <v/>
      </c>
      <c r="H28" s="235" t="str">
        <f ca="1">IF(INDIRECT("Lifting!M26")="","",ABS(INDIRECT("Lifting!M26")))</f>
        <v/>
      </c>
      <c r="I28" s="235" t="str">
        <f ca="1">IF(INDIRECT("Lifting!N26")="","",ABS(INDIRECT("Lifting!N26")))</f>
        <v/>
      </c>
      <c r="J28" s="235" t="str">
        <f ca="1">IF(INDIRECT("Lifting!Q26")="","",ABS(INDIRECT("Lifting!Q26")))</f>
        <v/>
      </c>
      <c r="K28" s="235" t="str">
        <f ca="1">IF(INDIRECT("Lifting!R26")="","",ABS(INDIRECT("Lifting!R26")))</f>
        <v/>
      </c>
      <c r="L28" s="235" t="str">
        <f ca="1">IF(INDIRECT("Lifting!S26")="","",ABS(INDIRECT("Lifting!S26")))</f>
        <v/>
      </c>
      <c r="M28" s="235" t="str">
        <f ca="1">IF(INDIRECT("Lifting!V26")="","",ABS(INDIRECT("Lifting!V26")))</f>
        <v/>
      </c>
      <c r="N28" s="235" t="str">
        <f ca="1">IF(INDIRECT("Lifting!W26")="","",ABS(INDIRECT("Lifting!W26")))</f>
        <v/>
      </c>
      <c r="O28" s="235" t="str">
        <f ca="1">IF(INDIRECT("Lifting!X26")="","",ABS(INDIRECT("Lifting!X26")))</f>
        <v/>
      </c>
      <c r="P28" s="235" t="str">
        <f ca="1">IF(INDIRECT("Lifting!O26")+INDIRECT("Lifting!T26")+INDIRECT("Lifting!Y26")&gt;0,INDIRECT("Lifting!O26")+INDIRECT("Lifting!T26")+INDIRECT("Lifting!Y26"),"")</f>
        <v/>
      </c>
      <c r="Q28" s="236" t="str">
        <f ca="1">IF(P28="","",P28*INDIRECT("Lifting!H26"))</f>
        <v/>
      </c>
      <c r="R28" s="221"/>
    </row>
    <row r="29" spans="2:18" ht="15" x14ac:dyDescent="0.2">
      <c r="B29" s="265" t="str">
        <f ca="1">IF(INDIRECT("Lifting!A27")="","",INDIRECT("Lifting!A27"))</f>
        <v/>
      </c>
      <c r="C29" s="265" t="str">
        <f ca="1">IF(INDIRECT("Lifting!G27")="","",INDIRECT("Lifting!G27"))</f>
        <v/>
      </c>
      <c r="D29" s="265" t="str">
        <f ca="1">IF(INDIRECT("Lifting!B27")="","",INDIRECT("Lifting!B27"))</f>
        <v/>
      </c>
      <c r="E29" s="265" t="str">
        <f ca="1">IF(INDIRECT("Lifting!C27")="","",INDIRECT("Lifting!C27"))</f>
        <v/>
      </c>
      <c r="F29" s="265" t="str">
        <f ca="1">IF(INDIRECT("Lifting!E27")="","",INDIRECT("Lifting!E27"))</f>
        <v/>
      </c>
      <c r="G29" s="235" t="str">
        <f ca="1">IF(INDIRECT("Lifting!L27")="","",ABS(INDIRECT("Lifting!L27")))</f>
        <v/>
      </c>
      <c r="H29" s="235" t="str">
        <f ca="1">IF(INDIRECT("Lifting!M27")="","",ABS(INDIRECT("Lifting!M27")))</f>
        <v/>
      </c>
      <c r="I29" s="235" t="str">
        <f ca="1">IF(INDIRECT("Lifting!N27")="","",ABS(INDIRECT("Lifting!N27")))</f>
        <v/>
      </c>
      <c r="J29" s="235" t="str">
        <f ca="1">IF(INDIRECT("Lifting!Q27")="","",ABS(INDIRECT("Lifting!Q27")))</f>
        <v/>
      </c>
      <c r="K29" s="235" t="str">
        <f ca="1">IF(INDIRECT("Lifting!R27")="","",ABS(INDIRECT("Lifting!R27")))</f>
        <v/>
      </c>
      <c r="L29" s="235" t="str">
        <f ca="1">IF(INDIRECT("Lifting!S27")="","",ABS(INDIRECT("Lifting!S27")))</f>
        <v/>
      </c>
      <c r="M29" s="235" t="str">
        <f ca="1">IF(INDIRECT("Lifting!V27")="","",ABS(INDIRECT("Lifting!V27")))</f>
        <v/>
      </c>
      <c r="N29" s="235" t="str">
        <f ca="1">IF(INDIRECT("Lifting!W27")="","",ABS(INDIRECT("Lifting!W27")))</f>
        <v/>
      </c>
      <c r="O29" s="235" t="str">
        <f ca="1">IF(INDIRECT("Lifting!X27")="","",ABS(INDIRECT("Lifting!X27")))</f>
        <v/>
      </c>
      <c r="P29" s="235" t="str">
        <f ca="1">IF(INDIRECT("Lifting!O27")+INDIRECT("Lifting!T27")+INDIRECT("Lifting!Y27")&gt;0,INDIRECT("Lifting!O27")+INDIRECT("Lifting!T27")+INDIRECT("Lifting!Y27"),"")</f>
        <v/>
      </c>
      <c r="Q29" s="236" t="str">
        <f ca="1">IF(P29="","",P29*INDIRECT("Lifting!H27"))</f>
        <v/>
      </c>
      <c r="R29" s="221"/>
    </row>
    <row r="30" spans="2:18" ht="15" x14ac:dyDescent="0.2">
      <c r="B30" s="265" t="str">
        <f ca="1">IF(INDIRECT("Lifting!A28")="","",INDIRECT("Lifting!A28"))</f>
        <v/>
      </c>
      <c r="C30" s="265" t="str">
        <f ca="1">IF(INDIRECT("Lifting!G28")="","",INDIRECT("Lifting!G28"))</f>
        <v/>
      </c>
      <c r="D30" s="265" t="str">
        <f ca="1">IF(INDIRECT("Lifting!B28")="","",INDIRECT("Lifting!B28"))</f>
        <v/>
      </c>
      <c r="E30" s="265" t="str">
        <f ca="1">IF(INDIRECT("Lifting!C28")="","",INDIRECT("Lifting!C28"))</f>
        <v/>
      </c>
      <c r="F30" s="265" t="str">
        <f ca="1">IF(INDIRECT("Lifting!E28")="","",INDIRECT("Lifting!E28"))</f>
        <v/>
      </c>
      <c r="G30" s="235" t="str">
        <f ca="1">IF(INDIRECT("Lifting!L28")="","",ABS(INDIRECT("Lifting!L28")))</f>
        <v/>
      </c>
      <c r="H30" s="235" t="str">
        <f ca="1">IF(INDIRECT("Lifting!M28")="","",ABS(INDIRECT("Lifting!M28")))</f>
        <v/>
      </c>
      <c r="I30" s="235" t="str">
        <f ca="1">IF(INDIRECT("Lifting!N28")="","",ABS(INDIRECT("Lifting!N28")))</f>
        <v/>
      </c>
      <c r="J30" s="235" t="str">
        <f ca="1">IF(INDIRECT("Lifting!Q28")="","",ABS(INDIRECT("Lifting!Q28")))</f>
        <v/>
      </c>
      <c r="K30" s="235" t="str">
        <f ca="1">IF(INDIRECT("Lifting!R28")="","",ABS(INDIRECT("Lifting!R28")))</f>
        <v/>
      </c>
      <c r="L30" s="235" t="str">
        <f ca="1">IF(INDIRECT("Lifting!S28")="","",ABS(INDIRECT("Lifting!S28")))</f>
        <v/>
      </c>
      <c r="M30" s="235" t="str">
        <f ca="1">IF(INDIRECT("Lifting!V28")="","",ABS(INDIRECT("Lifting!V28")))</f>
        <v/>
      </c>
      <c r="N30" s="235" t="str">
        <f ca="1">IF(INDIRECT("Lifting!W28")="","",ABS(INDIRECT("Lifting!W28")))</f>
        <v/>
      </c>
      <c r="O30" s="235" t="str">
        <f ca="1">IF(INDIRECT("Lifting!X28")="","",ABS(INDIRECT("Lifting!X28")))</f>
        <v/>
      </c>
      <c r="P30" s="235" t="str">
        <f ca="1">IF(INDIRECT("Lifting!O28")+INDIRECT("Lifting!T28")+INDIRECT("Lifting!Y28")&gt;0,INDIRECT("Lifting!O28")+INDIRECT("Lifting!T28")+INDIRECT("Lifting!Y28"),"")</f>
        <v/>
      </c>
      <c r="Q30" s="236" t="str">
        <f ca="1">IF(P30="","",P30*INDIRECT("Lifting!H28"))</f>
        <v/>
      </c>
      <c r="R30" s="221"/>
    </row>
    <row r="31" spans="2:18" ht="15" x14ac:dyDescent="0.2">
      <c r="B31" s="265" t="str">
        <f ca="1">IF(INDIRECT("Lifting!A29")="","",INDIRECT("Lifting!A29"))</f>
        <v/>
      </c>
      <c r="C31" s="265" t="str">
        <f ca="1">IF(INDIRECT("Lifting!G29")="","",INDIRECT("Lifting!G29"))</f>
        <v/>
      </c>
      <c r="D31" s="265" t="str">
        <f ca="1">IF(INDIRECT("Lifting!B29")="","",INDIRECT("Lifting!B29"))</f>
        <v/>
      </c>
      <c r="E31" s="265" t="str">
        <f ca="1">IF(INDIRECT("Lifting!C29")="","",INDIRECT("Lifting!C29"))</f>
        <v/>
      </c>
      <c r="F31" s="265" t="str">
        <f ca="1">IF(INDIRECT("Lifting!E29")="","",INDIRECT("Lifting!E29"))</f>
        <v/>
      </c>
      <c r="G31" s="235" t="str">
        <f ca="1">IF(INDIRECT("Lifting!L29")="","",ABS(INDIRECT("Lifting!L29")))</f>
        <v/>
      </c>
      <c r="H31" s="235" t="str">
        <f ca="1">IF(INDIRECT("Lifting!M29")="","",ABS(INDIRECT("Lifting!M29")))</f>
        <v/>
      </c>
      <c r="I31" s="235" t="str">
        <f ca="1">IF(INDIRECT("Lifting!N29")="","",ABS(INDIRECT("Lifting!N29")))</f>
        <v/>
      </c>
      <c r="J31" s="235" t="str">
        <f ca="1">IF(INDIRECT("Lifting!Q29")="","",ABS(INDIRECT("Lifting!Q29")))</f>
        <v/>
      </c>
      <c r="K31" s="235" t="str">
        <f ca="1">IF(INDIRECT("Lifting!R29")="","",ABS(INDIRECT("Lifting!R29")))</f>
        <v/>
      </c>
      <c r="L31" s="235" t="str">
        <f ca="1">IF(INDIRECT("Lifting!S29")="","",ABS(INDIRECT("Lifting!S29")))</f>
        <v/>
      </c>
      <c r="M31" s="235" t="str">
        <f ca="1">IF(INDIRECT("Lifting!V29")="","",ABS(INDIRECT("Lifting!V29")))</f>
        <v/>
      </c>
      <c r="N31" s="235" t="str">
        <f ca="1">IF(INDIRECT("Lifting!W29")="","",ABS(INDIRECT("Lifting!W29")))</f>
        <v/>
      </c>
      <c r="O31" s="235" t="str">
        <f ca="1">IF(INDIRECT("Lifting!X29")="","",ABS(INDIRECT("Lifting!X29")))</f>
        <v/>
      </c>
      <c r="P31" s="235" t="str">
        <f ca="1">IF(INDIRECT("Lifting!O29")+INDIRECT("Lifting!T29")+INDIRECT("Lifting!Y29")&gt;0,INDIRECT("Lifting!O29")+INDIRECT("Lifting!T29")+INDIRECT("Lifting!Y29"),"")</f>
        <v/>
      </c>
      <c r="Q31" s="236" t="str">
        <f ca="1">IF(P31="","",P31*INDIRECT("Lifting!H29"))</f>
        <v/>
      </c>
      <c r="R31" s="221"/>
    </row>
    <row r="32" spans="2:18" ht="15" x14ac:dyDescent="0.2">
      <c r="B32" s="265" t="str">
        <f ca="1">IF(INDIRECT("Lifting!A30")="","",INDIRECT("Lifting!A30"))</f>
        <v/>
      </c>
      <c r="C32" s="265" t="str">
        <f ca="1">IF(INDIRECT("Lifting!G30")="","",INDIRECT("Lifting!G30"))</f>
        <v/>
      </c>
      <c r="D32" s="265" t="str">
        <f ca="1">IF(INDIRECT("Lifting!B30")="","",INDIRECT("Lifting!B30"))</f>
        <v/>
      </c>
      <c r="E32" s="265" t="str">
        <f ca="1">IF(INDIRECT("Lifting!C30")="","",INDIRECT("Lifting!C30"))</f>
        <v/>
      </c>
      <c r="F32" s="265" t="str">
        <f ca="1">IF(INDIRECT("Lifting!E30")="","",INDIRECT("Lifting!E30"))</f>
        <v/>
      </c>
      <c r="G32" s="235" t="str">
        <f ca="1">IF(INDIRECT("Lifting!L30")="","",ABS(INDIRECT("Lifting!L30")))</f>
        <v/>
      </c>
      <c r="H32" s="235" t="str">
        <f ca="1">IF(INDIRECT("Lifting!M30")="","",ABS(INDIRECT("Lifting!M30")))</f>
        <v/>
      </c>
      <c r="I32" s="235" t="str">
        <f ca="1">IF(INDIRECT("Lifting!N30")="","",ABS(INDIRECT("Lifting!N30")))</f>
        <v/>
      </c>
      <c r="J32" s="235" t="str">
        <f ca="1">IF(INDIRECT("Lifting!Q30")="","",ABS(INDIRECT("Lifting!Q30")))</f>
        <v/>
      </c>
      <c r="K32" s="235" t="str">
        <f ca="1">IF(INDIRECT("Lifting!R30")="","",ABS(INDIRECT("Lifting!R30")))</f>
        <v/>
      </c>
      <c r="L32" s="235" t="str">
        <f ca="1">IF(INDIRECT("Lifting!S30")="","",ABS(INDIRECT("Lifting!S30")))</f>
        <v/>
      </c>
      <c r="M32" s="235" t="str">
        <f ca="1">IF(INDIRECT("Lifting!V30")="","",ABS(INDIRECT("Lifting!V30")))</f>
        <v/>
      </c>
      <c r="N32" s="235" t="str">
        <f ca="1">IF(INDIRECT("Lifting!W30")="","",ABS(INDIRECT("Lifting!W30")))</f>
        <v/>
      </c>
      <c r="O32" s="235" t="str">
        <f ca="1">IF(INDIRECT("Lifting!X30")="","",ABS(INDIRECT("Lifting!X30")))</f>
        <v/>
      </c>
      <c r="P32" s="235" t="str">
        <f ca="1">IF(INDIRECT("Lifting!O30")+INDIRECT("Lifting!T30")+INDIRECT("Lifting!Y30")&gt;0,INDIRECT("Lifting!O30")+INDIRECT("Lifting!T30")+INDIRECT("Lifting!Y30"),"")</f>
        <v/>
      </c>
      <c r="Q32" s="236" t="str">
        <f ca="1">IF(P32="","",P32*INDIRECT("Lifting!H30"))</f>
        <v/>
      </c>
      <c r="R32" s="221"/>
    </row>
    <row r="33" spans="2:18" ht="15" x14ac:dyDescent="0.2">
      <c r="B33" s="265" t="str">
        <f ca="1">IF(INDIRECT("Lifting!A31")="","",INDIRECT("Lifting!A31"))</f>
        <v/>
      </c>
      <c r="C33" s="265" t="str">
        <f ca="1">IF(INDIRECT("Lifting!G31")="","",INDIRECT("Lifting!G31"))</f>
        <v/>
      </c>
      <c r="D33" s="265" t="str">
        <f ca="1">IF(INDIRECT("Lifting!B31")="","",INDIRECT("Lifting!B31"))</f>
        <v/>
      </c>
      <c r="E33" s="265" t="str">
        <f ca="1">IF(INDIRECT("Lifting!C31")="","",INDIRECT("Lifting!C31"))</f>
        <v/>
      </c>
      <c r="F33" s="265" t="str">
        <f ca="1">IF(INDIRECT("Lifting!E31")="","",INDIRECT("Lifting!E31"))</f>
        <v/>
      </c>
      <c r="G33" s="235" t="str">
        <f ca="1">IF(INDIRECT("Lifting!L31")="","",ABS(INDIRECT("Lifting!L31")))</f>
        <v/>
      </c>
      <c r="H33" s="235" t="str">
        <f ca="1">IF(INDIRECT("Lifting!M31")="","",ABS(INDIRECT("Lifting!M31")))</f>
        <v/>
      </c>
      <c r="I33" s="235" t="str">
        <f ca="1">IF(INDIRECT("Lifting!N31")="","",ABS(INDIRECT("Lifting!N31")))</f>
        <v/>
      </c>
      <c r="J33" s="235" t="str">
        <f ca="1">IF(INDIRECT("Lifting!Q31")="","",ABS(INDIRECT("Lifting!Q31")))</f>
        <v/>
      </c>
      <c r="K33" s="235" t="str">
        <f ca="1">IF(INDIRECT("Lifting!R31")="","",ABS(INDIRECT("Lifting!R31")))</f>
        <v/>
      </c>
      <c r="L33" s="235" t="str">
        <f ca="1">IF(INDIRECT("Lifting!S31")="","",ABS(INDIRECT("Lifting!S31")))</f>
        <v/>
      </c>
      <c r="M33" s="235" t="str">
        <f ca="1">IF(INDIRECT("Lifting!V31")="","",ABS(INDIRECT("Lifting!V31")))</f>
        <v/>
      </c>
      <c r="N33" s="235" t="str">
        <f ca="1">IF(INDIRECT("Lifting!W31")="","",ABS(INDIRECT("Lifting!W31")))</f>
        <v/>
      </c>
      <c r="O33" s="235" t="str">
        <f ca="1">IF(INDIRECT("Lifting!X31")="","",ABS(INDIRECT("Lifting!X31")))</f>
        <v/>
      </c>
      <c r="P33" s="235" t="str">
        <f ca="1">IF(INDIRECT("Lifting!O31")+INDIRECT("Lifting!T31")+INDIRECT("Lifting!Y31")&gt;0,INDIRECT("Lifting!O31")+INDIRECT("Lifting!T31")+INDIRECT("Lifting!Y31"),"")</f>
        <v/>
      </c>
      <c r="Q33" s="236" t="str">
        <f ca="1">IF(P33="","",P33*INDIRECT("Lifting!H31"))</f>
        <v/>
      </c>
      <c r="R33" s="221"/>
    </row>
    <row r="34" spans="2:18" ht="15" x14ac:dyDescent="0.2">
      <c r="B34" s="265" t="str">
        <f ca="1">IF(INDIRECT("Lifting!A32")="","",INDIRECT("Lifting!A32"))</f>
        <v/>
      </c>
      <c r="C34" s="265" t="str">
        <f ca="1">IF(INDIRECT("Lifting!G32")="","",INDIRECT("Lifting!G32"))</f>
        <v/>
      </c>
      <c r="D34" s="265" t="str">
        <f ca="1">IF(INDIRECT("Lifting!B32")="","",INDIRECT("Lifting!B32"))</f>
        <v/>
      </c>
      <c r="E34" s="265" t="str">
        <f ca="1">IF(INDIRECT("Lifting!C32")="","",INDIRECT("Lifting!C32"))</f>
        <v/>
      </c>
      <c r="F34" s="265" t="str">
        <f ca="1">IF(INDIRECT("Lifting!E32")="","",INDIRECT("Lifting!E32"))</f>
        <v/>
      </c>
      <c r="G34" s="235" t="str">
        <f ca="1">IF(INDIRECT("Lifting!L32")="","",ABS(INDIRECT("Lifting!L32")))</f>
        <v/>
      </c>
      <c r="H34" s="235" t="str">
        <f ca="1">IF(INDIRECT("Lifting!M32")="","",ABS(INDIRECT("Lifting!M32")))</f>
        <v/>
      </c>
      <c r="I34" s="235" t="str">
        <f ca="1">IF(INDIRECT("Lifting!N32")="","",ABS(INDIRECT("Lifting!N32")))</f>
        <v/>
      </c>
      <c r="J34" s="235" t="str">
        <f ca="1">IF(INDIRECT("Lifting!Q32")="","",ABS(INDIRECT("Lifting!Q32")))</f>
        <v/>
      </c>
      <c r="K34" s="235" t="str">
        <f ca="1">IF(INDIRECT("Lifting!R32")="","",ABS(INDIRECT("Lifting!R32")))</f>
        <v/>
      </c>
      <c r="L34" s="235" t="str">
        <f ca="1">IF(INDIRECT("Lifting!S32")="","",ABS(INDIRECT("Lifting!S32")))</f>
        <v/>
      </c>
      <c r="M34" s="235" t="str">
        <f ca="1">IF(INDIRECT("Lifting!V32")="","",ABS(INDIRECT("Lifting!V32")))</f>
        <v/>
      </c>
      <c r="N34" s="235" t="str">
        <f ca="1">IF(INDIRECT("Lifting!W32")="","",ABS(INDIRECT("Lifting!W32")))</f>
        <v/>
      </c>
      <c r="O34" s="235" t="str">
        <f ca="1">IF(INDIRECT("Lifting!X32")="","",ABS(INDIRECT("Lifting!X32")))</f>
        <v/>
      </c>
      <c r="P34" s="235" t="str">
        <f ca="1">IF(INDIRECT("Lifting!O32")+INDIRECT("Lifting!T32")+INDIRECT("Lifting!Y32")&gt;0,INDIRECT("Lifting!O32")+INDIRECT("Lifting!T32")+INDIRECT("Lifting!Y32"),"")</f>
        <v/>
      </c>
      <c r="Q34" s="236" t="str">
        <f ca="1">IF(P34="","",P34*INDIRECT("Lifting!H32"))</f>
        <v/>
      </c>
      <c r="R34" s="221"/>
    </row>
    <row r="35" spans="2:18" ht="15" x14ac:dyDescent="0.2">
      <c r="B35" s="265" t="str">
        <f ca="1">IF(INDIRECT("Lifting!A33")="","",INDIRECT("Lifting!A33"))</f>
        <v/>
      </c>
      <c r="C35" s="265" t="str">
        <f ca="1">IF(INDIRECT("Lifting!G33")="","",INDIRECT("Lifting!G33"))</f>
        <v/>
      </c>
      <c r="D35" s="265" t="str">
        <f ca="1">IF(INDIRECT("Lifting!B33")="","",INDIRECT("Lifting!B33"))</f>
        <v/>
      </c>
      <c r="E35" s="265" t="str">
        <f ca="1">IF(INDIRECT("Lifting!C33")="","",INDIRECT("Lifting!C33"))</f>
        <v/>
      </c>
      <c r="F35" s="265" t="str">
        <f ca="1">IF(INDIRECT("Lifting!E33")="","",INDIRECT("Lifting!E33"))</f>
        <v/>
      </c>
      <c r="G35" s="235" t="str">
        <f ca="1">IF(INDIRECT("Lifting!L33")="","",ABS(INDIRECT("Lifting!L33")))</f>
        <v/>
      </c>
      <c r="H35" s="235" t="str">
        <f ca="1">IF(INDIRECT("Lifting!M33")="","",ABS(INDIRECT("Lifting!M33")))</f>
        <v/>
      </c>
      <c r="I35" s="235" t="str">
        <f ca="1">IF(INDIRECT("Lifting!N33")="","",ABS(INDIRECT("Lifting!N33")))</f>
        <v/>
      </c>
      <c r="J35" s="235" t="str">
        <f ca="1">IF(INDIRECT("Lifting!Q33")="","",ABS(INDIRECT("Lifting!Q33")))</f>
        <v/>
      </c>
      <c r="K35" s="235" t="str">
        <f ca="1">IF(INDIRECT("Lifting!R33")="","",ABS(INDIRECT("Lifting!R33")))</f>
        <v/>
      </c>
      <c r="L35" s="235" t="str">
        <f ca="1">IF(INDIRECT("Lifting!S33")="","",ABS(INDIRECT("Lifting!S33")))</f>
        <v/>
      </c>
      <c r="M35" s="235" t="str">
        <f ca="1">IF(INDIRECT("Lifting!V33")="","",ABS(INDIRECT("Lifting!V33")))</f>
        <v/>
      </c>
      <c r="N35" s="235" t="str">
        <f ca="1">IF(INDIRECT("Lifting!W33")="","",ABS(INDIRECT("Lifting!W33")))</f>
        <v/>
      </c>
      <c r="O35" s="235" t="str">
        <f ca="1">IF(INDIRECT("Lifting!X33")="","",ABS(INDIRECT("Lifting!X33")))</f>
        <v/>
      </c>
      <c r="P35" s="235" t="str">
        <f ca="1">IF(INDIRECT("Lifting!O33")+INDIRECT("Lifting!T33")+INDIRECT("Lifting!Y33")&gt;0,INDIRECT("Lifting!O33")+INDIRECT("Lifting!T33")+INDIRECT("Lifting!Y33"),"")</f>
        <v/>
      </c>
      <c r="Q35" s="236" t="str">
        <f ca="1">IF(P35="","",P35*INDIRECT("Lifting!H33"))</f>
        <v/>
      </c>
      <c r="R35" s="221"/>
    </row>
    <row r="36" spans="2:18" ht="15" x14ac:dyDescent="0.2">
      <c r="B36" s="265" t="str">
        <f ca="1">IF(INDIRECT("Lifting!A34")="","",INDIRECT("Lifting!A34"))</f>
        <v/>
      </c>
      <c r="C36" s="265" t="str">
        <f ca="1">IF(INDIRECT("Lifting!G34")="","",INDIRECT("Lifting!G34"))</f>
        <v/>
      </c>
      <c r="D36" s="265" t="str">
        <f ca="1">IF(INDIRECT("Lifting!B34")="","",INDIRECT("Lifting!B34"))</f>
        <v/>
      </c>
      <c r="E36" s="265" t="str">
        <f ca="1">IF(INDIRECT("Lifting!C34")="","",INDIRECT("Lifting!C34"))</f>
        <v/>
      </c>
      <c r="F36" s="265" t="str">
        <f ca="1">IF(INDIRECT("Lifting!E34")="","",INDIRECT("Lifting!E34"))</f>
        <v/>
      </c>
      <c r="G36" s="235" t="str">
        <f ca="1">IF(INDIRECT("Lifting!L34")="","",ABS(INDIRECT("Lifting!L34")))</f>
        <v/>
      </c>
      <c r="H36" s="235" t="str">
        <f ca="1">IF(INDIRECT("Lifting!M34")="","",ABS(INDIRECT("Lifting!M34")))</f>
        <v/>
      </c>
      <c r="I36" s="235" t="str">
        <f ca="1">IF(INDIRECT("Lifting!N34")="","",ABS(INDIRECT("Lifting!N34")))</f>
        <v/>
      </c>
      <c r="J36" s="235" t="str">
        <f ca="1">IF(INDIRECT("Lifting!Q34")="","",ABS(INDIRECT("Lifting!Q34")))</f>
        <v/>
      </c>
      <c r="K36" s="235" t="str">
        <f ca="1">IF(INDIRECT("Lifting!R34")="","",ABS(INDIRECT("Lifting!R34")))</f>
        <v/>
      </c>
      <c r="L36" s="235" t="str">
        <f ca="1">IF(INDIRECT("Lifting!S34")="","",ABS(INDIRECT("Lifting!S34")))</f>
        <v/>
      </c>
      <c r="M36" s="235" t="str">
        <f ca="1">IF(INDIRECT("Lifting!V34")="","",ABS(INDIRECT("Lifting!V34")))</f>
        <v/>
      </c>
      <c r="N36" s="235" t="str">
        <f ca="1">IF(INDIRECT("Lifting!W34")="","",ABS(INDIRECT("Lifting!W34")))</f>
        <v/>
      </c>
      <c r="O36" s="235" t="str">
        <f ca="1">IF(INDIRECT("Lifting!X34")="","",ABS(INDIRECT("Lifting!X34")))</f>
        <v/>
      </c>
      <c r="P36" s="235" t="str">
        <f ca="1">IF(INDIRECT("Lifting!O34")+INDIRECT("Lifting!T34")+INDIRECT("Lifting!Y34")&gt;0,INDIRECT("Lifting!O34")+INDIRECT("Lifting!T34")+INDIRECT("Lifting!Y34"),"")</f>
        <v/>
      </c>
      <c r="Q36" s="236" t="str">
        <f ca="1">IF(P36="","",P36*INDIRECT("Lifting!H34"))</f>
        <v/>
      </c>
      <c r="R36" s="221"/>
    </row>
    <row r="37" spans="2:18" ht="15" x14ac:dyDescent="0.2">
      <c r="B37" s="265" t="str">
        <f ca="1">IF(INDIRECT("Lifting!A35")="","",INDIRECT("Lifting!A35"))</f>
        <v/>
      </c>
      <c r="C37" s="265" t="str">
        <f ca="1">IF(INDIRECT("Lifting!G35")="","",INDIRECT("Lifting!G35"))</f>
        <v/>
      </c>
      <c r="D37" s="265" t="str">
        <f ca="1">IF(INDIRECT("Lifting!B35")="","",INDIRECT("Lifting!B35"))</f>
        <v/>
      </c>
      <c r="E37" s="265" t="str">
        <f ca="1">IF(INDIRECT("Lifting!C35")="","",INDIRECT("Lifting!C35"))</f>
        <v/>
      </c>
      <c r="F37" s="265" t="str">
        <f ca="1">IF(INDIRECT("Lifting!E35")="","",INDIRECT("Lifting!E35"))</f>
        <v/>
      </c>
      <c r="G37" s="235" t="str">
        <f ca="1">IF(INDIRECT("Lifting!L35")="","",ABS(INDIRECT("Lifting!L35")))</f>
        <v/>
      </c>
      <c r="H37" s="235" t="str">
        <f ca="1">IF(INDIRECT("Lifting!M35")="","",ABS(INDIRECT("Lifting!M35")))</f>
        <v/>
      </c>
      <c r="I37" s="235" t="str">
        <f ca="1">IF(INDIRECT("Lifting!N35")="","",ABS(INDIRECT("Lifting!N35")))</f>
        <v/>
      </c>
      <c r="J37" s="235" t="str">
        <f ca="1">IF(INDIRECT("Lifting!Q35")="","",ABS(INDIRECT("Lifting!Q35")))</f>
        <v/>
      </c>
      <c r="K37" s="235" t="str">
        <f ca="1">IF(INDIRECT("Lifting!R35")="","",ABS(INDIRECT("Lifting!R35")))</f>
        <v/>
      </c>
      <c r="L37" s="235" t="str">
        <f ca="1">IF(INDIRECT("Lifting!S35")="","",ABS(INDIRECT("Lifting!S35")))</f>
        <v/>
      </c>
      <c r="M37" s="235" t="str">
        <f ca="1">IF(INDIRECT("Lifting!V35")="","",ABS(INDIRECT("Lifting!V35")))</f>
        <v/>
      </c>
      <c r="N37" s="235" t="str">
        <f ca="1">IF(INDIRECT("Lifting!W35")="","",ABS(INDIRECT("Lifting!W35")))</f>
        <v/>
      </c>
      <c r="O37" s="235" t="str">
        <f ca="1">IF(INDIRECT("Lifting!X35")="","",ABS(INDIRECT("Lifting!X35")))</f>
        <v/>
      </c>
      <c r="P37" s="235" t="str">
        <f ca="1">IF(INDIRECT("Lifting!O35")+INDIRECT("Lifting!T35")+INDIRECT("Lifting!Y35")&gt;0,INDIRECT("Lifting!O35")+INDIRECT("Lifting!T35")+INDIRECT("Lifting!Y35"),"")</f>
        <v/>
      </c>
      <c r="Q37" s="236" t="str">
        <f ca="1">IF(P37="","",P37*INDIRECT("Lifting!H35"))</f>
        <v/>
      </c>
      <c r="R37" s="221"/>
    </row>
    <row r="38" spans="2:18" ht="15" x14ac:dyDescent="0.2">
      <c r="B38" s="265" t="str">
        <f ca="1">IF(INDIRECT("Lifting!A36")="","",INDIRECT("Lifting!A36"))</f>
        <v/>
      </c>
      <c r="C38" s="265" t="str">
        <f ca="1">IF(INDIRECT("Lifting!G36")="","",INDIRECT("Lifting!G36"))</f>
        <v/>
      </c>
      <c r="D38" s="265" t="str">
        <f ca="1">IF(INDIRECT("Lifting!B36")="","",INDIRECT("Lifting!B36"))</f>
        <v/>
      </c>
      <c r="E38" s="265" t="str">
        <f ca="1">IF(INDIRECT("Lifting!C36")="","",INDIRECT("Lifting!C36"))</f>
        <v/>
      </c>
      <c r="F38" s="265" t="str">
        <f ca="1">IF(INDIRECT("Lifting!E36")="","",INDIRECT("Lifting!E36"))</f>
        <v/>
      </c>
      <c r="G38" s="235" t="str">
        <f ca="1">IF(INDIRECT("Lifting!L36")="","",ABS(INDIRECT("Lifting!L36")))</f>
        <v/>
      </c>
      <c r="H38" s="235" t="str">
        <f ca="1">IF(INDIRECT("Lifting!M36")="","",ABS(INDIRECT("Lifting!M36")))</f>
        <v/>
      </c>
      <c r="I38" s="235" t="str">
        <f ca="1">IF(INDIRECT("Lifting!N36")="","",ABS(INDIRECT("Lifting!N36")))</f>
        <v/>
      </c>
      <c r="J38" s="235" t="str">
        <f ca="1">IF(INDIRECT("Lifting!Q36")="","",ABS(INDIRECT("Lifting!Q36")))</f>
        <v/>
      </c>
      <c r="K38" s="235" t="str">
        <f ca="1">IF(INDIRECT("Lifting!R36")="","",ABS(INDIRECT("Lifting!R36")))</f>
        <v/>
      </c>
      <c r="L38" s="235" t="str">
        <f ca="1">IF(INDIRECT("Lifting!S36")="","",ABS(INDIRECT("Lifting!S36")))</f>
        <v/>
      </c>
      <c r="M38" s="235" t="str">
        <f ca="1">IF(INDIRECT("Lifting!V36")="","",ABS(INDIRECT("Lifting!V36")))</f>
        <v/>
      </c>
      <c r="N38" s="235" t="str">
        <f ca="1">IF(INDIRECT("Lifting!W36")="","",ABS(INDIRECT("Lifting!W36")))</f>
        <v/>
      </c>
      <c r="O38" s="235" t="str">
        <f ca="1">IF(INDIRECT("Lifting!X36")="","",ABS(INDIRECT("Lifting!X36")))</f>
        <v/>
      </c>
      <c r="P38" s="235" t="str">
        <f ca="1">IF(INDIRECT("Lifting!O36")+INDIRECT("Lifting!T36")+INDIRECT("Lifting!Y36")&gt;0,INDIRECT("Lifting!O36")+INDIRECT("Lifting!T36")+INDIRECT("Lifting!Y36"),"")</f>
        <v/>
      </c>
      <c r="Q38" s="236" t="str">
        <f ca="1">IF(P38="","",P38*INDIRECT("Lifting!H36"))</f>
        <v/>
      </c>
      <c r="R38" s="221"/>
    </row>
    <row r="39" spans="2:18" ht="15" x14ac:dyDescent="0.2">
      <c r="B39" s="265" t="str">
        <f ca="1">IF(INDIRECT("Lifting!A37")="","",INDIRECT("Lifting!A37"))</f>
        <v/>
      </c>
      <c r="C39" s="265" t="str">
        <f ca="1">IF(INDIRECT("Lifting!G37")="","",INDIRECT("Lifting!G37"))</f>
        <v/>
      </c>
      <c r="D39" s="265" t="str">
        <f ca="1">IF(INDIRECT("Lifting!B37")="","",INDIRECT("Lifting!B37"))</f>
        <v/>
      </c>
      <c r="E39" s="265" t="str">
        <f ca="1">IF(INDIRECT("Lifting!C37")="","",INDIRECT("Lifting!C37"))</f>
        <v/>
      </c>
      <c r="F39" s="265" t="str">
        <f ca="1">IF(INDIRECT("Lifting!E37")="","",INDIRECT("Lifting!E37"))</f>
        <v/>
      </c>
      <c r="G39" s="235" t="str">
        <f ca="1">IF(INDIRECT("Lifting!L37")="","",ABS(INDIRECT("Lifting!L37")))</f>
        <v/>
      </c>
      <c r="H39" s="235" t="str">
        <f ca="1">IF(INDIRECT("Lifting!M37")="","",ABS(INDIRECT("Lifting!M37")))</f>
        <v/>
      </c>
      <c r="I39" s="235" t="str">
        <f ca="1">IF(INDIRECT("Lifting!N37")="","",ABS(INDIRECT("Lifting!N37")))</f>
        <v/>
      </c>
      <c r="J39" s="235" t="str">
        <f ca="1">IF(INDIRECT("Lifting!Q37")="","",ABS(INDIRECT("Lifting!Q37")))</f>
        <v/>
      </c>
      <c r="K39" s="235" t="str">
        <f ca="1">IF(INDIRECT("Lifting!R37")="","",ABS(INDIRECT("Lifting!R37")))</f>
        <v/>
      </c>
      <c r="L39" s="235" t="str">
        <f ca="1">IF(INDIRECT("Lifting!S37")="","",ABS(INDIRECT("Lifting!S37")))</f>
        <v/>
      </c>
      <c r="M39" s="235" t="str">
        <f ca="1">IF(INDIRECT("Lifting!V37")="","",ABS(INDIRECT("Lifting!V37")))</f>
        <v/>
      </c>
      <c r="N39" s="235" t="str">
        <f ca="1">IF(INDIRECT("Lifting!W37")="","",ABS(INDIRECT("Lifting!W37")))</f>
        <v/>
      </c>
      <c r="O39" s="235" t="str">
        <f ca="1">IF(INDIRECT("Lifting!X37")="","",ABS(INDIRECT("Lifting!X37")))</f>
        <v/>
      </c>
      <c r="P39" s="235" t="str">
        <f ca="1">IF(INDIRECT("Lifting!O37")+INDIRECT("Lifting!T37")+INDIRECT("Lifting!Y37")&gt;0,INDIRECT("Lifting!O37")+INDIRECT("Lifting!T37")+INDIRECT("Lifting!Y37"),"")</f>
        <v/>
      </c>
      <c r="Q39" s="236" t="str">
        <f ca="1">IF(P39="","",P39*INDIRECT("Lifting!H37"))</f>
        <v/>
      </c>
      <c r="R39" s="221"/>
    </row>
    <row r="40" spans="2:18" ht="15" x14ac:dyDescent="0.2">
      <c r="B40" s="265" t="str">
        <f ca="1">IF(INDIRECT("Lifting!A38")="","",INDIRECT("Lifting!A38"))</f>
        <v/>
      </c>
      <c r="C40" s="265" t="str">
        <f ca="1">IF(INDIRECT("Lifting!G38")="","",INDIRECT("Lifting!G38"))</f>
        <v/>
      </c>
      <c r="D40" s="265" t="str">
        <f ca="1">IF(INDIRECT("Lifting!B38")="","",INDIRECT("Lifting!B38"))</f>
        <v/>
      </c>
      <c r="E40" s="265" t="str">
        <f ca="1">IF(INDIRECT("Lifting!C38")="","",INDIRECT("Lifting!C38"))</f>
        <v/>
      </c>
      <c r="F40" s="265" t="str">
        <f ca="1">IF(INDIRECT("Lifting!E38")="","",INDIRECT("Lifting!E38"))</f>
        <v/>
      </c>
      <c r="G40" s="235" t="str">
        <f ca="1">IF(INDIRECT("Lifting!L38")="","",ABS(INDIRECT("Lifting!L38")))</f>
        <v/>
      </c>
      <c r="H40" s="235" t="str">
        <f ca="1">IF(INDIRECT("Lifting!M38")="","",ABS(INDIRECT("Lifting!M38")))</f>
        <v/>
      </c>
      <c r="I40" s="235" t="str">
        <f ca="1">IF(INDIRECT("Lifting!N38")="","",ABS(INDIRECT("Lifting!N38")))</f>
        <v/>
      </c>
      <c r="J40" s="235" t="str">
        <f ca="1">IF(INDIRECT("Lifting!Q38")="","",ABS(INDIRECT("Lifting!Q38")))</f>
        <v/>
      </c>
      <c r="K40" s="235" t="str">
        <f ca="1">IF(INDIRECT("Lifting!R38")="","",ABS(INDIRECT("Lifting!R38")))</f>
        <v/>
      </c>
      <c r="L40" s="235" t="str">
        <f ca="1">IF(INDIRECT("Lifting!S38")="","",ABS(INDIRECT("Lifting!S38")))</f>
        <v/>
      </c>
      <c r="M40" s="235" t="str">
        <f ca="1">IF(INDIRECT("Lifting!V38")="","",ABS(INDIRECT("Lifting!V38")))</f>
        <v/>
      </c>
      <c r="N40" s="235" t="str">
        <f ca="1">IF(INDIRECT("Lifting!W38")="","",ABS(INDIRECT("Lifting!W38")))</f>
        <v/>
      </c>
      <c r="O40" s="235" t="str">
        <f ca="1">IF(INDIRECT("Lifting!X38")="","",ABS(INDIRECT("Lifting!X38")))</f>
        <v/>
      </c>
      <c r="P40" s="235" t="str">
        <f ca="1">IF(INDIRECT("Lifting!O38")+INDIRECT("Lifting!T38")+INDIRECT("Lifting!Y38")&gt;0,INDIRECT("Lifting!O38")+INDIRECT("Lifting!T38")+INDIRECT("Lifting!Y38"),"")</f>
        <v/>
      </c>
      <c r="Q40" s="236" t="str">
        <f ca="1">IF(P40="","",P40*INDIRECT("Lifting!H38"))</f>
        <v/>
      </c>
      <c r="R40" s="221"/>
    </row>
    <row r="41" spans="2:18" ht="15" x14ac:dyDescent="0.2">
      <c r="B41" s="265" t="str">
        <f ca="1">IF(INDIRECT("Lifting!A39")="","",INDIRECT("Lifting!A39"))</f>
        <v/>
      </c>
      <c r="C41" s="265" t="str">
        <f ca="1">IF(INDIRECT("Lifting!G39")="","",INDIRECT("Lifting!G39"))</f>
        <v/>
      </c>
      <c r="D41" s="265" t="str">
        <f ca="1">IF(INDIRECT("Lifting!B39")="","",INDIRECT("Lifting!B39"))</f>
        <v/>
      </c>
      <c r="E41" s="265" t="str">
        <f ca="1">IF(INDIRECT("Lifting!C39")="","",INDIRECT("Lifting!C39"))</f>
        <v/>
      </c>
      <c r="F41" s="265" t="str">
        <f ca="1">IF(INDIRECT("Lifting!E39")="","",INDIRECT("Lifting!E39"))</f>
        <v/>
      </c>
      <c r="G41" s="235" t="str">
        <f ca="1">IF(INDIRECT("Lifting!L39")="","",ABS(INDIRECT("Lifting!L39")))</f>
        <v/>
      </c>
      <c r="H41" s="235" t="str">
        <f ca="1">IF(INDIRECT("Lifting!M39")="","",ABS(INDIRECT("Lifting!M39")))</f>
        <v/>
      </c>
      <c r="I41" s="235" t="str">
        <f ca="1">IF(INDIRECT("Lifting!N39")="","",ABS(INDIRECT("Lifting!N39")))</f>
        <v/>
      </c>
      <c r="J41" s="235" t="str">
        <f ca="1">IF(INDIRECT("Lifting!Q39")="","",ABS(INDIRECT("Lifting!Q39")))</f>
        <v/>
      </c>
      <c r="K41" s="235" t="str">
        <f ca="1">IF(INDIRECT("Lifting!R39")="","",ABS(INDIRECT("Lifting!R39")))</f>
        <v/>
      </c>
      <c r="L41" s="235" t="str">
        <f ca="1">IF(INDIRECT("Lifting!S39")="","",ABS(INDIRECT("Lifting!S39")))</f>
        <v/>
      </c>
      <c r="M41" s="235" t="str">
        <f ca="1">IF(INDIRECT("Lifting!V39")="","",ABS(INDIRECT("Lifting!V39")))</f>
        <v/>
      </c>
      <c r="N41" s="235" t="str">
        <f ca="1">IF(INDIRECT("Lifting!W39")="","",ABS(INDIRECT("Lifting!W39")))</f>
        <v/>
      </c>
      <c r="O41" s="235" t="str">
        <f ca="1">IF(INDIRECT("Lifting!X39")="","",ABS(INDIRECT("Lifting!X39")))</f>
        <v/>
      </c>
      <c r="P41" s="235" t="str">
        <f ca="1">IF(INDIRECT("Lifting!O39")+INDIRECT("Lifting!T39")+INDIRECT("Lifting!Y39")&gt;0,INDIRECT("Lifting!O39")+INDIRECT("Lifting!T39")+INDIRECT("Lifting!Y39"),"")</f>
        <v/>
      </c>
      <c r="Q41" s="236" t="str">
        <f ca="1">IF(P41="","",P41*INDIRECT("Lifting!H39"))</f>
        <v/>
      </c>
      <c r="R41" s="221"/>
    </row>
    <row r="42" spans="2:18" ht="15" x14ac:dyDescent="0.2">
      <c r="B42" s="265" t="str">
        <f ca="1">IF(INDIRECT("Lifting!A40")="","",INDIRECT("Lifting!A40"))</f>
        <v/>
      </c>
      <c r="C42" s="265" t="str">
        <f ca="1">IF(INDIRECT("Lifting!G40")="","",INDIRECT("Lifting!G40"))</f>
        <v/>
      </c>
      <c r="D42" s="265" t="str">
        <f ca="1">IF(INDIRECT("Lifting!B40")="","",INDIRECT("Lifting!B40"))</f>
        <v/>
      </c>
      <c r="E42" s="265" t="str">
        <f ca="1">IF(INDIRECT("Lifting!C40")="","",INDIRECT("Lifting!C40"))</f>
        <v/>
      </c>
      <c r="F42" s="265" t="str">
        <f ca="1">IF(INDIRECT("Lifting!E40")="","",INDIRECT("Lifting!E40"))</f>
        <v/>
      </c>
      <c r="G42" s="235" t="str">
        <f ca="1">IF(INDIRECT("Lifting!L40")="","",ABS(INDIRECT("Lifting!L40")))</f>
        <v/>
      </c>
      <c r="H42" s="235" t="str">
        <f ca="1">IF(INDIRECT("Lifting!M40")="","",ABS(INDIRECT("Lifting!M40")))</f>
        <v/>
      </c>
      <c r="I42" s="235" t="str">
        <f ca="1">IF(INDIRECT("Lifting!N40")="","",ABS(INDIRECT("Lifting!N40")))</f>
        <v/>
      </c>
      <c r="J42" s="235" t="str">
        <f ca="1">IF(INDIRECT("Lifting!Q40")="","",ABS(INDIRECT("Lifting!Q40")))</f>
        <v/>
      </c>
      <c r="K42" s="235" t="str">
        <f ca="1">IF(INDIRECT("Lifting!R40")="","",ABS(INDIRECT("Lifting!R40")))</f>
        <v/>
      </c>
      <c r="L42" s="235" t="str">
        <f ca="1">IF(INDIRECT("Lifting!S40")="","",ABS(INDIRECT("Lifting!S40")))</f>
        <v/>
      </c>
      <c r="M42" s="235" t="str">
        <f ca="1">IF(INDIRECT("Lifting!V40")="","",ABS(INDIRECT("Lifting!V40")))</f>
        <v/>
      </c>
      <c r="N42" s="235" t="str">
        <f ca="1">IF(INDIRECT("Lifting!W40")="","",ABS(INDIRECT("Lifting!W40")))</f>
        <v/>
      </c>
      <c r="O42" s="235" t="str">
        <f ca="1">IF(INDIRECT("Lifting!X40")="","",ABS(INDIRECT("Lifting!X40")))</f>
        <v/>
      </c>
      <c r="P42" s="235" t="str">
        <f ca="1">IF(INDIRECT("Lifting!O40")+INDIRECT("Lifting!T40")+INDIRECT("Lifting!Y40")&gt;0,INDIRECT("Lifting!O40")+INDIRECT("Lifting!T40")+INDIRECT("Lifting!Y40"),"")</f>
        <v/>
      </c>
      <c r="Q42" s="236" t="str">
        <f ca="1">IF(P42="","",P42*INDIRECT("Lifting!H40"))</f>
        <v/>
      </c>
      <c r="R42" s="221"/>
    </row>
    <row r="43" spans="2:18" ht="15" x14ac:dyDescent="0.2">
      <c r="B43" s="265" t="str">
        <f ca="1">IF(INDIRECT("Lifting!A41")="","",INDIRECT("Lifting!A41"))</f>
        <v/>
      </c>
      <c r="C43" s="265" t="str">
        <f ca="1">IF(INDIRECT("Lifting!G41")="","",INDIRECT("Lifting!G41"))</f>
        <v/>
      </c>
      <c r="D43" s="265" t="str">
        <f ca="1">IF(INDIRECT("Lifting!B41")="","",INDIRECT("Lifting!B41"))</f>
        <v/>
      </c>
      <c r="E43" s="265" t="str">
        <f ca="1">IF(INDIRECT("Lifting!C41")="","",INDIRECT("Lifting!C41"))</f>
        <v/>
      </c>
      <c r="F43" s="265" t="str">
        <f ca="1">IF(INDIRECT("Lifting!E41")="","",INDIRECT("Lifting!E41"))</f>
        <v/>
      </c>
      <c r="G43" s="235" t="str">
        <f ca="1">IF(INDIRECT("Lifting!L41")="","",ABS(INDIRECT("Lifting!L41")))</f>
        <v/>
      </c>
      <c r="H43" s="235" t="str">
        <f ca="1">IF(INDIRECT("Lifting!M41")="","",ABS(INDIRECT("Lifting!M41")))</f>
        <v/>
      </c>
      <c r="I43" s="235" t="str">
        <f ca="1">IF(INDIRECT("Lifting!N41")="","",ABS(INDIRECT("Lifting!N41")))</f>
        <v/>
      </c>
      <c r="J43" s="235" t="str">
        <f ca="1">IF(INDIRECT("Lifting!Q41")="","",ABS(INDIRECT("Lifting!Q41")))</f>
        <v/>
      </c>
      <c r="K43" s="235" t="str">
        <f ca="1">IF(INDIRECT("Lifting!R41")="","",ABS(INDIRECT("Lifting!R41")))</f>
        <v/>
      </c>
      <c r="L43" s="235" t="str">
        <f ca="1">IF(INDIRECT("Lifting!S41")="","",ABS(INDIRECT("Lifting!S41")))</f>
        <v/>
      </c>
      <c r="M43" s="235" t="str">
        <f ca="1">IF(INDIRECT("Lifting!V41")="","",ABS(INDIRECT("Lifting!V41")))</f>
        <v/>
      </c>
      <c r="N43" s="235" t="str">
        <f ca="1">IF(INDIRECT("Lifting!W41")="","",ABS(INDIRECT("Lifting!W41")))</f>
        <v/>
      </c>
      <c r="O43" s="235" t="str">
        <f ca="1">IF(INDIRECT("Lifting!X41")="","",ABS(INDIRECT("Lifting!X41")))</f>
        <v/>
      </c>
      <c r="P43" s="235" t="str">
        <f ca="1">IF(INDIRECT("Lifting!O41")+INDIRECT("Lifting!T41")+INDIRECT("Lifting!Y41")&gt;0,INDIRECT("Lifting!O41")+INDIRECT("Lifting!T41")+INDIRECT("Lifting!Y41"),"")</f>
        <v/>
      </c>
      <c r="Q43" s="236" t="str">
        <f ca="1">IF(P43="","",P43*INDIRECT("Lifting!H41"))</f>
        <v/>
      </c>
      <c r="R43" s="221"/>
    </row>
    <row r="44" spans="2:18" ht="15" x14ac:dyDescent="0.2">
      <c r="B44" s="265" t="str">
        <f ca="1">IF(INDIRECT("Lifting!A42")="","",INDIRECT("Lifting!A42"))</f>
        <v/>
      </c>
      <c r="C44" s="265" t="str">
        <f ca="1">IF(INDIRECT("Lifting!G42")="","",INDIRECT("Lifting!G42"))</f>
        <v/>
      </c>
      <c r="D44" s="265" t="str">
        <f ca="1">IF(INDIRECT("Lifting!B42")="","",INDIRECT("Lifting!B42"))</f>
        <v/>
      </c>
      <c r="E44" s="265" t="str">
        <f ca="1">IF(INDIRECT("Lifting!C42")="","",INDIRECT("Lifting!C42"))</f>
        <v/>
      </c>
      <c r="F44" s="265" t="str">
        <f ca="1">IF(INDIRECT("Lifting!E42")="","",INDIRECT("Lifting!E42"))</f>
        <v/>
      </c>
      <c r="G44" s="235" t="str">
        <f ca="1">IF(INDIRECT("Lifting!L42")="","",ABS(INDIRECT("Lifting!L42")))</f>
        <v/>
      </c>
      <c r="H44" s="235" t="str">
        <f ca="1">IF(INDIRECT("Lifting!M42")="","",ABS(INDIRECT("Lifting!M42")))</f>
        <v/>
      </c>
      <c r="I44" s="235" t="str">
        <f ca="1">IF(INDIRECT("Lifting!N42")="","",ABS(INDIRECT("Lifting!N42")))</f>
        <v/>
      </c>
      <c r="J44" s="235" t="str">
        <f ca="1">IF(INDIRECT("Lifting!Q42")="","",ABS(INDIRECT("Lifting!Q42")))</f>
        <v/>
      </c>
      <c r="K44" s="235" t="str">
        <f ca="1">IF(INDIRECT("Lifting!R42")="","",ABS(INDIRECT("Lifting!R42")))</f>
        <v/>
      </c>
      <c r="L44" s="235" t="str">
        <f ca="1">IF(INDIRECT("Lifting!S42")="","",ABS(INDIRECT("Lifting!S42")))</f>
        <v/>
      </c>
      <c r="M44" s="235" t="str">
        <f ca="1">IF(INDIRECT("Lifting!V42")="","",ABS(INDIRECT("Lifting!V42")))</f>
        <v/>
      </c>
      <c r="N44" s="235" t="str">
        <f ca="1">IF(INDIRECT("Lifting!W42")="","",ABS(INDIRECT("Lifting!W42")))</f>
        <v/>
      </c>
      <c r="O44" s="235" t="str">
        <f ca="1">IF(INDIRECT("Lifting!X42")="","",ABS(INDIRECT("Lifting!X42")))</f>
        <v/>
      </c>
      <c r="P44" s="235" t="str">
        <f ca="1">IF(INDIRECT("Lifting!O42")+INDIRECT("Lifting!T42")+INDIRECT("Lifting!Y42")&gt;0,INDIRECT("Lifting!O42")+INDIRECT("Lifting!T42")+INDIRECT("Lifting!Y42"),"")</f>
        <v/>
      </c>
      <c r="Q44" s="236" t="str">
        <f ca="1">IF(P44="","",P44*INDIRECT("Lifting!H42"))</f>
        <v/>
      </c>
      <c r="R44" s="221"/>
    </row>
    <row r="45" spans="2:18" ht="15" x14ac:dyDescent="0.2">
      <c r="B45" s="265" t="str">
        <f ca="1">IF(INDIRECT("Lifting!A43")="","",INDIRECT("Lifting!A43"))</f>
        <v/>
      </c>
      <c r="C45" s="265" t="str">
        <f ca="1">IF(INDIRECT("Lifting!G43")="","",INDIRECT("Lifting!G43"))</f>
        <v/>
      </c>
      <c r="D45" s="265" t="str">
        <f ca="1">IF(INDIRECT("Lifting!B43")="","",INDIRECT("Lifting!B43"))</f>
        <v/>
      </c>
      <c r="E45" s="265" t="str">
        <f ca="1">IF(INDIRECT("Lifting!C43")="","",INDIRECT("Lifting!C43"))</f>
        <v/>
      </c>
      <c r="F45" s="265" t="str">
        <f ca="1">IF(INDIRECT("Lifting!E43")="","",INDIRECT("Lifting!E43"))</f>
        <v/>
      </c>
      <c r="G45" s="235" t="str">
        <f ca="1">IF(INDIRECT("Lifting!L43")="","",ABS(INDIRECT("Lifting!L43")))</f>
        <v/>
      </c>
      <c r="H45" s="235" t="str">
        <f ca="1">IF(INDIRECT("Lifting!M43")="","",ABS(INDIRECT("Lifting!M43")))</f>
        <v/>
      </c>
      <c r="I45" s="235" t="str">
        <f ca="1">IF(INDIRECT("Lifting!N43")="","",ABS(INDIRECT("Lifting!N43")))</f>
        <v/>
      </c>
      <c r="J45" s="235" t="str">
        <f ca="1">IF(INDIRECT("Lifting!Q43")="","",ABS(INDIRECT("Lifting!Q43")))</f>
        <v/>
      </c>
      <c r="K45" s="235" t="str">
        <f ca="1">IF(INDIRECT("Lifting!R43")="","",ABS(INDIRECT("Lifting!R43")))</f>
        <v/>
      </c>
      <c r="L45" s="235" t="str">
        <f ca="1">IF(INDIRECT("Lifting!S43")="","",ABS(INDIRECT("Lifting!S43")))</f>
        <v/>
      </c>
      <c r="M45" s="235" t="str">
        <f ca="1">IF(INDIRECT("Lifting!V43")="","",ABS(INDIRECT("Lifting!V43")))</f>
        <v/>
      </c>
      <c r="N45" s="235" t="str">
        <f ca="1">IF(INDIRECT("Lifting!W43")="","",ABS(INDIRECT("Lifting!W43")))</f>
        <v/>
      </c>
      <c r="O45" s="235" t="str">
        <f ca="1">IF(INDIRECT("Lifting!X43")="","",ABS(INDIRECT("Lifting!X43")))</f>
        <v/>
      </c>
      <c r="P45" s="235" t="str">
        <f ca="1">IF(INDIRECT("Lifting!O43")+INDIRECT("Lifting!T43")+INDIRECT("Lifting!Y43")&gt;0,INDIRECT("Lifting!O43")+INDIRECT("Lifting!T43")+INDIRECT("Lifting!Y43"),"")</f>
        <v/>
      </c>
      <c r="Q45" s="236" t="str">
        <f ca="1">IF(P45="","",P45*INDIRECT("Lifting!H43"))</f>
        <v/>
      </c>
      <c r="R45" s="221"/>
    </row>
    <row r="46" spans="2:18" ht="15" x14ac:dyDescent="0.2">
      <c r="B46" s="265" t="str">
        <f ca="1">IF(INDIRECT("Lifting!A44")="","",INDIRECT("Lifting!A44"))</f>
        <v/>
      </c>
      <c r="C46" s="265" t="str">
        <f ca="1">IF(INDIRECT("Lifting!G44")="","",INDIRECT("Lifting!G44"))</f>
        <v/>
      </c>
      <c r="D46" s="265" t="str">
        <f ca="1">IF(INDIRECT("Lifting!B44")="","",INDIRECT("Lifting!B44"))</f>
        <v/>
      </c>
      <c r="E46" s="265" t="str">
        <f ca="1">IF(INDIRECT("Lifting!C44")="","",INDIRECT("Lifting!C44"))</f>
        <v/>
      </c>
      <c r="F46" s="265" t="str">
        <f ca="1">IF(INDIRECT("Lifting!E44")="","",INDIRECT("Lifting!E44"))</f>
        <v/>
      </c>
      <c r="G46" s="235" t="str">
        <f ca="1">IF(INDIRECT("Lifting!L44")="","",ABS(INDIRECT("Lifting!L44")))</f>
        <v/>
      </c>
      <c r="H46" s="235" t="str">
        <f ca="1">IF(INDIRECT("Lifting!M44")="","",ABS(INDIRECT("Lifting!M44")))</f>
        <v/>
      </c>
      <c r="I46" s="235" t="str">
        <f ca="1">IF(INDIRECT("Lifting!N44")="","",ABS(INDIRECT("Lifting!N44")))</f>
        <v/>
      </c>
      <c r="J46" s="235" t="str">
        <f ca="1">IF(INDIRECT("Lifting!Q44")="","",ABS(INDIRECT("Lifting!Q44")))</f>
        <v/>
      </c>
      <c r="K46" s="235" t="str">
        <f ca="1">IF(INDIRECT("Lifting!R44")="","",ABS(INDIRECT("Lifting!R44")))</f>
        <v/>
      </c>
      <c r="L46" s="235" t="str">
        <f ca="1">IF(INDIRECT("Lifting!S44")="","",ABS(INDIRECT("Lifting!S44")))</f>
        <v/>
      </c>
      <c r="M46" s="235" t="str">
        <f ca="1">IF(INDIRECT("Lifting!V44")="","",ABS(INDIRECT("Lifting!V44")))</f>
        <v/>
      </c>
      <c r="N46" s="235" t="str">
        <f ca="1">IF(INDIRECT("Lifting!W44")="","",ABS(INDIRECT("Lifting!W44")))</f>
        <v/>
      </c>
      <c r="O46" s="235" t="str">
        <f ca="1">IF(INDIRECT("Lifting!X44")="","",ABS(INDIRECT("Lifting!X44")))</f>
        <v/>
      </c>
      <c r="P46" s="235" t="str">
        <f ca="1">IF(INDIRECT("Lifting!O44")+INDIRECT("Lifting!T44")+INDIRECT("Lifting!Y44")&gt;0,INDIRECT("Lifting!O44")+INDIRECT("Lifting!T44")+INDIRECT("Lifting!Y44"),"")</f>
        <v/>
      </c>
      <c r="Q46" s="236" t="str">
        <f ca="1">IF(P46="","",P46*INDIRECT("Lifting!H44"))</f>
        <v/>
      </c>
      <c r="R46" s="221"/>
    </row>
    <row r="47" spans="2:18" ht="15" x14ac:dyDescent="0.2">
      <c r="B47" s="265" t="str">
        <f ca="1">IF(INDIRECT("Lifting!A45")="","",INDIRECT("Lifting!A45"))</f>
        <v/>
      </c>
      <c r="C47" s="265" t="str">
        <f ca="1">IF(INDIRECT("Lifting!G45")="","",INDIRECT("Lifting!G45"))</f>
        <v/>
      </c>
      <c r="D47" s="265" t="str">
        <f ca="1">IF(INDIRECT("Lifting!B45")="","",INDIRECT("Lifting!B45"))</f>
        <v/>
      </c>
      <c r="E47" s="265" t="str">
        <f ca="1">IF(INDIRECT("Lifting!C45")="","",INDIRECT("Lifting!C45"))</f>
        <v/>
      </c>
      <c r="F47" s="265" t="str">
        <f ca="1">IF(INDIRECT("Lifting!E45")="","",INDIRECT("Lifting!E45"))</f>
        <v/>
      </c>
      <c r="G47" s="235" t="str">
        <f ca="1">IF(INDIRECT("Lifting!L45")="","",ABS(INDIRECT("Lifting!L45")))</f>
        <v/>
      </c>
      <c r="H47" s="235" t="str">
        <f ca="1">IF(INDIRECT("Lifting!M45")="","",ABS(INDIRECT("Lifting!M45")))</f>
        <v/>
      </c>
      <c r="I47" s="235" t="str">
        <f ca="1">IF(INDIRECT("Lifting!N45")="","",ABS(INDIRECT("Lifting!N45")))</f>
        <v/>
      </c>
      <c r="J47" s="235" t="str">
        <f ca="1">IF(INDIRECT("Lifting!Q45")="","",ABS(INDIRECT("Lifting!Q45")))</f>
        <v/>
      </c>
      <c r="K47" s="235" t="str">
        <f ca="1">IF(INDIRECT("Lifting!R45")="","",ABS(INDIRECT("Lifting!R45")))</f>
        <v/>
      </c>
      <c r="L47" s="235" t="str">
        <f ca="1">IF(INDIRECT("Lifting!S45")="","",ABS(INDIRECT("Lifting!S45")))</f>
        <v/>
      </c>
      <c r="M47" s="235" t="str">
        <f ca="1">IF(INDIRECT("Lifting!V45")="","",ABS(INDIRECT("Lifting!V45")))</f>
        <v/>
      </c>
      <c r="N47" s="235" t="str">
        <f ca="1">IF(INDIRECT("Lifting!W45")="","",ABS(INDIRECT("Lifting!W45")))</f>
        <v/>
      </c>
      <c r="O47" s="235" t="str">
        <f ca="1">IF(INDIRECT("Lifting!X45")="","",ABS(INDIRECT("Lifting!X45")))</f>
        <v/>
      </c>
      <c r="P47" s="235" t="str">
        <f ca="1">IF(INDIRECT("Lifting!O45")+INDIRECT("Lifting!T45")+INDIRECT("Lifting!Y45")&gt;0,INDIRECT("Lifting!O45")+INDIRECT("Lifting!T45")+INDIRECT("Lifting!Y45"),"")</f>
        <v/>
      </c>
      <c r="Q47" s="236" t="str">
        <f ca="1">IF(P47="","",P47*INDIRECT("Lifting!H45"))</f>
        <v/>
      </c>
      <c r="R47" s="221"/>
    </row>
    <row r="48" spans="2:18" ht="15" x14ac:dyDescent="0.2">
      <c r="B48" s="265" t="str">
        <f ca="1">IF(INDIRECT("Lifting!A46")="","",INDIRECT("Lifting!A46"))</f>
        <v/>
      </c>
      <c r="C48" s="265" t="str">
        <f ca="1">IF(INDIRECT("Lifting!G46")="","",INDIRECT("Lifting!G46"))</f>
        <v/>
      </c>
      <c r="D48" s="265" t="str">
        <f ca="1">IF(INDIRECT("Lifting!B46")="","",INDIRECT("Lifting!B46"))</f>
        <v/>
      </c>
      <c r="E48" s="265" t="str">
        <f ca="1">IF(INDIRECT("Lifting!C46")="","",INDIRECT("Lifting!C46"))</f>
        <v/>
      </c>
      <c r="F48" s="265" t="str">
        <f ca="1">IF(INDIRECT("Lifting!E46")="","",INDIRECT("Lifting!E46"))</f>
        <v/>
      </c>
      <c r="G48" s="235" t="str">
        <f ca="1">IF(INDIRECT("Lifting!L46")="","",ABS(INDIRECT("Lifting!L46")))</f>
        <v/>
      </c>
      <c r="H48" s="235" t="str">
        <f ca="1">IF(INDIRECT("Lifting!M46")="","",ABS(INDIRECT("Lifting!M46")))</f>
        <v/>
      </c>
      <c r="I48" s="235" t="str">
        <f ca="1">IF(INDIRECT("Lifting!N46")="","",ABS(INDIRECT("Lifting!N46")))</f>
        <v/>
      </c>
      <c r="J48" s="235" t="str">
        <f ca="1">IF(INDIRECT("Lifting!Q46")="","",ABS(INDIRECT("Lifting!Q46")))</f>
        <v/>
      </c>
      <c r="K48" s="235" t="str">
        <f ca="1">IF(INDIRECT("Lifting!R46")="","",ABS(INDIRECT("Lifting!R46")))</f>
        <v/>
      </c>
      <c r="L48" s="235" t="str">
        <f ca="1">IF(INDIRECT("Lifting!S46")="","",ABS(INDIRECT("Lifting!S46")))</f>
        <v/>
      </c>
      <c r="M48" s="235" t="str">
        <f ca="1">IF(INDIRECT("Lifting!V46")="","",ABS(INDIRECT("Lifting!V46")))</f>
        <v/>
      </c>
      <c r="N48" s="235" t="str">
        <f ca="1">IF(INDIRECT("Lifting!W46")="","",ABS(INDIRECT("Lifting!W46")))</f>
        <v/>
      </c>
      <c r="O48" s="235" t="str">
        <f ca="1">IF(INDIRECT("Lifting!X46")="","",ABS(INDIRECT("Lifting!X46")))</f>
        <v/>
      </c>
      <c r="P48" s="235" t="str">
        <f ca="1">IF(INDIRECT("Lifting!O46")+INDIRECT("Lifting!T46")+INDIRECT("Lifting!Y46")&gt;0,INDIRECT("Lifting!O46")+INDIRECT("Lifting!T46")+INDIRECT("Lifting!Y46"),"")</f>
        <v/>
      </c>
      <c r="Q48" s="236" t="str">
        <f ca="1">IF(P48="","",P48*INDIRECT("Lifting!H46"))</f>
        <v/>
      </c>
      <c r="R48" s="221"/>
    </row>
    <row r="49" spans="2:18" ht="15" x14ac:dyDescent="0.2">
      <c r="B49" s="265" t="str">
        <f ca="1">IF(INDIRECT("Lifting!A47")="","",INDIRECT("Lifting!A47"))</f>
        <v/>
      </c>
      <c r="C49" s="265" t="str">
        <f ca="1">IF(INDIRECT("Lifting!G47")="","",INDIRECT("Lifting!G47"))</f>
        <v/>
      </c>
      <c r="D49" s="265" t="str">
        <f ca="1">IF(INDIRECT("Lifting!B47")="","",INDIRECT("Lifting!B47"))</f>
        <v/>
      </c>
      <c r="E49" s="265" t="str">
        <f ca="1">IF(INDIRECT("Lifting!C47")="","",INDIRECT("Lifting!C47"))</f>
        <v/>
      </c>
      <c r="F49" s="265" t="str">
        <f ca="1">IF(INDIRECT("Lifting!E47")="","",INDIRECT("Lifting!E47"))</f>
        <v/>
      </c>
      <c r="G49" s="235" t="str">
        <f ca="1">IF(INDIRECT("Lifting!L47")="","",ABS(INDIRECT("Lifting!L47")))</f>
        <v/>
      </c>
      <c r="H49" s="235" t="str">
        <f ca="1">IF(INDIRECT("Lifting!M47")="","",ABS(INDIRECT("Lifting!M47")))</f>
        <v/>
      </c>
      <c r="I49" s="235" t="str">
        <f ca="1">IF(INDIRECT("Lifting!N47")="","",ABS(INDIRECT("Lifting!N47")))</f>
        <v/>
      </c>
      <c r="J49" s="235" t="str">
        <f ca="1">IF(INDIRECT("Lifting!Q47")="","",ABS(INDIRECT("Lifting!Q47")))</f>
        <v/>
      </c>
      <c r="K49" s="235" t="str">
        <f ca="1">IF(INDIRECT("Lifting!R47")="","",ABS(INDIRECT("Lifting!R47")))</f>
        <v/>
      </c>
      <c r="L49" s="235" t="str">
        <f ca="1">IF(INDIRECT("Lifting!S47")="","",ABS(INDIRECT("Lifting!S47")))</f>
        <v/>
      </c>
      <c r="M49" s="235" t="str">
        <f ca="1">IF(INDIRECT("Lifting!V47")="","",ABS(INDIRECT("Lifting!V47")))</f>
        <v/>
      </c>
      <c r="N49" s="235" t="str">
        <f ca="1">IF(INDIRECT("Lifting!W47")="","",ABS(INDIRECT("Lifting!W47")))</f>
        <v/>
      </c>
      <c r="O49" s="235" t="str">
        <f ca="1">IF(INDIRECT("Lifting!X47")="","",ABS(INDIRECT("Lifting!X47")))</f>
        <v/>
      </c>
      <c r="P49" s="235" t="str">
        <f ca="1">IF(INDIRECT("Lifting!O47")+INDIRECT("Lifting!T47")+INDIRECT("Lifting!Y47")&gt;0,INDIRECT("Lifting!O47")+INDIRECT("Lifting!T47")+INDIRECT("Lifting!Y47"),"")</f>
        <v/>
      </c>
      <c r="Q49" s="236" t="str">
        <f ca="1">IF(P49="","",P49*INDIRECT("Lifting!H47"))</f>
        <v/>
      </c>
      <c r="R49" s="221"/>
    </row>
    <row r="50" spans="2:18" ht="15" x14ac:dyDescent="0.2">
      <c r="B50" s="265" t="str">
        <f ca="1">IF(INDIRECT("Lifting!A48")="","",INDIRECT("Lifting!A48"))</f>
        <v/>
      </c>
      <c r="C50" s="265" t="str">
        <f ca="1">IF(INDIRECT("Lifting!G48")="","",INDIRECT("Lifting!G48"))</f>
        <v/>
      </c>
      <c r="D50" s="265" t="str">
        <f ca="1">IF(INDIRECT("Lifting!B48")="","",INDIRECT("Lifting!B48"))</f>
        <v/>
      </c>
      <c r="E50" s="265" t="str">
        <f ca="1">IF(INDIRECT("Lifting!C48")="","",INDIRECT("Lifting!C48"))</f>
        <v/>
      </c>
      <c r="F50" s="265" t="str">
        <f ca="1">IF(INDIRECT("Lifting!E48")="","",INDIRECT("Lifting!E48"))</f>
        <v/>
      </c>
      <c r="G50" s="235" t="str">
        <f ca="1">IF(INDIRECT("Lifting!L48")="","",ABS(INDIRECT("Lifting!L48")))</f>
        <v/>
      </c>
      <c r="H50" s="235" t="str">
        <f ca="1">IF(INDIRECT("Lifting!M48")="","",ABS(INDIRECT("Lifting!M48")))</f>
        <v/>
      </c>
      <c r="I50" s="235" t="str">
        <f ca="1">IF(INDIRECT("Lifting!N48")="","",ABS(INDIRECT("Lifting!N48")))</f>
        <v/>
      </c>
      <c r="J50" s="235" t="str">
        <f ca="1">IF(INDIRECT("Lifting!Q48")="","",ABS(INDIRECT("Lifting!Q48")))</f>
        <v/>
      </c>
      <c r="K50" s="235" t="str">
        <f ca="1">IF(INDIRECT("Lifting!R48")="","",ABS(INDIRECT("Lifting!R48")))</f>
        <v/>
      </c>
      <c r="L50" s="235" t="str">
        <f ca="1">IF(INDIRECT("Lifting!S48")="","",ABS(INDIRECT("Lifting!S48")))</f>
        <v/>
      </c>
      <c r="M50" s="235" t="str">
        <f ca="1">IF(INDIRECT("Lifting!V48")="","",ABS(INDIRECT("Lifting!V48")))</f>
        <v/>
      </c>
      <c r="N50" s="235" t="str">
        <f ca="1">IF(INDIRECT("Lifting!W48")="","",ABS(INDIRECT("Lifting!W48")))</f>
        <v/>
      </c>
      <c r="O50" s="235" t="str">
        <f ca="1">IF(INDIRECT("Lifting!X48")="","",ABS(INDIRECT("Lifting!X48")))</f>
        <v/>
      </c>
      <c r="P50" s="235" t="str">
        <f ca="1">IF(INDIRECT("Lifting!O48")+INDIRECT("Lifting!T48")+INDIRECT("Lifting!Y48")&gt;0,INDIRECT("Lifting!O48")+INDIRECT("Lifting!T48")+INDIRECT("Lifting!Y48"),"")</f>
        <v/>
      </c>
      <c r="Q50" s="236" t="str">
        <f ca="1">IF(P50="","",P50*INDIRECT("Lifting!H48"))</f>
        <v/>
      </c>
      <c r="R50" s="221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G11:I50">
    <cfRule type="expression" dxfId="48" priority="9">
      <formula>INDIRECT(ADDRESS(ROW()-2,COLUMN()+57,,,"Lifting"))=-1</formula>
    </cfRule>
    <cfRule type="expression" dxfId="47" priority="10">
      <formula>INDIRECT(ADDRESS(ROW()-2,COLUMN()+57,,,"Lifting"))=1</formula>
    </cfRule>
  </conditionalFormatting>
  <conditionalFormatting sqref="J11:L50">
    <cfRule type="expression" dxfId="46" priority="5">
      <formula>INDIRECT(ADDRESS(ROW()-2,COLUMN()+59,,,"Lifting"))=-1</formula>
    </cfRule>
    <cfRule type="expression" dxfId="45" priority="8">
      <formula>INDIRECT(ADDRESS(ROW()-2,COLUMN()+59,,,"Lifting"))=1</formula>
    </cfRule>
  </conditionalFormatting>
  <conditionalFormatting sqref="M11:O50">
    <cfRule type="expression" dxfId="44" priority="3">
      <formula>INDIRECT(ADDRESS(ROW()-2,COLUMN()+61,,,"Lifting"))=-1</formula>
    </cfRule>
    <cfRule type="expression" dxfId="43" priority="4">
      <formula>INDIRECT(ADDRESS(ROW()-2,COLUMN()+61,,,"Lifting"))=1</formula>
    </cfRule>
  </conditionalFormatting>
  <conditionalFormatting sqref="B11:Q50">
    <cfRule type="expression" dxfId="42" priority="1">
      <formula>INDIRECT(ADDRESS(ROW(),2))=$B$11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2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1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57" t="s">
        <v>108</v>
      </c>
      <c r="F1" s="358"/>
      <c r="G1" s="357" t="s">
        <v>109</v>
      </c>
      <c r="H1" s="358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55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55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55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55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55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55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55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55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55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55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55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55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55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55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55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55"/>
      <c r="E18" s="356" t="s">
        <v>105</v>
      </c>
      <c r="F18" s="356"/>
      <c r="G18" s="356"/>
      <c r="H18" s="356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55"/>
      <c r="E19" s="356"/>
      <c r="F19" s="356"/>
      <c r="G19" s="356"/>
      <c r="H19" s="356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55"/>
      <c r="E20" s="356"/>
      <c r="F20" s="356"/>
      <c r="G20" s="356"/>
      <c r="H20" s="356"/>
    </row>
    <row r="21" spans="1:24" x14ac:dyDescent="0.2">
      <c r="A21" s="27">
        <v>48</v>
      </c>
      <c r="B21" s="27">
        <v>1.097</v>
      </c>
      <c r="C21" s="355"/>
    </row>
    <row r="22" spans="1:24" x14ac:dyDescent="0.2">
      <c r="A22" s="27">
        <v>49</v>
      </c>
      <c r="B22" s="27">
        <v>1.113</v>
      </c>
      <c r="C22" s="355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43"/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</row>
    <row r="2" spans="1:28" ht="12.75" customHeight="1" x14ac:dyDescent="1.1499999999999999">
      <c r="A2" s="243"/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0"/>
      <c r="AA2" s="243"/>
      <c r="AB2" s="243"/>
    </row>
    <row r="3" spans="1:28" ht="12.75" customHeight="1" x14ac:dyDescent="1.1499999999999999">
      <c r="A3" s="243"/>
      <c r="B3" s="242"/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0"/>
      <c r="AA3" s="243"/>
      <c r="AB3" s="243"/>
    </row>
    <row r="4" spans="1:28" ht="12.75" customHeight="1" x14ac:dyDescent="1.1499999999999999">
      <c r="A4" s="243"/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  <c r="T4" s="240"/>
      <c r="AA4" s="243"/>
      <c r="AB4" s="243"/>
    </row>
    <row r="5" spans="1:28" ht="12.75" customHeight="1" x14ac:dyDescent="1.1499999999999999">
      <c r="A5" s="243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242"/>
      <c r="Q5" s="242"/>
      <c r="R5" s="242"/>
      <c r="S5" s="242"/>
      <c r="T5" s="240"/>
      <c r="AA5" s="243"/>
      <c r="AB5" s="243"/>
    </row>
    <row r="6" spans="1:28" ht="12.75" customHeight="1" x14ac:dyDescent="1.1499999999999999">
      <c r="A6" s="243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0"/>
      <c r="AA6" s="243"/>
      <c r="AB6" s="243"/>
    </row>
    <row r="7" spans="1:28" ht="12.75" customHeight="1" x14ac:dyDescent="1.1499999999999999">
      <c r="A7" s="243"/>
      <c r="B7" s="242"/>
      <c r="C7" s="242"/>
      <c r="D7" s="242"/>
      <c r="E7" s="242"/>
      <c r="F7" s="242"/>
      <c r="G7" s="242"/>
      <c r="H7" s="242"/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240"/>
      <c r="AA7" s="243"/>
      <c r="AB7" s="243"/>
    </row>
    <row r="8" spans="1:28" ht="12.75" customHeight="1" x14ac:dyDescent="1.1499999999999999">
      <c r="A8" s="243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242"/>
      <c r="N8" s="242"/>
      <c r="O8" s="242"/>
      <c r="P8" s="242"/>
      <c r="Q8" s="242"/>
      <c r="R8" s="242"/>
      <c r="S8" s="242"/>
      <c r="T8" s="240"/>
      <c r="AA8" s="243"/>
      <c r="AB8" s="243"/>
    </row>
    <row r="9" spans="1:28" ht="12.75" customHeight="1" x14ac:dyDescent="0.2">
      <c r="A9" s="243"/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AA9" s="243"/>
      <c r="AB9" s="243"/>
    </row>
    <row r="10" spans="1:28" ht="12.75" customHeight="1" x14ac:dyDescent="0.2">
      <c r="A10" s="243"/>
      <c r="B10" s="362" t="str">
        <f ca="1">IF(Lifting!C2="","",CONCATENATE(Lifting!C2," kg"))</f>
        <v>145 kg</v>
      </c>
      <c r="C10" s="362"/>
      <c r="D10" s="362"/>
      <c r="E10" s="362"/>
      <c r="F10" s="362"/>
      <c r="G10" s="362"/>
      <c r="H10" s="362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43"/>
      <c r="AB10" s="243"/>
    </row>
    <row r="11" spans="1:28" ht="12.75" customHeight="1" x14ac:dyDescent="0.2">
      <c r="A11" s="243"/>
      <c r="B11" s="362"/>
      <c r="C11" s="362"/>
      <c r="D11" s="362"/>
      <c r="E11" s="362"/>
      <c r="F11" s="362"/>
      <c r="G11" s="362"/>
      <c r="H11" s="362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43"/>
      <c r="AB11" s="243"/>
    </row>
    <row r="12" spans="1:28" ht="12.75" customHeight="1" x14ac:dyDescent="0.2">
      <c r="A12" s="243"/>
      <c r="B12" s="362"/>
      <c r="C12" s="362"/>
      <c r="D12" s="362"/>
      <c r="E12" s="362"/>
      <c r="F12" s="362"/>
      <c r="G12" s="362"/>
      <c r="H12" s="36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43"/>
      <c r="AB12" s="243"/>
    </row>
    <row r="13" spans="1:28" ht="12.75" customHeight="1" x14ac:dyDescent="0.2">
      <c r="A13" s="243"/>
      <c r="B13" s="362"/>
      <c r="C13" s="362"/>
      <c r="D13" s="362"/>
      <c r="E13" s="362"/>
      <c r="F13" s="362"/>
      <c r="G13" s="362"/>
      <c r="H13" s="362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43"/>
      <c r="AB13" s="243"/>
    </row>
    <row r="14" spans="1:28" ht="12.75" customHeight="1" x14ac:dyDescent="0.2">
      <c r="A14" s="243"/>
      <c r="B14" s="362"/>
      <c r="C14" s="362"/>
      <c r="D14" s="362"/>
      <c r="E14" s="362"/>
      <c r="F14" s="362"/>
      <c r="G14" s="362"/>
      <c r="H14" s="362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43"/>
      <c r="AB14" s="243"/>
    </row>
    <row r="15" spans="1:28" ht="12.75" customHeight="1" x14ac:dyDescent="0.2">
      <c r="A15" s="243"/>
      <c r="B15" s="362"/>
      <c r="C15" s="362"/>
      <c r="D15" s="362"/>
      <c r="E15" s="362"/>
      <c r="F15" s="362"/>
      <c r="G15" s="362"/>
      <c r="H15" s="362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43"/>
      <c r="AB15" s="243"/>
    </row>
    <row r="16" spans="1:28" ht="12.75" customHeight="1" x14ac:dyDescent="0.2">
      <c r="A16" s="243"/>
      <c r="B16" s="362"/>
      <c r="C16" s="362"/>
      <c r="D16" s="362"/>
      <c r="E16" s="362"/>
      <c r="F16" s="362"/>
      <c r="G16" s="362"/>
      <c r="H16" s="362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43"/>
      <c r="AB16" s="243"/>
    </row>
    <row r="17" spans="1:28" ht="12.75" customHeight="1" x14ac:dyDescent="0.2">
      <c r="A17" s="243"/>
      <c r="B17" s="362"/>
      <c r="C17" s="362"/>
      <c r="D17" s="362"/>
      <c r="E17" s="362"/>
      <c r="F17" s="362"/>
      <c r="G17" s="362"/>
      <c r="H17" s="362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43"/>
      <c r="AB17" s="243"/>
    </row>
    <row r="18" spans="1:28" ht="12.75" customHeight="1" x14ac:dyDescent="0.2">
      <c r="A18" s="243"/>
      <c r="B18" s="362"/>
      <c r="C18" s="362"/>
      <c r="D18" s="362"/>
      <c r="E18" s="362"/>
      <c r="F18" s="362"/>
      <c r="G18" s="362"/>
      <c r="H18" s="362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43"/>
      <c r="AB18" s="243"/>
    </row>
    <row r="19" spans="1:28" ht="12.75" customHeight="1" x14ac:dyDescent="0.2">
      <c r="A19" s="243"/>
      <c r="B19" s="362"/>
      <c r="C19" s="362"/>
      <c r="D19" s="362"/>
      <c r="E19" s="362"/>
      <c r="F19" s="362"/>
      <c r="G19" s="362"/>
      <c r="H19" s="362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43"/>
      <c r="AB19" s="243"/>
    </row>
    <row r="20" spans="1:28" ht="12.75" customHeight="1" x14ac:dyDescent="0.2">
      <c r="A20" s="243"/>
      <c r="B20" s="362"/>
      <c r="C20" s="362"/>
      <c r="D20" s="362"/>
      <c r="E20" s="362"/>
      <c r="F20" s="362"/>
      <c r="G20" s="362"/>
      <c r="H20" s="362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43"/>
      <c r="AB20" s="243"/>
    </row>
    <row r="21" spans="1:28" x14ac:dyDescent="0.2">
      <c r="A21" s="243"/>
      <c r="B21" s="361" t="str">
        <f ca="1">Lifting!F4</f>
        <v>Total = 330</v>
      </c>
      <c r="C21" s="361"/>
      <c r="D21" s="361"/>
      <c r="E21" s="361"/>
      <c r="F21" s="361"/>
      <c r="G21" s="361"/>
      <c r="H21" s="361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43"/>
      <c r="AB21" s="243"/>
    </row>
    <row r="22" spans="1:28" x14ac:dyDescent="0.2">
      <c r="A22" s="243"/>
      <c r="B22" s="361"/>
      <c r="C22" s="361"/>
      <c r="D22" s="361"/>
      <c r="E22" s="361"/>
      <c r="F22" s="361"/>
      <c r="G22" s="361"/>
      <c r="H22" s="361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43"/>
      <c r="AB22" s="243"/>
    </row>
    <row r="23" spans="1:28" x14ac:dyDescent="0.2">
      <c r="A23" s="243"/>
      <c r="B23" s="361"/>
      <c r="C23" s="361"/>
      <c r="D23" s="361"/>
      <c r="E23" s="361"/>
      <c r="F23" s="361"/>
      <c r="G23" s="361"/>
      <c r="H23" s="361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43"/>
      <c r="AB23" s="243"/>
    </row>
    <row r="24" spans="1:28" x14ac:dyDescent="0.2">
      <c r="A24" s="243"/>
      <c r="B24" s="361"/>
      <c r="C24" s="361"/>
      <c r="D24" s="361"/>
      <c r="E24" s="361"/>
      <c r="F24" s="361"/>
      <c r="G24" s="361"/>
      <c r="H24" s="361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43"/>
      <c r="AB24" s="243"/>
    </row>
    <row r="25" spans="1:28" x14ac:dyDescent="0.2">
      <c r="A25" s="243"/>
      <c r="B25" s="361"/>
      <c r="C25" s="361"/>
      <c r="D25" s="361"/>
      <c r="E25" s="361"/>
      <c r="F25" s="361"/>
      <c r="G25" s="361"/>
      <c r="H25" s="361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43"/>
      <c r="AB25" s="243"/>
    </row>
    <row r="26" spans="1:28" x14ac:dyDescent="0.2">
      <c r="A26" s="243"/>
      <c r="B26" s="361"/>
      <c r="C26" s="361"/>
      <c r="D26" s="361"/>
      <c r="E26" s="361"/>
      <c r="F26" s="361"/>
      <c r="G26" s="361"/>
      <c r="H26" s="361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43"/>
      <c r="AB26" s="243"/>
    </row>
    <row r="27" spans="1:28" x14ac:dyDescent="0.2">
      <c r="A27" s="24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43"/>
      <c r="AB27" s="243"/>
    </row>
    <row r="28" spans="1:28" x14ac:dyDescent="0.2">
      <c r="A28" s="24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43"/>
      <c r="AB28" s="243"/>
    </row>
    <row r="29" spans="1:28" x14ac:dyDescent="0.2">
      <c r="A29" s="24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43"/>
      <c r="AB29" s="243"/>
    </row>
    <row r="30" spans="1:28" x14ac:dyDescent="0.2">
      <c r="A30" s="243"/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  <c r="AA30" s="243"/>
      <c r="AB30" s="243"/>
    </row>
    <row r="31" spans="1:28" x14ac:dyDescent="0.2">
      <c r="A31" s="243"/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  <c r="AA31" s="243"/>
      <c r="AB31" s="243"/>
    </row>
    <row r="32" spans="1:28" ht="12.75" customHeight="1" x14ac:dyDescent="0.2">
      <c r="A32" s="243"/>
      <c r="B32" s="360" t="str">
        <f ca="1">IF(Lists!P3="",,CONCATENATE("Nästa vikt: ",Lists!P3," kg"))</f>
        <v>Nästa vikt: 200 kg</v>
      </c>
      <c r="C32" s="360"/>
      <c r="D32" s="360"/>
      <c r="E32" s="360"/>
      <c r="F32" s="360"/>
      <c r="G32" s="360"/>
      <c r="H32" s="360"/>
      <c r="I32" s="360"/>
      <c r="J32" s="360"/>
      <c r="K32" s="360"/>
      <c r="L32" s="359" t="str">
        <f ca="1">Lists!R39</f>
        <v/>
      </c>
      <c r="M32" s="359"/>
      <c r="N32" s="359"/>
      <c r="O32" s="359"/>
      <c r="P32" s="359"/>
      <c r="Q32" s="359"/>
      <c r="R32" s="359"/>
      <c r="S32" s="359"/>
      <c r="T32" s="243"/>
      <c r="U32" s="243"/>
      <c r="V32" s="243"/>
      <c r="W32" s="243"/>
      <c r="X32" s="243"/>
      <c r="Y32" s="243"/>
      <c r="Z32" s="243"/>
      <c r="AA32" s="243"/>
      <c r="AB32" s="243"/>
    </row>
    <row r="33" spans="1:28" ht="12.75" customHeight="1" x14ac:dyDescent="0.2">
      <c r="A33" s="243"/>
      <c r="B33" s="360"/>
      <c r="C33" s="360"/>
      <c r="D33" s="360"/>
      <c r="E33" s="360"/>
      <c r="F33" s="360"/>
      <c r="G33" s="360"/>
      <c r="H33" s="360"/>
      <c r="I33" s="360"/>
      <c r="J33" s="360"/>
      <c r="K33" s="360"/>
      <c r="L33" s="359"/>
      <c r="M33" s="359"/>
      <c r="N33" s="359"/>
      <c r="O33" s="359"/>
      <c r="P33" s="359"/>
      <c r="Q33" s="359"/>
      <c r="R33" s="359"/>
      <c r="S33" s="359"/>
      <c r="T33" s="243"/>
      <c r="U33" s="243"/>
      <c r="V33" s="243"/>
      <c r="W33" s="243"/>
      <c r="X33" s="243"/>
      <c r="Y33" s="243"/>
      <c r="Z33" s="243"/>
      <c r="AA33" s="243"/>
      <c r="AB33" s="243"/>
    </row>
    <row r="34" spans="1:28" ht="12.75" customHeight="1" x14ac:dyDescent="0.2">
      <c r="A34" s="243"/>
      <c r="B34" s="360"/>
      <c r="C34" s="360"/>
      <c r="D34" s="360"/>
      <c r="E34" s="360"/>
      <c r="F34" s="360"/>
      <c r="G34" s="360"/>
      <c r="H34" s="360"/>
      <c r="I34" s="360"/>
      <c r="J34" s="360"/>
      <c r="K34" s="360"/>
      <c r="L34" s="359"/>
      <c r="M34" s="359"/>
      <c r="N34" s="359"/>
      <c r="O34" s="359"/>
      <c r="P34" s="359"/>
      <c r="Q34" s="359"/>
      <c r="R34" s="359"/>
      <c r="S34" s="359"/>
      <c r="T34" s="243"/>
      <c r="U34" s="243"/>
      <c r="V34" s="243"/>
      <c r="W34" s="243"/>
      <c r="X34" s="243"/>
      <c r="Y34" s="243"/>
      <c r="Z34" s="243"/>
      <c r="AA34" s="243"/>
      <c r="AB34" s="243"/>
    </row>
    <row r="35" spans="1:28" ht="12.75" customHeight="1" x14ac:dyDescent="0.2">
      <c r="A35" s="243"/>
      <c r="B35" s="360"/>
      <c r="C35" s="360"/>
      <c r="D35" s="360"/>
      <c r="E35" s="360"/>
      <c r="F35" s="360"/>
      <c r="G35" s="360"/>
      <c r="H35" s="360"/>
      <c r="I35" s="360"/>
      <c r="J35" s="360"/>
      <c r="K35" s="360"/>
      <c r="L35" s="359"/>
      <c r="M35" s="359"/>
      <c r="N35" s="359"/>
      <c r="O35" s="359"/>
      <c r="P35" s="359"/>
      <c r="Q35" s="359"/>
      <c r="R35" s="359"/>
      <c r="S35" s="359"/>
      <c r="T35" s="243"/>
      <c r="U35" s="243"/>
      <c r="V35" s="243"/>
      <c r="W35" s="243"/>
      <c r="X35" s="243"/>
      <c r="Y35" s="243"/>
      <c r="Z35" s="243"/>
      <c r="AA35" s="243"/>
      <c r="AB35" s="243"/>
    </row>
    <row r="36" spans="1:28" ht="12.75" customHeight="1" x14ac:dyDescent="0.2">
      <c r="A36" s="243"/>
      <c r="B36" s="360"/>
      <c r="C36" s="360"/>
      <c r="D36" s="360"/>
      <c r="E36" s="360"/>
      <c r="F36" s="360"/>
      <c r="G36" s="360"/>
      <c r="H36" s="360"/>
      <c r="I36" s="360"/>
      <c r="J36" s="360"/>
      <c r="K36" s="360"/>
      <c r="L36" s="359"/>
      <c r="M36" s="359"/>
      <c r="N36" s="359"/>
      <c r="O36" s="359"/>
      <c r="P36" s="359"/>
      <c r="Q36" s="359"/>
      <c r="R36" s="359"/>
      <c r="S36" s="359"/>
      <c r="T36" s="243"/>
      <c r="U36" s="243"/>
      <c r="V36" s="243"/>
      <c r="W36" s="243"/>
      <c r="X36" s="243"/>
      <c r="Y36" s="243"/>
      <c r="Z36" s="243"/>
      <c r="AA36" s="243"/>
      <c r="AB36" s="243"/>
    </row>
    <row r="37" spans="1:28" ht="12.75" customHeight="1" x14ac:dyDescent="0.2">
      <c r="A37" s="243"/>
      <c r="B37" s="360"/>
      <c r="C37" s="360"/>
      <c r="D37" s="360"/>
      <c r="E37" s="360"/>
      <c r="F37" s="360"/>
      <c r="G37" s="360"/>
      <c r="H37" s="360"/>
      <c r="I37" s="360"/>
      <c r="J37" s="360"/>
      <c r="K37" s="360"/>
      <c r="L37" s="359"/>
      <c r="M37" s="359"/>
      <c r="N37" s="359"/>
      <c r="O37" s="359"/>
      <c r="P37" s="359"/>
      <c r="Q37" s="359"/>
      <c r="R37" s="359"/>
      <c r="S37" s="359"/>
      <c r="T37" s="243"/>
      <c r="U37" s="243"/>
      <c r="V37" s="243"/>
      <c r="W37" s="243"/>
      <c r="X37" s="243"/>
      <c r="Y37" s="243"/>
      <c r="Z37" s="243"/>
      <c r="AA37" s="243"/>
      <c r="AB37" s="243"/>
    </row>
    <row r="38" spans="1:28" x14ac:dyDescent="0.2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  <c r="AA38" s="243"/>
      <c r="AB38" s="243"/>
    </row>
    <row r="39" spans="1:28" x14ac:dyDescent="0.2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  <c r="AA39" s="243"/>
      <c r="AB39" s="243"/>
    </row>
    <row r="40" spans="1:28" x14ac:dyDescent="0.2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  <c r="AA40" s="243"/>
      <c r="AB40" s="243"/>
    </row>
    <row r="41" spans="1:28" x14ac:dyDescent="0.2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  <c r="AA41" s="243"/>
      <c r="AB41" s="243"/>
    </row>
    <row r="42" spans="1:28" x14ac:dyDescent="0.2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  <c r="AA42" s="243"/>
      <c r="AB42" s="243"/>
    </row>
    <row r="43" spans="1:28" x14ac:dyDescent="0.2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  <c r="AA43" s="243"/>
      <c r="AB43" s="243"/>
    </row>
    <row r="44" spans="1:28" x14ac:dyDescent="0.2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  <c r="AA44" s="243"/>
      <c r="AB44" s="243"/>
    </row>
    <row r="45" spans="1:28" x14ac:dyDescent="0.2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  <c r="AA45" s="243"/>
      <c r="AB45" s="243"/>
    </row>
    <row r="46" spans="1:28" x14ac:dyDescent="0.2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  <c r="AA46" s="243"/>
      <c r="AB46" s="243"/>
    </row>
    <row r="47" spans="1:28" x14ac:dyDescent="0.2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  <c r="AA47" s="243"/>
      <c r="AB47" s="243"/>
    </row>
    <row r="48" spans="1:28" x14ac:dyDescent="0.2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  <c r="AA48" s="243"/>
      <c r="AB48" s="243"/>
    </row>
    <row r="49" spans="1:28" x14ac:dyDescent="0.2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  <c r="AA49" s="243"/>
      <c r="AB49" s="243"/>
    </row>
    <row r="50" spans="1:28" x14ac:dyDescent="0.2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  <c r="AA50" s="243"/>
      <c r="AB50" s="24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2"/>
  <sheetViews>
    <sheetView showGridLines="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10.140625" style="249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65">
        <f ca="1">TODAY()</f>
        <v>43045</v>
      </c>
      <c r="B1" s="365"/>
      <c r="C1" s="363" t="str">
        <f>Setup!B3</f>
        <v>GBG Cup</v>
      </c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G1" s="29">
        <f ca="1">COUNTA(A:A)+4</f>
        <v>10</v>
      </c>
    </row>
    <row r="2" spans="1:77" s="29" customFormat="1" ht="12.75" customHeight="1" x14ac:dyDescent="0.2">
      <c r="A2" s="366"/>
      <c r="B2" s="366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  <c r="Y2" s="364"/>
      <c r="Z2" s="364"/>
      <c r="AA2" s="364"/>
      <c r="AB2" s="364"/>
      <c r="AC2" s="364"/>
      <c r="AD2" s="364"/>
      <c r="AE2" s="364"/>
    </row>
    <row r="3" spans="1:77" s="28" customFormat="1" ht="38.25" x14ac:dyDescent="0.2">
      <c r="A3" s="254" t="s">
        <v>60</v>
      </c>
      <c r="B3" s="255" t="s">
        <v>0</v>
      </c>
      <c r="C3" s="256" t="s">
        <v>41</v>
      </c>
      <c r="D3" s="257" t="s">
        <v>2</v>
      </c>
      <c r="E3" s="257" t="str">
        <f>'Weigh-In'!E2</f>
        <v>Bwt (kg)</v>
      </c>
      <c r="F3" s="257" t="str">
        <f>Lifting!F7</f>
        <v>WtCls (kg)</v>
      </c>
      <c r="G3" s="257" t="s">
        <v>1</v>
      </c>
      <c r="H3" s="257" t="s">
        <v>5</v>
      </c>
      <c r="I3" s="258" t="s">
        <v>195</v>
      </c>
      <c r="J3" s="257" t="s">
        <v>4</v>
      </c>
      <c r="K3" s="257" t="s">
        <v>8</v>
      </c>
      <c r="L3" s="257" t="s">
        <v>9</v>
      </c>
      <c r="M3" s="257" t="s">
        <v>10</v>
      </c>
      <c r="N3" s="257" t="s">
        <v>11</v>
      </c>
      <c r="O3" s="257" t="s">
        <v>12</v>
      </c>
      <c r="P3" s="257" t="s">
        <v>13</v>
      </c>
      <c r="Q3" s="257" t="s">
        <v>14</v>
      </c>
      <c r="R3" s="257" t="s">
        <v>15</v>
      </c>
      <c r="S3" s="257" t="s">
        <v>16</v>
      </c>
      <c r="T3" s="257" t="s">
        <v>21</v>
      </c>
      <c r="U3" s="257" t="s">
        <v>17</v>
      </c>
      <c r="V3" s="257" t="s">
        <v>18</v>
      </c>
      <c r="W3" s="257" t="s">
        <v>19</v>
      </c>
      <c r="X3" s="257" t="s">
        <v>20</v>
      </c>
      <c r="Y3" s="257" t="s">
        <v>22</v>
      </c>
      <c r="Z3" s="259" t="str">
        <f>Lifting!Z7</f>
        <v>PL Total</v>
      </c>
      <c r="AA3" s="259" t="s">
        <v>194</v>
      </c>
      <c r="AB3" s="259" t="s">
        <v>193</v>
      </c>
      <c r="AC3" s="257" t="s">
        <v>26</v>
      </c>
      <c r="AD3" s="260" t="s">
        <v>136</v>
      </c>
      <c r="AE3" s="260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83" t="s">
        <v>23</v>
      </c>
      <c r="B4" s="84" t="s">
        <v>200</v>
      </c>
      <c r="C4" s="85" t="s">
        <v>188</v>
      </c>
      <c r="D4" s="83" t="s">
        <v>161</v>
      </c>
      <c r="E4" s="83">
        <v>62</v>
      </c>
      <c r="F4" s="83">
        <v>63</v>
      </c>
      <c r="G4" s="83">
        <v>44</v>
      </c>
      <c r="H4" s="83">
        <v>1.0871000289916992</v>
      </c>
      <c r="I4" s="250">
        <v>36190</v>
      </c>
      <c r="J4" s="83">
        <v>1.06</v>
      </c>
      <c r="K4" s="83">
        <v>13</v>
      </c>
      <c r="L4" s="87">
        <v>115</v>
      </c>
      <c r="M4" s="87">
        <v>120</v>
      </c>
      <c r="N4" s="87">
        <v>125</v>
      </c>
      <c r="O4" s="83">
        <v>120</v>
      </c>
      <c r="P4" s="86" t="s">
        <v>202</v>
      </c>
      <c r="Q4" s="87">
        <v>65</v>
      </c>
      <c r="R4" s="87">
        <v>67.5</v>
      </c>
      <c r="S4" s="87"/>
      <c r="T4" s="83">
        <v>65</v>
      </c>
      <c r="U4" s="83">
        <v>185</v>
      </c>
      <c r="V4" s="87">
        <v>145</v>
      </c>
      <c r="W4" s="87">
        <v>150</v>
      </c>
      <c r="X4" s="87"/>
      <c r="Y4" s="83">
        <v>145</v>
      </c>
      <c r="Z4" s="83">
        <v>330</v>
      </c>
      <c r="AA4" s="88">
        <v>358.74300956726074</v>
      </c>
      <c r="AB4" s="88">
        <v>380.26759014129641</v>
      </c>
      <c r="AC4" s="83">
        <v>1</v>
      </c>
      <c r="AD4" s="85" t="s">
        <v>228</v>
      </c>
      <c r="AE4" s="85" t="s">
        <v>110</v>
      </c>
    </row>
    <row r="5" spans="1:77" ht="20.25" customHeight="1" x14ac:dyDescent="0.2">
      <c r="A5" s="83" t="s">
        <v>23</v>
      </c>
      <c r="B5" s="84" t="s">
        <v>198</v>
      </c>
      <c r="C5" s="85" t="s">
        <v>188</v>
      </c>
      <c r="D5" s="83" t="s">
        <v>48</v>
      </c>
      <c r="E5" s="83">
        <v>77</v>
      </c>
      <c r="F5" s="83">
        <v>83</v>
      </c>
      <c r="G5" s="83">
        <v>15</v>
      </c>
      <c r="H5" s="83">
        <v>0.69989997148513794</v>
      </c>
      <c r="I5" s="250">
        <v>33357</v>
      </c>
      <c r="J5" s="83">
        <v>1</v>
      </c>
      <c r="K5" s="83" t="s">
        <v>191</v>
      </c>
      <c r="L5" s="87">
        <v>-190</v>
      </c>
      <c r="M5" s="87">
        <v>200</v>
      </c>
      <c r="N5" s="87">
        <v>205</v>
      </c>
      <c r="O5" s="83">
        <v>200</v>
      </c>
      <c r="P5" s="86" t="s">
        <v>192</v>
      </c>
      <c r="Q5" s="87">
        <v>135</v>
      </c>
      <c r="R5" s="87">
        <v>140</v>
      </c>
      <c r="S5" s="87"/>
      <c r="T5" s="83">
        <v>135</v>
      </c>
      <c r="U5" s="83">
        <v>335</v>
      </c>
      <c r="V5" s="87">
        <v>200</v>
      </c>
      <c r="W5" s="87">
        <v>210</v>
      </c>
      <c r="X5" s="87"/>
      <c r="Y5" s="83">
        <v>0</v>
      </c>
      <c r="Z5" s="83">
        <v>0</v>
      </c>
      <c r="AA5" s="88">
        <v>0</v>
      </c>
      <c r="AB5" s="88">
        <v>0</v>
      </c>
      <c r="AC5" s="83">
        <v>1</v>
      </c>
      <c r="AD5" s="85" t="s">
        <v>196</v>
      </c>
      <c r="AE5" s="85" t="s">
        <v>110</v>
      </c>
    </row>
    <row r="6" spans="1:77" ht="20.25" customHeight="1" x14ac:dyDescent="0.2">
      <c r="A6" s="83" t="s">
        <v>23</v>
      </c>
      <c r="B6" s="84" t="s">
        <v>199</v>
      </c>
      <c r="C6" s="85" t="s">
        <v>188</v>
      </c>
      <c r="D6" s="83" t="s">
        <v>48</v>
      </c>
      <c r="E6" s="83">
        <v>92</v>
      </c>
      <c r="F6" s="83">
        <v>93</v>
      </c>
      <c r="G6" s="83">
        <v>32</v>
      </c>
      <c r="H6" s="83">
        <v>0.6315000057220459</v>
      </c>
      <c r="I6" s="250">
        <v>34490</v>
      </c>
      <c r="J6" s="83">
        <v>1</v>
      </c>
      <c r="K6" s="83">
        <v>13</v>
      </c>
      <c r="L6" s="87">
        <v>145</v>
      </c>
      <c r="M6" s="87">
        <v>150</v>
      </c>
      <c r="N6" s="87">
        <v>155</v>
      </c>
      <c r="O6" s="83">
        <v>150</v>
      </c>
      <c r="P6" s="86" t="s">
        <v>201</v>
      </c>
      <c r="Q6" s="87">
        <v>145</v>
      </c>
      <c r="R6" s="87"/>
      <c r="S6" s="87"/>
      <c r="T6" s="83">
        <v>0</v>
      </c>
      <c r="U6" s="83">
        <v>0</v>
      </c>
      <c r="V6" s="87">
        <v>230</v>
      </c>
      <c r="W6" s="87"/>
      <c r="X6" s="87"/>
      <c r="Y6" s="83">
        <v>0</v>
      </c>
      <c r="Z6" s="83">
        <v>0</v>
      </c>
      <c r="AA6" s="88">
        <v>0</v>
      </c>
      <c r="AB6" s="88">
        <v>0</v>
      </c>
      <c r="AC6" s="83">
        <v>1</v>
      </c>
      <c r="AD6" s="85" t="s">
        <v>196</v>
      </c>
      <c r="AE6" s="85" t="s">
        <v>110</v>
      </c>
    </row>
    <row r="7" spans="1:77" ht="20.25" customHeight="1" x14ac:dyDescent="0.2">
      <c r="A7" s="83" t="s">
        <v>24</v>
      </c>
      <c r="B7" s="84" t="s">
        <v>218</v>
      </c>
      <c r="C7" s="85" t="s">
        <v>188</v>
      </c>
      <c r="D7" s="83" t="s">
        <v>75</v>
      </c>
      <c r="E7" s="83">
        <v>83</v>
      </c>
      <c r="F7" s="83">
        <v>83</v>
      </c>
      <c r="G7" s="83">
        <v>54</v>
      </c>
      <c r="H7" s="83">
        <v>0.66750001907348633</v>
      </c>
      <c r="I7" s="250">
        <v>33357</v>
      </c>
      <c r="J7" s="83">
        <v>1</v>
      </c>
      <c r="K7" s="83">
        <v>13</v>
      </c>
      <c r="L7" s="87">
        <v>130</v>
      </c>
      <c r="M7" s="87"/>
      <c r="N7" s="87"/>
      <c r="O7" s="83">
        <v>0</v>
      </c>
      <c r="P7" s="86" t="s">
        <v>219</v>
      </c>
      <c r="Q7" s="87">
        <v>130</v>
      </c>
      <c r="R7" s="87"/>
      <c r="S7" s="87"/>
      <c r="T7" s="83">
        <v>0</v>
      </c>
      <c r="U7" s="83">
        <v>0</v>
      </c>
      <c r="V7" s="87">
        <v>200</v>
      </c>
      <c r="W7" s="87"/>
      <c r="X7" s="87"/>
      <c r="Y7" s="83">
        <v>0</v>
      </c>
      <c r="Z7" s="83">
        <v>0</v>
      </c>
      <c r="AA7" s="88">
        <v>0</v>
      </c>
      <c r="AB7" s="88">
        <v>0</v>
      </c>
      <c r="AC7" s="83">
        <v>2</v>
      </c>
      <c r="AD7" s="85" t="s">
        <v>196</v>
      </c>
      <c r="AE7" s="85" t="s">
        <v>110</v>
      </c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250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250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250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250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250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250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250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250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250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250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250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250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250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250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250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250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250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250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250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250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250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250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250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250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250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250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250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250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250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250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250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250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250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250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250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250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250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250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250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250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250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250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250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250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250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250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250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250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250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250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250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250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250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250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250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250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250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250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250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250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250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250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250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250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250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250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250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250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250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250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250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250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250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250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250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250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250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250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250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250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250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250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250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250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250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250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250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250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250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250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250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250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250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250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250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250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250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250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250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250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250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250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250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250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250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250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250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250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250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250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250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250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250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250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250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250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250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250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250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250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250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250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250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250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250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250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250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250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250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250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250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250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250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250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250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250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250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250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250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250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250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250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250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250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250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250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250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250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250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250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250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250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250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250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250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250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250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250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250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250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250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250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250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250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250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250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250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250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250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250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250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250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250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250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250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250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250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250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250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250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250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250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250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250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250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250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250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250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250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250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250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250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250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250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250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250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250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250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250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250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250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250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250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250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250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250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250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250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250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250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250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250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250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250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250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250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250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250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250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250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250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250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250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250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250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250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250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250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250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250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250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250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250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250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250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250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250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250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250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250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250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250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250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250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250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250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250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250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250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250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250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250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250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250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250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250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250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250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250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250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250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250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250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250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250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250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250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250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250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250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250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250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250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250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250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250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250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250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250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250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250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250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250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250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250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250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250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250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250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250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250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250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250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250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250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250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250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250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250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250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250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250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250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250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250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250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250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250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250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250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250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250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250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250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250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250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250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250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250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250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250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250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250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250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250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250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250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250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250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250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250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250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250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250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250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250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250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250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250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250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250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250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250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250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250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250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250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250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250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250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250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250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250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250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250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250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250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250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250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250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250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250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250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250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250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250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250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250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250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250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250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250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250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250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250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250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250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250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250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250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250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250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250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250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250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250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250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250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250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250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250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250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250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250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250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250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250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250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250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250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250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250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250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250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250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250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250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250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250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250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250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250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250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250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250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250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250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250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250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250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250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250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250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250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250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250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250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250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250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250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250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250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250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250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250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250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250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250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250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250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250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250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250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250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250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250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250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250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250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250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250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250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250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250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250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250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250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250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250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250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250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250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250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250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250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250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250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250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250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250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250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250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250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250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250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250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250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250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250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250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250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250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250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250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250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250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250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250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250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250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250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250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250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250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250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250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250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250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250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250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250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250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250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250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250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250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250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250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250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250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250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250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250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250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250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250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250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250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250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250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250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250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250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250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250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250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250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250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250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250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250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250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250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250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250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250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250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250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250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250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250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250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250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250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250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250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250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250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250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250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250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250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250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250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250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250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250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250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250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250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250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250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250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250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250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250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250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250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250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250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250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250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250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250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250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250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250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250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250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250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250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250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250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250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250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250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250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250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250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250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250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250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250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250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250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250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250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250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250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250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250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250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250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250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250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250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250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250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250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250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250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250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250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250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250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250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250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250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250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250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250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250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250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250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250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250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250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250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250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250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250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250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250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250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250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250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250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250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250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250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250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250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250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250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250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250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250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250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250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250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250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250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250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250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250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250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250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250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250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250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250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250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250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250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250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250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250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250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250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250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250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250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250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250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250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250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250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250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250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250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250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250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250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250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250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250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250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250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250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250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250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250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250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250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250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250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250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250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250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250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250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250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250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250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250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250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250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250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250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250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250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250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250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250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250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250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250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250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250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250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250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250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250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250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250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250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250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250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250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250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250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250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250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250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250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250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250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250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250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250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250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250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250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250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250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250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250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250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250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250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250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250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250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250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250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250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250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250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250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250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250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250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250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250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250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250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250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250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250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250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250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250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250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250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250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250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250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250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250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250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250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250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250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250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250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250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250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250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250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250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250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250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250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250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250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250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250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250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250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250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250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250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250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250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250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250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250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250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250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250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250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250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250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250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250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250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250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250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250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250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250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250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250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250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250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250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250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250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250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250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250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250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250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250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250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250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250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250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250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250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250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250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250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250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250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250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250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250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250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250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250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250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250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250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250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250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250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250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250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250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250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250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250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250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250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250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250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250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250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250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250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250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250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250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250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250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250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250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250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250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250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250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250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250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250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250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250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250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250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250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250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250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250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250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250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250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250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250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250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250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250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250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250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250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250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250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250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250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250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250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250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250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250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250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250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250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250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250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250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250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250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250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250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250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250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</sheetData>
  <mergeCells count="2">
    <mergeCell ref="C1:AE2"/>
    <mergeCell ref="A1:B2"/>
  </mergeCells>
  <phoneticPr fontId="13" type="noConversion"/>
  <conditionalFormatting sqref="A933:AE65487 C3:AE3 AI1:IV3 C1 A1 AF4:AF65487 AG4:IV1048576 T4:U932 O4:P932 Y4:AE932 C4:K932 A3:B932">
    <cfRule type="cellIs" dxfId="19" priority="4" stopIfTrue="1" operator="lessThan">
      <formula>0</formula>
    </cfRule>
  </conditionalFormatting>
  <conditionalFormatting sqref="Q4:Q932 V4:V932 L4:L932">
    <cfRule type="cellIs" dxfId="18" priority="6" stopIfTrue="1" operator="lessThan">
      <formula>0</formula>
    </cfRule>
    <cfRule type="expression" dxfId="17" priority="7" stopIfTrue="1">
      <formula>AND(L4&lt;=O4,L4&gt;0)</formula>
    </cfRule>
  </conditionalFormatting>
  <conditionalFormatting sqref="R4:R932 W4:W932 M4:M932">
    <cfRule type="cellIs" dxfId="16" priority="8" stopIfTrue="1" operator="lessThan">
      <formula>0</formula>
    </cfRule>
    <cfRule type="expression" dxfId="15" priority="9" stopIfTrue="1">
      <formula>AND(M4&lt;=O4,M4&gt;0)</formula>
    </cfRule>
  </conditionalFormatting>
  <conditionalFormatting sqref="S4:S932 X4:X932 N4:N932">
    <cfRule type="cellIs" dxfId="14" priority="10" stopIfTrue="1" operator="lessThan">
      <formula>0</formula>
    </cfRule>
    <cfRule type="expression" dxfId="13" priority="11" stopIfTrue="1">
      <formula>AND(N4&lt;=O4,N4&gt;0)</formula>
    </cfRule>
  </conditionalFormatting>
  <conditionalFormatting sqref="AF1:AH3">
    <cfRule type="cellIs" dxfId="12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4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7"/>
  <sheetViews>
    <sheetView showGridLines="0" workbookViewId="0">
      <selection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49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65">
        <f ca="1">TODAY()</f>
        <v>43045</v>
      </c>
      <c r="B1" s="365"/>
      <c r="C1" s="363" t="str">
        <f>Setup!B3</f>
        <v>GBG Cup</v>
      </c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G1" s="29">
        <f ca="1">COUNTA(A:A)+8</f>
        <v>14</v>
      </c>
    </row>
    <row r="2" spans="1:33" s="29" customFormat="1" ht="12.75" customHeight="1" x14ac:dyDescent="0.2">
      <c r="A2" s="366"/>
      <c r="B2" s="366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  <c r="Y2" s="364"/>
      <c r="Z2" s="364"/>
      <c r="AA2" s="364"/>
      <c r="AB2" s="364"/>
      <c r="AC2" s="364"/>
      <c r="AD2" s="364"/>
    </row>
    <row r="3" spans="1:33" s="206" customFormat="1" ht="25.5" x14ac:dyDescent="0.2">
      <c r="A3" s="207" t="s">
        <v>60</v>
      </c>
      <c r="B3" s="208" t="s">
        <v>0</v>
      </c>
      <c r="C3" s="209" t="s">
        <v>41</v>
      </c>
      <c r="D3" s="210" t="s">
        <v>2</v>
      </c>
      <c r="E3" s="210" t="str">
        <f>Lifting!$E$7</f>
        <v>Bwt (kg)</v>
      </c>
      <c r="F3" s="210" t="str">
        <f>IF(E3="Bwt (lb)","WtCls (lb)","WtCls (kg)")</f>
        <v>WtCls (kg)</v>
      </c>
      <c r="G3" s="210" t="s">
        <v>1</v>
      </c>
      <c r="H3" s="210" t="s">
        <v>5</v>
      </c>
      <c r="I3" s="248" t="s">
        <v>195</v>
      </c>
      <c r="J3" s="210" t="s">
        <v>4</v>
      </c>
      <c r="K3" s="210" t="s">
        <v>8</v>
      </c>
      <c r="L3" s="210" t="s">
        <v>9</v>
      </c>
      <c r="M3" s="210" t="s">
        <v>10</v>
      </c>
      <c r="N3" s="210" t="s">
        <v>11</v>
      </c>
      <c r="O3" s="210" t="s">
        <v>12</v>
      </c>
      <c r="P3" s="210" t="s">
        <v>13</v>
      </c>
      <c r="Q3" s="210" t="s">
        <v>14</v>
      </c>
      <c r="R3" s="210" t="s">
        <v>15</v>
      </c>
      <c r="S3" s="210" t="s">
        <v>16</v>
      </c>
      <c r="T3" s="210" t="s">
        <v>21</v>
      </c>
      <c r="U3" s="210" t="s">
        <v>17</v>
      </c>
      <c r="V3" s="210" t="s">
        <v>18</v>
      </c>
      <c r="W3" s="210" t="s">
        <v>19</v>
      </c>
      <c r="X3" s="210" t="s">
        <v>20</v>
      </c>
      <c r="Y3" s="210" t="s">
        <v>22</v>
      </c>
      <c r="Z3" s="211" t="s">
        <v>129</v>
      </c>
      <c r="AA3" s="211" t="s">
        <v>194</v>
      </c>
      <c r="AB3" s="211" t="s">
        <v>193</v>
      </c>
      <c r="AC3" s="210" t="s">
        <v>26</v>
      </c>
      <c r="AD3" s="210" t="s">
        <v>136</v>
      </c>
    </row>
    <row r="4" spans="1:33" x14ac:dyDescent="0.2">
      <c r="A4" s="2" t="s">
        <v>23</v>
      </c>
      <c r="B4" s="37" t="s">
        <v>200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49">
        <v>36190</v>
      </c>
      <c r="J4" s="2">
        <v>1.06</v>
      </c>
      <c r="K4" s="2">
        <v>13</v>
      </c>
      <c r="L4" s="2">
        <v>115</v>
      </c>
      <c r="M4" s="2">
        <v>120</v>
      </c>
      <c r="N4" s="2">
        <v>125</v>
      </c>
      <c r="O4" s="2">
        <v>120</v>
      </c>
      <c r="P4" s="1" t="s">
        <v>202</v>
      </c>
      <c r="Q4" s="2">
        <v>65</v>
      </c>
      <c r="R4" s="2">
        <v>67.5</v>
      </c>
      <c r="T4" s="2">
        <v>65</v>
      </c>
      <c r="U4" s="2">
        <v>185</v>
      </c>
      <c r="V4" s="2">
        <v>145</v>
      </c>
      <c r="W4" s="2">
        <v>150</v>
      </c>
      <c r="Y4" s="2">
        <v>145</v>
      </c>
      <c r="Z4" s="2">
        <v>330</v>
      </c>
      <c r="AA4" s="38">
        <v>358.74300956726074</v>
      </c>
      <c r="AB4" s="38">
        <v>380.26759014129641</v>
      </c>
      <c r="AC4" s="2">
        <v>1</v>
      </c>
      <c r="AD4" s="36" t="s">
        <v>228</v>
      </c>
    </row>
    <row r="5" spans="1:33" x14ac:dyDescent="0.2">
      <c r="A5" s="2" t="s">
        <v>23</v>
      </c>
      <c r="B5" s="37" t="s">
        <v>198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49">
        <v>33357</v>
      </c>
      <c r="J5" s="2">
        <v>1</v>
      </c>
      <c r="K5" s="2" t="s">
        <v>191</v>
      </c>
      <c r="L5" s="2">
        <v>-190</v>
      </c>
      <c r="M5" s="2">
        <v>200</v>
      </c>
      <c r="N5" s="2">
        <v>205</v>
      </c>
      <c r="O5" s="2">
        <v>200</v>
      </c>
      <c r="P5" s="1" t="s">
        <v>192</v>
      </c>
      <c r="Q5" s="2">
        <v>135</v>
      </c>
      <c r="R5" s="2">
        <v>140</v>
      </c>
      <c r="T5" s="2">
        <v>135</v>
      </c>
      <c r="U5" s="2">
        <v>335</v>
      </c>
      <c r="V5" s="2">
        <v>200</v>
      </c>
      <c r="W5" s="2">
        <v>210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196</v>
      </c>
    </row>
    <row r="6" spans="1:33" x14ac:dyDescent="0.2">
      <c r="A6" s="2" t="s">
        <v>23</v>
      </c>
      <c r="B6" s="37" t="s">
        <v>199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49">
        <v>34490</v>
      </c>
      <c r="J6" s="2">
        <v>1</v>
      </c>
      <c r="K6" s="2">
        <v>13</v>
      </c>
      <c r="L6" s="2">
        <v>145</v>
      </c>
      <c r="M6" s="2">
        <v>150</v>
      </c>
      <c r="N6" s="2">
        <v>155</v>
      </c>
      <c r="O6" s="2">
        <v>150</v>
      </c>
      <c r="P6" s="1" t="s">
        <v>201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196</v>
      </c>
    </row>
    <row r="7" spans="1:33" x14ac:dyDescent="0.2">
      <c r="A7" s="2" t="s">
        <v>24</v>
      </c>
      <c r="B7" s="37" t="s">
        <v>218</v>
      </c>
      <c r="C7" s="36" t="s">
        <v>188</v>
      </c>
      <c r="D7" s="2" t="s">
        <v>75</v>
      </c>
      <c r="E7" s="2">
        <v>83</v>
      </c>
      <c r="F7" s="2">
        <v>83</v>
      </c>
      <c r="G7" s="2">
        <v>54</v>
      </c>
      <c r="H7" s="2">
        <v>0.66750001907348633</v>
      </c>
      <c r="I7" s="249">
        <v>33357</v>
      </c>
      <c r="J7" s="2">
        <v>1</v>
      </c>
      <c r="K7" s="2">
        <v>13</v>
      </c>
      <c r="L7" s="2">
        <v>130</v>
      </c>
      <c r="O7" s="2">
        <v>0</v>
      </c>
      <c r="P7" s="1" t="s">
        <v>219</v>
      </c>
      <c r="Q7" s="2">
        <v>130</v>
      </c>
      <c r="T7" s="2">
        <v>0</v>
      </c>
      <c r="U7" s="2">
        <v>0</v>
      </c>
      <c r="V7" s="2">
        <v>200</v>
      </c>
      <c r="Y7" s="2">
        <v>0</v>
      </c>
      <c r="Z7" s="2">
        <v>0</v>
      </c>
      <c r="AA7" s="38">
        <v>0</v>
      </c>
      <c r="AB7" s="38">
        <v>0</v>
      </c>
      <c r="AC7" s="2">
        <v>2</v>
      </c>
      <c r="AD7" s="36" t="s">
        <v>196</v>
      </c>
    </row>
  </sheetData>
  <mergeCells count="2">
    <mergeCell ref="C1:AD2"/>
    <mergeCell ref="A1:B2"/>
  </mergeCells>
  <phoneticPr fontId="13" type="noConversion"/>
  <conditionalFormatting sqref="Y3">
    <cfRule type="expression" dxfId="11" priority="66" stopIfTrue="1">
      <formula>AND(COLUMN(Y3)=#REF!)</formula>
    </cfRule>
  </conditionalFormatting>
  <conditionalFormatting sqref="Z4:Z64612">
    <cfRule type="expression" dxfId="10" priority="67" stopIfTrue="1">
      <formula>AND(AC4=1)</formula>
    </cfRule>
  </conditionalFormatting>
  <conditionalFormatting sqref="AA4:AA64612">
    <cfRule type="expression" dxfId="9" priority="68" stopIfTrue="1">
      <formula>AND($AC4=2)</formula>
    </cfRule>
  </conditionalFormatting>
  <conditionalFormatting sqref="AB4:AB64612">
    <cfRule type="expression" dxfId="8" priority="69" stopIfTrue="1">
      <formula>AND(AC4=3)</formula>
    </cfRule>
  </conditionalFormatting>
  <conditionalFormatting sqref="L1:X1048576">
    <cfRule type="cellIs" dxfId="7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showGridLines="0"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topLeftCell="A2" zoomScale="170" zoomScaleNormal="170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67" t="s">
        <v>182</v>
      </c>
      <c r="B3" s="36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68"/>
      <c r="B4" s="368"/>
      <c r="C4" s="369" t="s">
        <v>141</v>
      </c>
      <c r="D4" s="369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68"/>
      <c r="B5" s="368"/>
      <c r="C5" s="370" t="s">
        <v>174</v>
      </c>
      <c r="D5" s="370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68"/>
      <c r="B6" s="36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68"/>
      <c r="B7" s="368"/>
      <c r="C7" s="371" t="str">
        <f>CONCATENATE("WtCls ",RIGHT('Weigh-In'!E2,4))</f>
        <v>WtCls (kg)</v>
      </c>
      <c r="D7" s="371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68"/>
      <c r="B8" s="368"/>
      <c r="C8" s="370">
        <v>83</v>
      </c>
      <c r="D8" s="37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68"/>
      <c r="B9" s="36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68"/>
      <c r="B10" s="368"/>
      <c r="C10" s="369" t="s">
        <v>122</v>
      </c>
      <c r="D10" s="369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68"/>
      <c r="B11" s="368"/>
      <c r="C11" s="370" t="s">
        <v>129</v>
      </c>
      <c r="D11" s="370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2017-11-03T09:47:04Z</cp:lastPrinted>
  <dcterms:created xsi:type="dcterms:W3CDTF">2007-05-21T13:10:26Z</dcterms:created>
  <dcterms:modified xsi:type="dcterms:W3CDTF">2017-11-06T12:51:15Z</dcterms:modified>
</cp:coreProperties>
</file>