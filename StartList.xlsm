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anfuYun\Documents\NextLifter\"/>
    </mc:Choice>
  </mc:AlternateContent>
  <xr:revisionPtr revIDLastSave="0" documentId="13_ncr:1_{3F23C804-CAF2-4B5D-84FE-9F011E7DC006}" xr6:coauthVersionLast="34" xr6:coauthVersionMax="34" xr10:uidLastSave="{00000000-0000-0000-0000-000000000000}"/>
  <bookViews>
    <workbookView xWindow="0" yWindow="0" windowWidth="15300" windowHeight="6876" activeTab="1" xr2:uid="{00000000-000D-0000-FFFF-FFFF00000000}"/>
  </bookViews>
  <sheets>
    <sheet name="Setup" sheetId="10" r:id="rId1"/>
    <sheet name="Weigh-In" sheetId="5" r:id="rId2"/>
    <sheet name="Start" sheetId="6" r:id="rId3"/>
    <sheet name="Cards" sheetId="8" r:id="rId4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5" l="1"/>
  <c r="S2" i="5" l="1"/>
  <c r="N2" i="5"/>
</calcChain>
</file>

<file path=xl/sharedStrings.xml><?xml version="1.0" encoding="utf-8"?>
<sst xmlns="http://schemas.openxmlformats.org/spreadsheetml/2006/main" count="956" uniqueCount="160">
  <si>
    <t>Teams</t>
  </si>
  <si>
    <t>Abrev</t>
  </si>
  <si>
    <t>Team Name</t>
  </si>
  <si>
    <t>VAIS</t>
  </si>
  <si>
    <t>Vedum AIS</t>
  </si>
  <si>
    <t>BAK</t>
  </si>
  <si>
    <t>Borås AK</t>
  </si>
  <si>
    <t>PP</t>
  </si>
  <si>
    <t>Föreningen Pure Power</t>
  </si>
  <si>
    <t>SKS</t>
  </si>
  <si>
    <t>Sommarhemmets KS</t>
  </si>
  <si>
    <t>GKK</t>
  </si>
  <si>
    <t>Göteborg KK</t>
  </si>
  <si>
    <t>M/F-Div</t>
  </si>
  <si>
    <t>Description</t>
  </si>
  <si>
    <t>Pl Code</t>
  </si>
  <si>
    <t>SKK</t>
  </si>
  <si>
    <t>Skövde KK</t>
  </si>
  <si>
    <t>M-BL</t>
  </si>
  <si>
    <t>Best Lifter Men</t>
  </si>
  <si>
    <t>FTK</t>
  </si>
  <si>
    <t>Falköpings TK</t>
  </si>
  <si>
    <t>F-BL</t>
  </si>
  <si>
    <t>Best Lifter Women</t>
  </si>
  <si>
    <t>MAK</t>
  </si>
  <si>
    <t>Muskel AK</t>
  </si>
  <si>
    <t>M-EQ</t>
  </si>
  <si>
    <t>Equipped Men</t>
  </si>
  <si>
    <t>FAK</t>
  </si>
  <si>
    <t>Fysiken AK</t>
  </si>
  <si>
    <t>VSK</t>
  </si>
  <si>
    <t>Vagnhallen SK</t>
  </si>
  <si>
    <t>Grp</t>
  </si>
  <si>
    <t>Name</t>
  </si>
  <si>
    <t>Team</t>
  </si>
  <si>
    <t>Div</t>
  </si>
  <si>
    <t>Bwt (kg)</t>
  </si>
  <si>
    <t>lot#</t>
  </si>
  <si>
    <t>yyyy-mm-dd</t>
  </si>
  <si>
    <t>SQ rack</t>
  </si>
  <si>
    <t>SQ-1 (kg)</t>
  </si>
  <si>
    <t>BP rack</t>
  </si>
  <si>
    <t>BP-1 (kg)</t>
  </si>
  <si>
    <t>DL-1 (kg)</t>
  </si>
  <si>
    <t>Events Entered</t>
  </si>
  <si>
    <t>A</t>
  </si>
  <si>
    <t>Sandra Eisenberg</t>
  </si>
  <si>
    <t>6/6</t>
  </si>
  <si>
    <t>BP</t>
  </si>
  <si>
    <t>Lisa Heller</t>
  </si>
  <si>
    <t>7/7</t>
  </si>
  <si>
    <t>Ellen Kerkelä</t>
  </si>
  <si>
    <t>6/7</t>
  </si>
  <si>
    <t>Johanna Jilsén</t>
  </si>
  <si>
    <t>7/6</t>
  </si>
  <si>
    <t>Sandra Jakobsson</t>
  </si>
  <si>
    <t>1981-07-06</t>
  </si>
  <si>
    <t>5/6</t>
  </si>
  <si>
    <t>Beatrice Berthner</t>
  </si>
  <si>
    <t>1968-08-30</t>
  </si>
  <si>
    <t>4/3a</t>
  </si>
  <si>
    <t>Victor Eryd</t>
  </si>
  <si>
    <t>1993-06-10</t>
  </si>
  <si>
    <t>10/7</t>
  </si>
  <si>
    <t>Pelle Arve</t>
  </si>
  <si>
    <t>1983-09-20</t>
  </si>
  <si>
    <t>10/4</t>
  </si>
  <si>
    <t>B</t>
  </si>
  <si>
    <t>Nathalie Pahlenstam</t>
  </si>
  <si>
    <t>1995-04-06</t>
  </si>
  <si>
    <t>6/3a</t>
  </si>
  <si>
    <t>PL</t>
  </si>
  <si>
    <t>Johanna Wallberg</t>
  </si>
  <si>
    <t>Frida Gustavsson</t>
  </si>
  <si>
    <t>1993-09-30</t>
  </si>
  <si>
    <t>10/6</t>
  </si>
  <si>
    <t>Ronja Andersson</t>
  </si>
  <si>
    <t>1997-01-24</t>
  </si>
  <si>
    <t>Elsa Karlsson</t>
  </si>
  <si>
    <t>7/5a</t>
  </si>
  <si>
    <t>Caroline Sandberg</t>
  </si>
  <si>
    <t>1994-05-25</t>
  </si>
  <si>
    <t>7/6a</t>
  </si>
  <si>
    <t>Isabelle Karlsson</t>
  </si>
  <si>
    <t>1991-11-22</t>
  </si>
  <si>
    <t>7/4</t>
  </si>
  <si>
    <t>Jenny Bohlin</t>
  </si>
  <si>
    <t>1992-11-30</t>
  </si>
  <si>
    <t>Cecilia Thulin</t>
  </si>
  <si>
    <t>1988-01-23</t>
  </si>
  <si>
    <t>7/5</t>
  </si>
  <si>
    <t>9/3a</t>
  </si>
  <si>
    <t>Simon Andersson</t>
  </si>
  <si>
    <t>1999-05-25</t>
  </si>
  <si>
    <t>C</t>
  </si>
  <si>
    <t>Klaes Petersson</t>
  </si>
  <si>
    <t>1988-11-04</t>
  </si>
  <si>
    <t>12/8a</t>
  </si>
  <si>
    <t>Victor Ståhl</t>
  </si>
  <si>
    <t>1993-05-06</t>
  </si>
  <si>
    <t>9/6</t>
  </si>
  <si>
    <t>Viktor Mattsson</t>
  </si>
  <si>
    <t>1985-11-18</t>
  </si>
  <si>
    <t>Kenny Johansson</t>
  </si>
  <si>
    <t>1989-08-23</t>
  </si>
  <si>
    <t>Calle Öberg</t>
  </si>
  <si>
    <t>1993-06-03</t>
  </si>
  <si>
    <t>Björn Bondemark</t>
  </si>
  <si>
    <t>1992-06-05</t>
  </si>
  <si>
    <t>8/7</t>
  </si>
  <si>
    <t>Henrik Hermansson</t>
  </si>
  <si>
    <t>1984-01-30</t>
  </si>
  <si>
    <t>Valentino Almhage</t>
  </si>
  <si>
    <t>1989-03-30</t>
  </si>
  <si>
    <t>8/4</t>
  </si>
  <si>
    <t>Martin Krisell</t>
  </si>
  <si>
    <t>1987-08-19</t>
  </si>
  <si>
    <t>Albin Björkman</t>
  </si>
  <si>
    <t>1996-11-01</t>
  </si>
  <si>
    <t>7/3</t>
  </si>
  <si>
    <t>Philip Torgersson</t>
  </si>
  <si>
    <t>1995-05-02</t>
  </si>
  <si>
    <t>Kennedy Wandera</t>
  </si>
  <si>
    <t>1982-01-26</t>
  </si>
  <si>
    <t>Namn</t>
  </si>
  <si>
    <t>Grupp</t>
  </si>
  <si>
    <t>Klubb</t>
  </si>
  <si>
    <t>Personnummer</t>
  </si>
  <si>
    <t>Kroppsvikt</t>
  </si>
  <si>
    <t>Klass</t>
  </si>
  <si>
    <t>Lott</t>
  </si>
  <si>
    <t>Knäböj</t>
  </si>
  <si>
    <t>Bänkpress</t>
  </si>
  <si>
    <t>Marklyft</t>
  </si>
  <si>
    <t>Invägning:</t>
  </si>
  <si>
    <t>Start:</t>
  </si>
  <si>
    <t>Grupp B</t>
  </si>
  <si>
    <t>Grupp A</t>
  </si>
  <si>
    <t>Grupp C</t>
  </si>
  <si>
    <t>Infällt?</t>
  </si>
  <si>
    <t>Avlyft?</t>
  </si>
  <si>
    <t>Divisions</t>
  </si>
  <si>
    <t>Höjd:</t>
  </si>
  <si>
    <t>Höjd: 5</t>
  </si>
  <si>
    <t>Safety: 6</t>
  </si>
  <si>
    <t>Höjd: 10</t>
  </si>
  <si>
    <t>Safety: 4</t>
  </si>
  <si>
    <t>Safety: 7</t>
  </si>
  <si>
    <t>Höjd: 6</t>
  </si>
  <si>
    <t>84+</t>
  </si>
  <si>
    <t>Höjd: 7</t>
  </si>
  <si>
    <t>Höjd: 4</t>
  </si>
  <si>
    <t>Safety: 3</t>
  </si>
  <si>
    <t>Avlyft? JA</t>
  </si>
  <si>
    <t>Safety: 5</t>
  </si>
  <si>
    <t>Höjd: 9</t>
  </si>
  <si>
    <t>120+</t>
  </si>
  <si>
    <t>Höjd: 12</t>
  </si>
  <si>
    <t>Safety: 8</t>
  </si>
  <si>
    <t>Höjd: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</si>
</sst>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:ss.00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2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Arial"/>
      <family val="2"/>
    </font>
    <font>
      <sz val="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15">
    <xf numFmtId="0" fontId="0" fillId="0" borderId="0" xfId="0"/>
    <xf numFmtId="164" fontId="1" fillId="0" borderId="0" xfId="1" applyNumberFormat="1" applyFill="1"/>
    <xf numFmtId="0" fontId="1" fillId="0" borderId="0" xfId="1" applyFill="1"/>
    <xf numFmtId="0" fontId="1" fillId="0" borderId="0" xfId="1" applyFill="1" applyAlignment="1">
      <alignment horizontal="center"/>
    </xf>
    <xf numFmtId="0" fontId="1" fillId="2" borderId="8" xfId="1" applyFill="1" applyBorder="1" applyAlignment="1">
      <alignment horizontal="center"/>
    </xf>
    <xf numFmtId="0" fontId="1" fillId="0" borderId="9" xfId="1" applyFill="1" applyBorder="1" applyAlignment="1" applyProtection="1">
      <alignment horizontal="center"/>
      <protection locked="0"/>
    </xf>
    <xf numFmtId="0" fontId="3" fillId="0" borderId="9" xfId="1" applyFont="1" applyFill="1" applyBorder="1" applyAlignment="1" applyProtection="1">
      <alignment horizontal="center"/>
      <protection locked="0"/>
    </xf>
    <xf numFmtId="0" fontId="1" fillId="2" borderId="13" xfId="1" applyFill="1" applyBorder="1" applyAlignment="1">
      <alignment horizontal="center"/>
    </xf>
    <xf numFmtId="0" fontId="1" fillId="2" borderId="17" xfId="1" applyFill="1" applyBorder="1" applyAlignment="1">
      <alignment horizontal="center"/>
    </xf>
    <xf numFmtId="0" fontId="4" fillId="0" borderId="9" xfId="1" applyFont="1" applyFill="1" applyBorder="1" applyAlignment="1" applyProtection="1">
      <alignment horizontal="center"/>
      <protection locked="0"/>
    </xf>
    <xf numFmtId="0" fontId="4" fillId="0" borderId="19" xfId="1" applyFont="1" applyFill="1" applyBorder="1" applyAlignment="1" applyProtection="1">
      <alignment horizontal="center"/>
      <protection locked="0"/>
    </xf>
    <xf numFmtId="0" fontId="1" fillId="0" borderId="9" xfId="1" applyFill="1" applyBorder="1" applyAlignment="1">
      <alignment horizontal="center"/>
    </xf>
    <xf numFmtId="0" fontId="1" fillId="0" borderId="0" xfId="1" applyFill="1" applyProtection="1"/>
    <xf numFmtId="0" fontId="1" fillId="0" borderId="0" xfId="1" applyFill="1" applyAlignment="1" applyProtection="1">
      <alignment horizontal="right"/>
    </xf>
    <xf numFmtId="0" fontId="1" fillId="0" borderId="20" xfId="1" applyFill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2" fontId="3" fillId="0" borderId="0" xfId="0" applyNumberFormat="1" applyFont="1" applyBorder="1" applyAlignment="1" applyProtection="1">
      <alignment horizontal="center"/>
      <protection locked="0"/>
    </xf>
    <xf numFmtId="14" fontId="3" fillId="0" borderId="0" xfId="0" applyNumberFormat="1" applyFont="1" applyBorder="1" applyAlignment="1" applyProtection="1">
      <alignment horizontal="center"/>
      <protection locked="0"/>
    </xf>
    <xf numFmtId="49" fontId="3" fillId="0" borderId="0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Protection="1"/>
    <xf numFmtId="0" fontId="3" fillId="0" borderId="0" xfId="1" applyFont="1" applyProtection="1"/>
    <xf numFmtId="0" fontId="5" fillId="2" borderId="1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0" xfId="1" applyFont="1" applyFill="1" applyBorder="1" applyAlignment="1" applyProtection="1">
      <alignment vertical="center" wrapText="1"/>
    </xf>
    <xf numFmtId="0" fontId="3" fillId="0" borderId="1" xfId="0" applyFont="1" applyBorder="1" applyAlignment="1" applyProtection="1">
      <alignment horizontal="center"/>
      <protection locked="0"/>
    </xf>
    <xf numFmtId="49" fontId="3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3" fillId="0" borderId="0" xfId="1" applyFont="1" applyProtection="1">
      <protection locked="0"/>
    </xf>
    <xf numFmtId="2" fontId="3" fillId="0" borderId="10" xfId="0" applyNumberFormat="1" applyFont="1" applyBorder="1" applyAlignment="1" applyProtection="1">
      <alignment horizontal="center"/>
      <protection locked="0"/>
    </xf>
    <xf numFmtId="14" fontId="3" fillId="0" borderId="18" xfId="0" applyNumberFormat="1" applyFont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 wrapText="1"/>
      <protection locked="0"/>
    </xf>
    <xf numFmtId="2" fontId="5" fillId="2" borderId="10" xfId="0" applyNumberFormat="1" applyFont="1" applyFill="1" applyBorder="1" applyAlignment="1" applyProtection="1">
      <alignment horizontal="center"/>
      <protection locked="0"/>
    </xf>
    <xf numFmtId="14" fontId="5" fillId="2" borderId="18" xfId="0" applyNumberFormat="1" applyFont="1" applyFill="1" applyBorder="1" applyAlignment="1" applyProtection="1">
      <alignment horizontal="center" wrapText="1"/>
      <protection locked="0"/>
    </xf>
    <xf numFmtId="0" fontId="6" fillId="0" borderId="0" xfId="0" applyFont="1"/>
    <xf numFmtId="0" fontId="7" fillId="0" borderId="0" xfId="0" applyFont="1"/>
    <xf numFmtId="0" fontId="8" fillId="0" borderId="0" xfId="0" applyFont="1"/>
    <xf numFmtId="20" fontId="8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left"/>
    </xf>
    <xf numFmtId="0" fontId="9" fillId="0" borderId="1" xfId="0" applyFont="1" applyBorder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left"/>
    </xf>
    <xf numFmtId="0" fontId="9" fillId="3" borderId="1" xfId="0" applyFont="1" applyFill="1" applyBorder="1"/>
    <xf numFmtId="0" fontId="1" fillId="0" borderId="25" xfId="1" applyFill="1" applyBorder="1"/>
    <xf numFmtId="0" fontId="4" fillId="0" borderId="30" xfId="1" applyFont="1" applyFill="1" applyBorder="1" applyAlignment="1" applyProtection="1">
      <alignment horizontal="center"/>
      <protection locked="0"/>
    </xf>
    <xf numFmtId="0" fontId="1" fillId="0" borderId="3" xfId="1" applyFill="1" applyBorder="1"/>
    <xf numFmtId="0" fontId="1" fillId="0" borderId="3" xfId="1" applyFill="1" applyBorder="1" applyAlignment="1">
      <alignment horizontal="center"/>
    </xf>
    <xf numFmtId="0" fontId="4" fillId="0" borderId="31" xfId="1" applyFont="1" applyFill="1" applyBorder="1" applyAlignment="1" applyProtection="1">
      <alignment horizontal="center"/>
      <protection locked="0"/>
    </xf>
    <xf numFmtId="0" fontId="12" fillId="0" borderId="27" xfId="0" applyFont="1" applyBorder="1" applyAlignment="1">
      <alignment vertical="center" wrapText="1"/>
    </xf>
    <xf numFmtId="0" fontId="10" fillId="0" borderId="26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left" vertical="center" wrapText="1"/>
    </xf>
    <xf numFmtId="0" fontId="14" fillId="0" borderId="27" xfId="0" applyFont="1" applyBorder="1" applyAlignment="1">
      <alignment vertical="center" wrapText="1"/>
    </xf>
    <xf numFmtId="0" fontId="14" fillId="0" borderId="33" xfId="0" applyFont="1" applyBorder="1" applyAlignment="1">
      <alignment vertical="center" wrapText="1"/>
    </xf>
    <xf numFmtId="0" fontId="14" fillId="5" borderId="28" xfId="0" applyFont="1" applyFill="1" applyBorder="1" applyAlignment="1">
      <alignment horizontal="left" vertical="center" wrapText="1"/>
    </xf>
    <xf numFmtId="0" fontId="14" fillId="5" borderId="26" xfId="0" applyFont="1" applyFill="1" applyBorder="1" applyAlignment="1">
      <alignment horizontal="left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3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4" fillId="0" borderId="21" xfId="1" applyFont="1" applyFill="1" applyBorder="1" applyAlignment="1" applyProtection="1">
      <alignment horizontal="center" vertical="center"/>
      <protection locked="0"/>
    </xf>
    <xf numFmtId="0" fontId="4" fillId="0" borderId="22" xfId="1" applyFont="1" applyFill="1" applyBorder="1" applyAlignment="1" applyProtection="1">
      <alignment horizontal="center" vertical="center"/>
      <protection locked="0"/>
    </xf>
    <xf numFmtId="0" fontId="4" fillId="0" borderId="32" xfId="1" applyFont="1" applyFill="1" applyBorder="1" applyAlignment="1" applyProtection="1">
      <alignment horizontal="center" vertical="center"/>
      <protection locked="0"/>
    </xf>
    <xf numFmtId="0" fontId="1" fillId="0" borderId="21" xfId="1" applyFill="1" applyBorder="1" applyAlignment="1" applyProtection="1">
      <alignment horizontal="center"/>
      <protection locked="0"/>
    </xf>
    <xf numFmtId="0" fontId="1" fillId="0" borderId="22" xfId="1" applyFill="1" applyBorder="1" applyAlignment="1" applyProtection="1">
      <alignment horizontal="center"/>
      <protection locked="0"/>
    </xf>
    <xf numFmtId="0" fontId="1" fillId="0" borderId="23" xfId="1" applyFill="1" applyBorder="1" applyAlignment="1" applyProtection="1">
      <alignment horizontal="center"/>
      <protection locked="0"/>
    </xf>
    <xf numFmtId="0" fontId="4" fillId="0" borderId="10" xfId="1" applyFont="1" applyFill="1" applyBorder="1" applyAlignment="1" applyProtection="1">
      <alignment horizontal="center" vertical="center"/>
      <protection locked="0"/>
    </xf>
    <xf numFmtId="0" fontId="4" fillId="0" borderId="11" xfId="1" applyFont="1" applyFill="1" applyBorder="1" applyAlignment="1" applyProtection="1">
      <alignment horizontal="center" vertical="center"/>
      <protection locked="0"/>
    </xf>
    <xf numFmtId="0" fontId="4" fillId="0" borderId="18" xfId="1" applyFont="1" applyFill="1" applyBorder="1" applyAlignment="1" applyProtection="1">
      <alignment horizontal="center" vertical="center"/>
      <protection locked="0"/>
    </xf>
    <xf numFmtId="0" fontId="1" fillId="0" borderId="10" xfId="1" applyFill="1" applyBorder="1" applyAlignment="1" applyProtection="1">
      <alignment horizontal="center"/>
      <protection locked="0"/>
    </xf>
    <xf numFmtId="0" fontId="1" fillId="0" borderId="11" xfId="1" applyFill="1" applyBorder="1" applyAlignment="1" applyProtection="1">
      <alignment horizontal="center"/>
      <protection locked="0"/>
    </xf>
    <xf numFmtId="0" fontId="1" fillId="0" borderId="12" xfId="1" applyFill="1" applyBorder="1" applyAlignment="1" applyProtection="1">
      <alignment horizontal="center"/>
      <protection locked="0"/>
    </xf>
    <xf numFmtId="0" fontId="3" fillId="0" borderId="10" xfId="1" applyFont="1" applyFill="1" applyBorder="1" applyAlignment="1" applyProtection="1">
      <alignment horizontal="center"/>
      <protection locked="0"/>
    </xf>
    <xf numFmtId="0" fontId="3" fillId="0" borderId="11" xfId="1" applyFont="1" applyFill="1" applyBorder="1" applyAlignment="1" applyProtection="1">
      <alignment horizontal="center"/>
      <protection locked="0"/>
    </xf>
    <xf numFmtId="0" fontId="3" fillId="0" borderId="12" xfId="1" applyFont="1" applyFill="1" applyBorder="1" applyAlignment="1" applyProtection="1">
      <alignment horizontal="center"/>
      <protection locked="0"/>
    </xf>
    <xf numFmtId="0" fontId="1" fillId="0" borderId="10" xfId="1" applyFill="1" applyBorder="1" applyAlignment="1">
      <alignment horizontal="center"/>
    </xf>
    <xf numFmtId="0" fontId="1" fillId="0" borderId="11" xfId="1" applyFill="1" applyBorder="1" applyAlignment="1">
      <alignment horizontal="center"/>
    </xf>
    <xf numFmtId="0" fontId="1" fillId="0" borderId="12" xfId="1" applyFill="1" applyBorder="1" applyAlignment="1">
      <alignment horizontal="center"/>
    </xf>
    <xf numFmtId="0" fontId="11" fillId="4" borderId="2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0" fontId="2" fillId="2" borderId="6" xfId="1" applyFont="1" applyFill="1" applyBorder="1" applyAlignment="1">
      <alignment horizontal="center" vertical="center"/>
    </xf>
    <xf numFmtId="0" fontId="2" fillId="2" borderId="7" xfId="1" applyFont="1" applyFill="1" applyBorder="1" applyAlignment="1">
      <alignment horizontal="center" vertical="center"/>
    </xf>
    <xf numFmtId="0" fontId="1" fillId="2" borderId="14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29" xfId="1" applyFill="1" applyBorder="1" applyAlignment="1">
      <alignment horizontal="center"/>
    </xf>
    <xf numFmtId="0" fontId="1" fillId="2" borderId="16" xfId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 applyBorder="1" applyAlignment="1">
      <alignment horizontal="left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4" fillId="5" borderId="33" xfId="0" applyFont="1" applyFill="1" applyBorder="1" applyAlignment="1">
      <alignment horizontal="left" vertical="center" wrapText="1"/>
    </xf>
    <xf numFmtId="0" fontId="14" fillId="5" borderId="27" xfId="0" applyFont="1" applyFill="1" applyBorder="1" applyAlignment="1">
      <alignment horizontal="left" vertical="center" wrapText="1"/>
    </xf>
    <xf numFmtId="14" fontId="10" fillId="0" borderId="5" xfId="0" applyNumberFormat="1" applyFont="1" applyBorder="1" applyAlignment="1">
      <alignment horizontal="center" vertical="center" wrapText="1"/>
    </xf>
    <xf numFmtId="14" fontId="10" fillId="0" borderId="6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</cellXfs>
  <cellStyles count="2">
    <cellStyle name="Normal" xfId="0" builtinId="0"/>
    <cellStyle name="Normal 2" xfId="1" xr:uid="{00000000-0005-0000-0000-000001000000}"/>
  </cellStyles>
  <dxfs count="2"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0</xdr:row>
      <xdr:rowOff>95250</xdr:rowOff>
    </xdr:from>
    <xdr:to>
      <xdr:col>1</xdr:col>
      <xdr:colOff>1638300</xdr:colOff>
      <xdr:row>0</xdr:row>
      <xdr:rowOff>361950</xdr:rowOff>
    </xdr:to>
    <xdr:sp macro="[0]!DrawLots" textlink="">
      <xdr:nvSpPr>
        <xdr:cNvPr id="2" name="Rectangle 1">
          <a:extLst>
            <a:ext uri="{FF2B5EF4-FFF2-40B4-BE49-F238E27FC236}">
              <a16:creationId xmlns:a16="http://schemas.microsoft.com/office/drawing/2014/main" id="{7DEAF8C6-050D-4CC6-BA8A-C0AFC88E932E}"/>
            </a:ext>
          </a:extLst>
        </xdr:cNvPr>
        <xdr:cNvSpPr/>
      </xdr:nvSpPr>
      <xdr:spPr>
        <a:xfrm>
          <a:off x="666750" y="95250"/>
          <a:ext cx="1371600" cy="2667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Draw Lots</a:t>
          </a:r>
        </a:p>
      </xdr:txBody>
    </xdr:sp>
    <xdr:clientData/>
  </xdr:twoCellAnchor>
  <xdr:twoCellAnchor>
    <xdr:from>
      <xdr:col>2</xdr:col>
      <xdr:colOff>95250</xdr:colOff>
      <xdr:row>0</xdr:row>
      <xdr:rowOff>85725</xdr:rowOff>
    </xdr:from>
    <xdr:to>
      <xdr:col>4</xdr:col>
      <xdr:colOff>438150</xdr:colOff>
      <xdr:row>0</xdr:row>
      <xdr:rowOff>361950</xdr:rowOff>
    </xdr:to>
    <xdr:sp macro="[0]!generatestartlist" textlink="">
      <xdr:nvSpPr>
        <xdr:cNvPr id="3" name="Rectangle 2">
          <a:extLst>
            <a:ext uri="{FF2B5EF4-FFF2-40B4-BE49-F238E27FC236}">
              <a16:creationId xmlns:a16="http://schemas.microsoft.com/office/drawing/2014/main" id="{38EB88F7-EB85-44E0-8C48-ED125A0C2BDC}"/>
            </a:ext>
          </a:extLst>
        </xdr:cNvPr>
        <xdr:cNvSpPr/>
      </xdr:nvSpPr>
      <xdr:spPr>
        <a:xfrm>
          <a:off x="2324100" y="85725"/>
          <a:ext cx="1438275" cy="27622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Generate Start List</a:t>
          </a:r>
        </a:p>
      </xdr:txBody>
    </xdr:sp>
    <xdr:clientData/>
  </xdr:twoCellAnchor>
  <xdr:twoCellAnchor>
    <xdr:from>
      <xdr:col>5</xdr:col>
      <xdr:colOff>95250</xdr:colOff>
      <xdr:row>0</xdr:row>
      <xdr:rowOff>85725</xdr:rowOff>
    </xdr:from>
    <xdr:to>
      <xdr:col>7</xdr:col>
      <xdr:colOff>247650</xdr:colOff>
      <xdr:row>0</xdr:row>
      <xdr:rowOff>361950</xdr:rowOff>
    </xdr:to>
    <xdr:sp macro="[0]!generatecards" textlink="">
      <xdr:nvSpPr>
        <xdr:cNvPr id="4" name="CardShape">
          <a:extLst>
            <a:ext uri="{FF2B5EF4-FFF2-40B4-BE49-F238E27FC236}">
              <a16:creationId xmlns:a16="http://schemas.microsoft.com/office/drawing/2014/main" id="{F781EBB3-2622-4761-A4D8-629757A6E493}"/>
            </a:ext>
          </a:extLst>
        </xdr:cNvPr>
        <xdr:cNvSpPr/>
      </xdr:nvSpPr>
      <xdr:spPr>
        <a:xfrm>
          <a:off x="4038600" y="85725"/>
          <a:ext cx="1438275" cy="27622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Generate Cards</a:t>
          </a:r>
        </a:p>
      </xdr:txBody>
    </xdr:sp>
    <xdr:clientData/>
  </xdr:twoCellAnchor>
  <xdr:twoCellAnchor>
    <xdr:from>
      <xdr:col>8</xdr:col>
      <xdr:colOff>95250</xdr:colOff>
      <xdr:row>0</xdr:row>
      <xdr:rowOff>85725</xdr:rowOff>
    </xdr:from>
    <xdr:to>
      <xdr:col>10</xdr:col>
      <xdr:colOff>533400</xdr:colOff>
      <xdr:row>0</xdr:row>
      <xdr:rowOff>361950</xdr:rowOff>
    </xdr:to>
    <xdr:sp macro="[0]!clearcards" textlink="">
      <xdr:nvSpPr>
        <xdr:cNvPr id="5" name="ClearCardShape">
          <a:extLst>
            <a:ext uri="{FF2B5EF4-FFF2-40B4-BE49-F238E27FC236}">
              <a16:creationId xmlns:a16="http://schemas.microsoft.com/office/drawing/2014/main" id="{F204B4B9-D4D5-4B02-8E51-71EF14FD4198}"/>
            </a:ext>
          </a:extLst>
        </xdr:cNvPr>
        <xdr:cNvSpPr/>
      </xdr:nvSpPr>
      <xdr:spPr>
        <a:xfrm>
          <a:off x="5715000" y="85725"/>
          <a:ext cx="1438275" cy="27622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sv-SE" sz="11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Cards</a:t>
          </a:r>
        </a:p>
      </xdr:txBody>
    </xdr:sp>
    <xdr:clientData/>
  </xdr:twoCellAnchor>
  <xdr:twoCellAnchor>
    <xdr:from>
      <xdr:col>11</xdr:col>
      <xdr:colOff>76200</xdr:colOff>
      <xdr:row>0</xdr:row>
      <xdr:rowOff>85725</xdr:rowOff>
    </xdr:from>
    <xdr:to>
      <xdr:col>12</xdr:col>
      <xdr:colOff>695325</xdr:colOff>
      <xdr:row>0</xdr:row>
      <xdr:rowOff>361950</xdr:rowOff>
    </xdr:to>
    <xdr:sp macro="[0]!clearall" textlink="">
      <xdr:nvSpPr>
        <xdr:cNvPr id="7" name="CardShape">
          <a:extLst>
            <a:ext uri="{FF2B5EF4-FFF2-40B4-BE49-F238E27FC236}">
              <a16:creationId xmlns:a16="http://schemas.microsoft.com/office/drawing/2014/main" id="{AB0581CE-074B-4375-836E-D64F3B7FEC06}"/>
            </a:ext>
          </a:extLst>
        </xdr:cNvPr>
        <xdr:cNvSpPr/>
      </xdr:nvSpPr>
      <xdr:spPr>
        <a:xfrm>
          <a:off x="7305675" y="85725"/>
          <a:ext cx="1228725" cy="27622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Q30"/>
  <sheetViews>
    <sheetView showGridLines="0" workbookViewId="0">
      <selection activeCell="H16" sqref="H16"/>
    </sheetView>
  </sheetViews>
  <sheetFormatPr defaultRowHeight="14.4" x14ac:dyDescent="0.3"/>
  <cols>
    <col min="1" max="1" width="3.109375" style="2" customWidth="1"/>
    <col min="2" max="2" width="9.109375" style="2"/>
    <col min="3" max="3" width="6.5546875" style="3" customWidth="1"/>
    <col min="4" max="4" width="7.109375" style="3" customWidth="1"/>
    <col min="5" max="5" width="6.44140625" style="3" customWidth="1"/>
    <col min="6" max="6" width="9.109375" style="2"/>
    <col min="7" max="7" width="3.6640625" style="2" customWidth="1"/>
    <col min="8" max="8" width="9.109375" style="3"/>
    <col min="9" max="9" width="9.109375" style="2" customWidth="1"/>
    <col min="10" max="11" width="9.109375" style="2"/>
    <col min="12" max="17" width="9.109375" style="2" customWidth="1"/>
    <col min="18" max="25" width="9.109375" customWidth="1"/>
  </cols>
  <sheetData>
    <row r="1" spans="1:11" x14ac:dyDescent="0.3">
      <c r="A1" s="1"/>
      <c r="B1"/>
      <c r="C1"/>
      <c r="D1"/>
      <c r="E1"/>
      <c r="F1"/>
    </row>
    <row r="2" spans="1:11" ht="15" thickBot="1" x14ac:dyDescent="0.35">
      <c r="B2"/>
      <c r="C2"/>
      <c r="D2"/>
      <c r="E2"/>
      <c r="F2"/>
    </row>
    <row r="3" spans="1:11" ht="15" customHeight="1" x14ac:dyDescent="0.3">
      <c r="B3" s="84" t="s">
        <v>141</v>
      </c>
      <c r="C3" s="85"/>
      <c r="D3" s="85"/>
      <c r="E3" s="85"/>
      <c r="F3" s="86"/>
      <c r="G3" s="50"/>
      <c r="H3" s="90" t="s">
        <v>0</v>
      </c>
      <c r="I3" s="91"/>
      <c r="J3" s="91"/>
      <c r="K3" s="92"/>
    </row>
    <row r="4" spans="1:11" ht="15.75" customHeight="1" thickBot="1" x14ac:dyDescent="0.35">
      <c r="B4" s="87"/>
      <c r="C4" s="88"/>
      <c r="D4" s="88"/>
      <c r="E4" s="88"/>
      <c r="F4" s="89"/>
      <c r="H4" s="93"/>
      <c r="I4" s="94"/>
      <c r="J4" s="94"/>
      <c r="K4" s="95"/>
    </row>
    <row r="5" spans="1:11" x14ac:dyDescent="0.3">
      <c r="B5" s="7" t="s">
        <v>13</v>
      </c>
      <c r="C5" s="96" t="s">
        <v>14</v>
      </c>
      <c r="D5" s="97"/>
      <c r="E5" s="99"/>
      <c r="F5" s="8" t="s">
        <v>15</v>
      </c>
      <c r="H5" s="4" t="s">
        <v>1</v>
      </c>
      <c r="I5" s="96" t="s">
        <v>2</v>
      </c>
      <c r="J5" s="97"/>
      <c r="K5" s="98"/>
    </row>
    <row r="6" spans="1:11" x14ac:dyDescent="0.3">
      <c r="B6" s="9" t="s">
        <v>18</v>
      </c>
      <c r="C6" s="72" t="s">
        <v>19</v>
      </c>
      <c r="D6" s="73"/>
      <c r="E6" s="74"/>
      <c r="F6" s="10">
        <v>2</v>
      </c>
      <c r="H6" s="5" t="s">
        <v>3</v>
      </c>
      <c r="I6" s="75" t="s">
        <v>4</v>
      </c>
      <c r="J6" s="76"/>
      <c r="K6" s="77"/>
    </row>
    <row r="7" spans="1:11" x14ac:dyDescent="0.3">
      <c r="B7" s="9" t="s">
        <v>22</v>
      </c>
      <c r="C7" s="72" t="s">
        <v>23</v>
      </c>
      <c r="D7" s="73"/>
      <c r="E7" s="74"/>
      <c r="F7" s="10">
        <v>2</v>
      </c>
      <c r="H7" s="5" t="s">
        <v>5</v>
      </c>
      <c r="I7" s="78" t="s">
        <v>6</v>
      </c>
      <c r="J7" s="79"/>
      <c r="K7" s="80"/>
    </row>
    <row r="8" spans="1:11" x14ac:dyDescent="0.3">
      <c r="B8" s="9" t="s">
        <v>26</v>
      </c>
      <c r="C8" s="72" t="s">
        <v>27</v>
      </c>
      <c r="D8" s="73"/>
      <c r="E8" s="74"/>
      <c r="F8" s="10">
        <v>2</v>
      </c>
      <c r="H8" s="6" t="s">
        <v>7</v>
      </c>
      <c r="I8" s="78" t="s">
        <v>8</v>
      </c>
      <c r="J8" s="79"/>
      <c r="K8" s="80"/>
    </row>
    <row r="9" spans="1:11" x14ac:dyDescent="0.3">
      <c r="B9" s="9"/>
      <c r="C9" s="72"/>
      <c r="D9" s="73"/>
      <c r="E9" s="74"/>
      <c r="F9" s="10"/>
      <c r="H9" s="6" t="s">
        <v>9</v>
      </c>
      <c r="I9" s="78" t="s">
        <v>10</v>
      </c>
      <c r="J9" s="79"/>
      <c r="K9" s="80"/>
    </row>
    <row r="10" spans="1:11" x14ac:dyDescent="0.3">
      <c r="B10" s="9"/>
      <c r="C10" s="72"/>
      <c r="D10" s="73"/>
      <c r="E10" s="74"/>
      <c r="F10" s="10"/>
      <c r="H10" s="6" t="s">
        <v>11</v>
      </c>
      <c r="I10" s="78" t="s">
        <v>12</v>
      </c>
      <c r="J10" s="79"/>
      <c r="K10" s="80"/>
    </row>
    <row r="11" spans="1:11" x14ac:dyDescent="0.3">
      <c r="B11" s="9"/>
      <c r="C11" s="72"/>
      <c r="D11" s="73"/>
      <c r="E11" s="74"/>
      <c r="F11" s="10"/>
      <c r="H11" s="6" t="s">
        <v>16</v>
      </c>
      <c r="I11" s="78" t="s">
        <v>17</v>
      </c>
      <c r="J11" s="79"/>
      <c r="K11" s="80"/>
    </row>
    <row r="12" spans="1:11" x14ac:dyDescent="0.3">
      <c r="B12" s="9"/>
      <c r="C12" s="72"/>
      <c r="D12" s="73"/>
      <c r="E12" s="74"/>
      <c r="F12" s="10"/>
      <c r="H12" s="6" t="s">
        <v>20</v>
      </c>
      <c r="I12" s="78" t="s">
        <v>21</v>
      </c>
      <c r="J12" s="79"/>
      <c r="K12" s="80"/>
    </row>
    <row r="13" spans="1:11" x14ac:dyDescent="0.3">
      <c r="B13" s="9"/>
      <c r="C13" s="72"/>
      <c r="D13" s="73"/>
      <c r="E13" s="74"/>
      <c r="F13" s="10"/>
      <c r="H13" s="11" t="s">
        <v>24</v>
      </c>
      <c r="I13" s="81" t="s">
        <v>25</v>
      </c>
      <c r="J13" s="82"/>
      <c r="K13" s="83"/>
    </row>
    <row r="14" spans="1:11" x14ac:dyDescent="0.3">
      <c r="B14" s="9"/>
      <c r="C14" s="72"/>
      <c r="D14" s="73"/>
      <c r="E14" s="74"/>
      <c r="F14" s="10"/>
      <c r="H14" s="6" t="s">
        <v>28</v>
      </c>
      <c r="I14" s="78" t="s">
        <v>29</v>
      </c>
      <c r="J14" s="79"/>
      <c r="K14" s="80"/>
    </row>
    <row r="15" spans="1:11" x14ac:dyDescent="0.3">
      <c r="B15" s="9"/>
      <c r="C15" s="72"/>
      <c r="D15" s="73"/>
      <c r="E15" s="74"/>
      <c r="F15" s="10"/>
      <c r="H15" s="6" t="s">
        <v>30</v>
      </c>
      <c r="I15" s="78" t="s">
        <v>31</v>
      </c>
      <c r="J15" s="79"/>
      <c r="K15" s="80"/>
    </row>
    <row r="16" spans="1:11" x14ac:dyDescent="0.3">
      <c r="B16" s="9"/>
      <c r="C16" s="72"/>
      <c r="D16" s="73"/>
      <c r="E16" s="74"/>
      <c r="F16" s="10"/>
      <c r="H16" s="6"/>
      <c r="I16" s="78"/>
      <c r="J16" s="79"/>
      <c r="K16" s="80"/>
    </row>
    <row r="17" spans="2:12" x14ac:dyDescent="0.3">
      <c r="B17" s="9"/>
      <c r="C17" s="72"/>
      <c r="D17" s="73"/>
      <c r="E17" s="74"/>
      <c r="F17" s="10"/>
      <c r="H17" s="6"/>
      <c r="I17" s="78"/>
      <c r="J17" s="79"/>
      <c r="K17" s="80"/>
    </row>
    <row r="18" spans="2:12" x14ac:dyDescent="0.3">
      <c r="B18" s="9"/>
      <c r="C18" s="72"/>
      <c r="D18" s="73"/>
      <c r="E18" s="74"/>
      <c r="F18" s="10"/>
      <c r="H18" s="6"/>
      <c r="I18" s="78"/>
      <c r="J18" s="79"/>
      <c r="K18" s="80"/>
    </row>
    <row r="19" spans="2:12" x14ac:dyDescent="0.3">
      <c r="B19" s="9"/>
      <c r="C19" s="72"/>
      <c r="D19" s="73"/>
      <c r="E19" s="74"/>
      <c r="F19" s="10"/>
      <c r="H19" s="6"/>
      <c r="I19" s="78"/>
      <c r="J19" s="79"/>
      <c r="K19" s="80"/>
    </row>
    <row r="20" spans="2:12" x14ac:dyDescent="0.3">
      <c r="B20" s="9"/>
      <c r="C20" s="72"/>
      <c r="D20" s="73"/>
      <c r="E20" s="74"/>
      <c r="F20" s="10"/>
      <c r="H20" s="5"/>
      <c r="I20" s="75"/>
      <c r="J20" s="76"/>
      <c r="K20" s="77"/>
    </row>
    <row r="21" spans="2:12" x14ac:dyDescent="0.3">
      <c r="B21" s="9"/>
      <c r="C21" s="72"/>
      <c r="D21" s="73"/>
      <c r="E21" s="74"/>
      <c r="F21" s="10"/>
      <c r="H21" s="5"/>
      <c r="I21" s="75"/>
      <c r="J21" s="76"/>
      <c r="K21" s="77"/>
    </row>
    <row r="22" spans="2:12" x14ac:dyDescent="0.3">
      <c r="B22" s="9"/>
      <c r="C22" s="72"/>
      <c r="D22" s="73"/>
      <c r="E22" s="74"/>
      <c r="F22" s="10"/>
      <c r="H22" s="5"/>
      <c r="I22" s="75"/>
      <c r="J22" s="76"/>
      <c r="K22" s="77"/>
    </row>
    <row r="23" spans="2:12" x14ac:dyDescent="0.3">
      <c r="B23" s="9"/>
      <c r="C23" s="72"/>
      <c r="D23" s="73"/>
      <c r="E23" s="74"/>
      <c r="F23" s="10"/>
      <c r="H23" s="5"/>
      <c r="I23" s="75"/>
      <c r="J23" s="76"/>
      <c r="K23" s="77"/>
    </row>
    <row r="24" spans="2:12" x14ac:dyDescent="0.3">
      <c r="B24" s="9"/>
      <c r="C24" s="72"/>
      <c r="D24" s="73"/>
      <c r="E24" s="74"/>
      <c r="F24" s="10"/>
      <c r="H24" s="5"/>
      <c r="I24" s="75"/>
      <c r="J24" s="76"/>
      <c r="K24" s="77"/>
    </row>
    <row r="25" spans="2:12" x14ac:dyDescent="0.3">
      <c r="B25" s="9"/>
      <c r="C25" s="72"/>
      <c r="D25" s="73"/>
      <c r="E25" s="74"/>
      <c r="F25" s="10"/>
      <c r="H25" s="5"/>
      <c r="I25" s="75"/>
      <c r="J25" s="76"/>
      <c r="K25" s="77"/>
      <c r="L25" s="12"/>
    </row>
    <row r="26" spans="2:12" x14ac:dyDescent="0.3">
      <c r="B26" s="9"/>
      <c r="C26" s="72"/>
      <c r="D26" s="73"/>
      <c r="E26" s="74"/>
      <c r="F26" s="10"/>
      <c r="G26" s="12"/>
      <c r="H26" s="5"/>
      <c r="I26" s="75"/>
      <c r="J26" s="76"/>
      <c r="K26" s="77"/>
      <c r="L26" s="12"/>
    </row>
    <row r="27" spans="2:12" x14ac:dyDescent="0.3">
      <c r="B27" s="9"/>
      <c r="C27" s="72"/>
      <c r="D27" s="73"/>
      <c r="E27" s="74"/>
      <c r="F27" s="10"/>
      <c r="G27" s="13"/>
      <c r="H27" s="5"/>
      <c r="I27" s="75"/>
      <c r="J27" s="76"/>
      <c r="K27" s="77"/>
      <c r="L27" s="12"/>
    </row>
    <row r="28" spans="2:12" x14ac:dyDescent="0.3">
      <c r="B28" s="9"/>
      <c r="C28" s="72"/>
      <c r="D28" s="73"/>
      <c r="E28" s="74"/>
      <c r="F28" s="10"/>
      <c r="G28" s="13"/>
      <c r="H28" s="5"/>
      <c r="I28" s="75"/>
      <c r="J28" s="76"/>
      <c r="K28" s="77"/>
      <c r="L28" s="12"/>
    </row>
    <row r="29" spans="2:12" ht="15" thickBot="1" x14ac:dyDescent="0.35">
      <c r="B29" s="54"/>
      <c r="C29" s="66"/>
      <c r="D29" s="67"/>
      <c r="E29" s="68"/>
      <c r="F29" s="51"/>
      <c r="G29" s="13"/>
      <c r="H29" s="14"/>
      <c r="I29" s="69"/>
      <c r="J29" s="70"/>
      <c r="K29" s="71"/>
      <c r="L29" s="12"/>
    </row>
    <row r="30" spans="2:12" x14ac:dyDescent="0.3">
      <c r="B30" s="52"/>
      <c r="C30" s="53"/>
      <c r="D30" s="53"/>
      <c r="E30" s="53"/>
      <c r="F30" s="52"/>
    </row>
  </sheetData>
  <mergeCells count="52">
    <mergeCell ref="B3:F4"/>
    <mergeCell ref="H3:K4"/>
    <mergeCell ref="I5:K5"/>
    <mergeCell ref="I6:K6"/>
    <mergeCell ref="I7:K7"/>
    <mergeCell ref="C5:E5"/>
    <mergeCell ref="I8:K8"/>
    <mergeCell ref="C6:E6"/>
    <mergeCell ref="C7:E7"/>
    <mergeCell ref="C8:E8"/>
    <mergeCell ref="I9:K9"/>
    <mergeCell ref="C9:E9"/>
    <mergeCell ref="I10:K10"/>
    <mergeCell ref="I11:K11"/>
    <mergeCell ref="I12:K12"/>
    <mergeCell ref="C13:E13"/>
    <mergeCell ref="I13:K13"/>
    <mergeCell ref="C10:E10"/>
    <mergeCell ref="C12:E12"/>
    <mergeCell ref="C11:E11"/>
    <mergeCell ref="C14:E14"/>
    <mergeCell ref="I14:K14"/>
    <mergeCell ref="C15:E15"/>
    <mergeCell ref="I15:K15"/>
    <mergeCell ref="C16:E16"/>
    <mergeCell ref="I16:K16"/>
    <mergeCell ref="C17:E17"/>
    <mergeCell ref="I17:K17"/>
    <mergeCell ref="C18:E18"/>
    <mergeCell ref="I18:K18"/>
    <mergeCell ref="C19:E19"/>
    <mergeCell ref="I19:K19"/>
    <mergeCell ref="C20:E20"/>
    <mergeCell ref="I20:K20"/>
    <mergeCell ref="C21:E21"/>
    <mergeCell ref="I21:K21"/>
    <mergeCell ref="C22:E22"/>
    <mergeCell ref="I22:K22"/>
    <mergeCell ref="C23:E23"/>
    <mergeCell ref="I23:K23"/>
    <mergeCell ref="C24:E24"/>
    <mergeCell ref="I24:K24"/>
    <mergeCell ref="C25:E25"/>
    <mergeCell ref="I25:K25"/>
    <mergeCell ref="C29:E29"/>
    <mergeCell ref="I29:K29"/>
    <mergeCell ref="C26:E26"/>
    <mergeCell ref="I26:K26"/>
    <mergeCell ref="C27:E27"/>
    <mergeCell ref="I27:K27"/>
    <mergeCell ref="C28:E28"/>
    <mergeCell ref="I28:K28"/>
  </mergeCells>
  <dataValidations count="3"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8:F29" xr:uid="{00000000-0002-0000-0000-000000000000}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6:F7" xr:uid="{00000000-0002-0000-0000-000001000000}">
      <formula1>"1,2,3"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6:B29" xr:uid="{00000000-0002-0000-0000-000002000000}">
      <formula1>OR(LEFT(B6,1)="M",LEFT(B6,1)="F")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B100"/>
  <sheetViews>
    <sheetView showGridLines="0" tabSelected="1" workbookViewId="0"/>
  </sheetViews>
  <sheetFormatPr defaultRowHeight="14.4" x14ac:dyDescent="0.3"/>
  <cols>
    <col min="1" max="1" width="6" style="26" customWidth="1"/>
    <col min="2" max="2" width="27.44140625" style="26" customWidth="1"/>
    <col min="3" max="3" width="9.109375" style="26"/>
    <col min="4" max="4" width="7.33203125" style="26" customWidth="1"/>
    <col min="5" max="5" width="9.33203125" style="31" customWidth="1"/>
    <col min="6" max="6" width="7" style="26" customWidth="1"/>
    <col min="7" max="7" width="12.33203125" style="32" customWidth="1"/>
    <col min="8" max="8" width="5.88671875" style="26" customWidth="1"/>
    <col min="9" max="9" width="9.109375" style="26"/>
    <col min="10" max="10" width="5.88671875" style="27" customWidth="1"/>
    <col min="11" max="12" width="9.109375" style="26"/>
    <col min="13" max="13" width="12" style="26" customWidth="1"/>
    <col min="14" max="14" width="19.109375" style="28" hidden="1" customWidth="1"/>
    <col min="15" max="21" width="9.109375" style="29" hidden="1" customWidth="1"/>
    <col min="22" max="22" width="9.109375" style="28" hidden="1" customWidth="1"/>
    <col min="23" max="26" width="9.109375" style="29" hidden="1" customWidth="1"/>
    <col min="27" max="27" width="9.109375" style="30"/>
    <col min="28" max="28" width="9.109375" style="37"/>
  </cols>
  <sheetData>
    <row r="1" spans="1:28" ht="35.25" customHeight="1" x14ac:dyDescent="0.3">
      <c r="A1" s="15"/>
      <c r="B1" s="15"/>
      <c r="C1" s="15"/>
      <c r="D1" s="15"/>
      <c r="E1" s="16"/>
      <c r="F1" s="15"/>
      <c r="G1" s="17"/>
      <c r="H1" s="15"/>
      <c r="I1" s="15"/>
      <c r="J1" s="18"/>
      <c r="K1" s="15"/>
      <c r="L1" s="15"/>
      <c r="M1" s="15"/>
      <c r="O1" s="20"/>
      <c r="P1" s="20"/>
      <c r="Q1" s="20"/>
      <c r="R1" s="20"/>
      <c r="S1" s="20"/>
      <c r="T1" s="20"/>
      <c r="U1" s="20"/>
      <c r="V1" s="19"/>
      <c r="W1" s="20"/>
      <c r="X1" s="20"/>
      <c r="Y1" s="20"/>
      <c r="Z1" s="20">
        <v>2</v>
      </c>
      <c r="AA1" s="21"/>
    </row>
    <row r="2" spans="1:28" ht="27" x14ac:dyDescent="0.3">
      <c r="A2" s="33" t="s">
        <v>32</v>
      </c>
      <c r="B2" s="33" t="s">
        <v>33</v>
      </c>
      <c r="C2" s="33" t="s">
        <v>34</v>
      </c>
      <c r="D2" s="33" t="s">
        <v>35</v>
      </c>
      <c r="E2" s="35" t="s">
        <v>36</v>
      </c>
      <c r="F2" s="33" t="s">
        <v>37</v>
      </c>
      <c r="G2" s="36" t="s">
        <v>38</v>
      </c>
      <c r="H2" s="22" t="s">
        <v>39</v>
      </c>
      <c r="I2" s="22" t="s">
        <v>40</v>
      </c>
      <c r="J2" s="34" t="s">
        <v>41</v>
      </c>
      <c r="K2" s="22" t="s">
        <v>42</v>
      </c>
      <c r="L2" s="22" t="s">
        <v>43</v>
      </c>
      <c r="M2" s="22" t="s">
        <v>44</v>
      </c>
      <c r="N2" s="28" t="e">
        <f ca="1">INDIRECT(ADDRESS(MATCH($C2,INDIRECT($S$2),0)+5,9,,,"Setup"))</f>
        <v>#N/A</v>
      </c>
      <c r="O2" s="23"/>
      <c r="P2" s="24"/>
      <c r="Q2" s="24"/>
      <c r="R2" s="23" t="str">
        <f>CONCATENATE("Setup!B6:B",COUNTA(Setup!B:B)+3)</f>
        <v>Setup!B6:B8</v>
      </c>
      <c r="S2" s="23" t="str">
        <f>CONCATENATE("Setup!H6:H",COUNTA(Setup!H:H)+3)</f>
        <v>Setup!H6:H15</v>
      </c>
      <c r="T2" s="23"/>
      <c r="U2" s="23"/>
      <c r="V2" s="24"/>
      <c r="W2" s="23"/>
      <c r="X2" s="23"/>
      <c r="Y2" s="23"/>
      <c r="Z2" s="23">
        <v>14</v>
      </c>
      <c r="AA2" s="25"/>
    </row>
    <row r="3" spans="1:28" x14ac:dyDescent="0.3">
      <c r="A3" s="26" t="s">
        <v>45</v>
      </c>
      <c r="B3" s="26" t="s">
        <v>51</v>
      </c>
      <c r="C3" s="26" t="s">
        <v>11</v>
      </c>
      <c r="D3" s="26" t="s">
        <v>22</v>
      </c>
      <c r="E3" s="31">
        <v>63.3</v>
      </c>
      <c r="F3" s="26">
        <v>1</v>
      </c>
      <c r="G3" s="32">
        <v>31989</v>
      </c>
      <c r="J3" s="27" t="s">
        <v>52</v>
      </c>
      <c r="K3" s="26">
        <v>77.5</v>
      </c>
      <c r="M3" s="26" t="s">
        <v>48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 x14ac:dyDescent="0.3">
      <c r="A4" s="26" t="s">
        <v>45</v>
      </c>
      <c r="B4" s="26" t="s">
        <v>55</v>
      </c>
      <c r="C4" s="26" t="s">
        <v>11</v>
      </c>
      <c r="D4" s="26" t="s">
        <v>22</v>
      </c>
      <c r="E4" s="31">
        <v>83.85</v>
      </c>
      <c r="F4" s="26">
        <v>2</v>
      </c>
      <c r="G4" s="32" t="s">
        <v>56</v>
      </c>
      <c r="J4" s="27" t="s">
        <v>57</v>
      </c>
      <c r="K4" s="26">
        <v>85</v>
      </c>
      <c r="M4" s="26" t="s">
        <v>48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x14ac:dyDescent="0.3">
      <c r="A5" s="26" t="s">
        <v>45</v>
      </c>
      <c r="B5" s="26" t="s">
        <v>64</v>
      </c>
      <c r="C5" s="26" t="s">
        <v>11</v>
      </c>
      <c r="D5" s="26" t="s">
        <v>18</v>
      </c>
      <c r="E5" s="31">
        <v>79.7</v>
      </c>
      <c r="F5" s="26">
        <v>3</v>
      </c>
      <c r="G5" s="32" t="s">
        <v>65</v>
      </c>
      <c r="J5" s="27" t="s">
        <v>66</v>
      </c>
      <c r="K5" s="26">
        <v>115</v>
      </c>
      <c r="M5" s="26" t="s">
        <v>48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 x14ac:dyDescent="0.3">
      <c r="A6" s="26" t="s">
        <v>45</v>
      </c>
      <c r="B6" s="26" t="s">
        <v>61</v>
      </c>
      <c r="C6" s="26" t="s">
        <v>28</v>
      </c>
      <c r="D6" s="26" t="s">
        <v>18</v>
      </c>
      <c r="E6" s="31">
        <v>92.2</v>
      </c>
      <c r="F6" s="26">
        <v>4</v>
      </c>
      <c r="G6" s="32" t="s">
        <v>62</v>
      </c>
      <c r="J6" s="27" t="s">
        <v>63</v>
      </c>
      <c r="K6" s="26">
        <v>130</v>
      </c>
      <c r="M6" s="26" t="s">
        <v>48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x14ac:dyDescent="0.3">
      <c r="A7" s="26" t="s">
        <v>45</v>
      </c>
      <c r="B7" s="26" t="s">
        <v>46</v>
      </c>
      <c r="C7" s="26" t="s">
        <v>3</v>
      </c>
      <c r="D7" s="26" t="s">
        <v>22</v>
      </c>
      <c r="E7" s="31">
        <v>78.849999999999994</v>
      </c>
      <c r="F7" s="26">
        <v>5</v>
      </c>
      <c r="G7" s="32">
        <v>34974</v>
      </c>
      <c r="J7" s="27" t="s">
        <v>47</v>
      </c>
      <c r="K7" s="26">
        <v>85</v>
      </c>
      <c r="M7" s="26" t="s">
        <v>48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x14ac:dyDescent="0.3">
      <c r="A8" s="26" t="s">
        <v>45</v>
      </c>
      <c r="B8" s="26" t="s">
        <v>53</v>
      </c>
      <c r="C8" s="26" t="s">
        <v>11</v>
      </c>
      <c r="D8" s="26" t="s">
        <v>22</v>
      </c>
      <c r="E8" s="31">
        <v>85.4</v>
      </c>
      <c r="F8" s="26">
        <v>6</v>
      </c>
      <c r="G8" s="32">
        <v>31780</v>
      </c>
      <c r="J8" s="27" t="s">
        <v>54</v>
      </c>
      <c r="K8" s="26">
        <v>60</v>
      </c>
      <c r="M8" s="26" t="s">
        <v>48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x14ac:dyDescent="0.3">
      <c r="A9" s="26" t="s">
        <v>45</v>
      </c>
      <c r="B9" s="26" t="s">
        <v>49</v>
      </c>
      <c r="C9" s="26" t="s">
        <v>28</v>
      </c>
      <c r="D9" s="26" t="s">
        <v>22</v>
      </c>
      <c r="E9" s="31">
        <v>79.150000000000006</v>
      </c>
      <c r="F9" s="26">
        <v>7</v>
      </c>
      <c r="G9" s="32">
        <v>33618</v>
      </c>
      <c r="J9" s="27" t="s">
        <v>50</v>
      </c>
      <c r="K9" s="26">
        <v>85</v>
      </c>
      <c r="M9" s="26" t="s">
        <v>48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3">
      <c r="A10" s="26" t="s">
        <v>45</v>
      </c>
      <c r="B10" s="26" t="s">
        <v>58</v>
      </c>
      <c r="C10" s="26" t="s">
        <v>24</v>
      </c>
      <c r="D10" s="26" t="s">
        <v>22</v>
      </c>
      <c r="E10" s="31">
        <v>62.35</v>
      </c>
      <c r="F10" s="26">
        <v>8</v>
      </c>
      <c r="G10" s="32" t="s">
        <v>59</v>
      </c>
      <c r="J10" s="27" t="s">
        <v>60</v>
      </c>
      <c r="K10" s="26">
        <v>47.5</v>
      </c>
      <c r="M10" s="26" t="s">
        <v>48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x14ac:dyDescent="0.3">
      <c r="A11" s="26" t="s">
        <v>67</v>
      </c>
      <c r="B11" s="26" t="s">
        <v>72</v>
      </c>
      <c r="C11" s="26" t="s">
        <v>11</v>
      </c>
      <c r="D11" s="26" t="s">
        <v>22</v>
      </c>
      <c r="E11" s="31">
        <v>72.3</v>
      </c>
      <c r="F11" s="26">
        <v>1</v>
      </c>
      <c r="G11" s="32">
        <v>36581</v>
      </c>
      <c r="H11" s="26">
        <v>12</v>
      </c>
      <c r="I11" s="26">
        <v>130</v>
      </c>
      <c r="J11" s="27" t="s">
        <v>52</v>
      </c>
      <c r="K11" s="26">
        <v>60</v>
      </c>
      <c r="L11" s="26">
        <v>120</v>
      </c>
      <c r="M11" s="26" t="s">
        <v>71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x14ac:dyDescent="0.3">
      <c r="A12" s="26" t="s">
        <v>67</v>
      </c>
      <c r="B12" s="26" t="s">
        <v>78</v>
      </c>
      <c r="C12" s="26" t="s">
        <v>9</v>
      </c>
      <c r="D12" s="26" t="s">
        <v>22</v>
      </c>
      <c r="E12" s="31">
        <v>61.3</v>
      </c>
      <c r="F12" s="26">
        <v>2</v>
      </c>
      <c r="G12" s="32">
        <v>36753</v>
      </c>
      <c r="H12" s="26">
        <v>13</v>
      </c>
      <c r="I12" s="26">
        <v>80</v>
      </c>
      <c r="J12" s="27" t="s">
        <v>79</v>
      </c>
      <c r="K12" s="26">
        <v>75</v>
      </c>
      <c r="L12" s="26">
        <v>100</v>
      </c>
      <c r="M12" s="26" t="s">
        <v>71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x14ac:dyDescent="0.3">
      <c r="A13" s="26" t="s">
        <v>67</v>
      </c>
      <c r="B13" s="26" t="s">
        <v>68</v>
      </c>
      <c r="C13" s="26" t="s">
        <v>11</v>
      </c>
      <c r="D13" s="26" t="s">
        <v>22</v>
      </c>
      <c r="E13" s="31">
        <v>58.2</v>
      </c>
      <c r="F13" s="26">
        <v>3</v>
      </c>
      <c r="G13" s="32" t="s">
        <v>69</v>
      </c>
      <c r="H13" s="26">
        <v>10</v>
      </c>
      <c r="I13" s="26">
        <v>100</v>
      </c>
      <c r="J13" s="27" t="s">
        <v>70</v>
      </c>
      <c r="K13" s="26">
        <v>67.5</v>
      </c>
      <c r="L13" s="26">
        <v>130</v>
      </c>
      <c r="M13" s="26" t="s">
        <v>71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x14ac:dyDescent="0.3">
      <c r="A14" s="26" t="s">
        <v>67</v>
      </c>
      <c r="B14" s="26" t="s">
        <v>86</v>
      </c>
      <c r="C14" s="26" t="s">
        <v>24</v>
      </c>
      <c r="D14" s="26" t="s">
        <v>22</v>
      </c>
      <c r="E14" s="31">
        <v>75.599999999999994</v>
      </c>
      <c r="F14" s="26">
        <v>4</v>
      </c>
      <c r="G14" s="32" t="s">
        <v>87</v>
      </c>
      <c r="H14" s="26">
        <v>11</v>
      </c>
      <c r="I14" s="26">
        <v>160</v>
      </c>
      <c r="J14" s="27" t="s">
        <v>70</v>
      </c>
      <c r="K14" s="26">
        <v>60</v>
      </c>
      <c r="L14" s="26">
        <v>160</v>
      </c>
      <c r="M14" s="26" t="s">
        <v>71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x14ac:dyDescent="0.3">
      <c r="A15" s="26" t="s">
        <v>67</v>
      </c>
      <c r="B15" s="26" t="s">
        <v>76</v>
      </c>
      <c r="C15" s="26" t="s">
        <v>24</v>
      </c>
      <c r="D15" s="26" t="s">
        <v>22</v>
      </c>
      <c r="E15" s="31">
        <v>62.55</v>
      </c>
      <c r="F15" s="26">
        <v>5</v>
      </c>
      <c r="G15" s="32" t="s">
        <v>77</v>
      </c>
      <c r="H15" s="26">
        <v>10</v>
      </c>
      <c r="I15" s="26">
        <v>100</v>
      </c>
      <c r="J15" s="27" t="s">
        <v>60</v>
      </c>
      <c r="K15" s="26">
        <v>60</v>
      </c>
      <c r="L15" s="26">
        <v>120</v>
      </c>
      <c r="M15" s="26" t="s">
        <v>71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x14ac:dyDescent="0.3">
      <c r="A16" s="26" t="s">
        <v>67</v>
      </c>
      <c r="B16" s="26" t="s">
        <v>80</v>
      </c>
      <c r="C16" s="26" t="s">
        <v>11</v>
      </c>
      <c r="D16" s="26" t="s">
        <v>22</v>
      </c>
      <c r="E16" s="31">
        <v>70.55</v>
      </c>
      <c r="F16" s="26">
        <v>6</v>
      </c>
      <c r="G16" s="32" t="s">
        <v>81</v>
      </c>
      <c r="H16" s="26">
        <v>12</v>
      </c>
      <c r="I16" s="26">
        <v>125</v>
      </c>
      <c r="J16" s="27" t="s">
        <v>82</v>
      </c>
      <c r="K16" s="26">
        <v>70</v>
      </c>
      <c r="L16" s="26">
        <v>140</v>
      </c>
      <c r="M16" s="26" t="s">
        <v>71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x14ac:dyDescent="0.3">
      <c r="A17" s="26" t="s">
        <v>67</v>
      </c>
      <c r="B17" s="26" t="s">
        <v>83</v>
      </c>
      <c r="C17" s="26" t="s">
        <v>11</v>
      </c>
      <c r="D17" s="26" t="s">
        <v>22</v>
      </c>
      <c r="E17" s="31">
        <v>63</v>
      </c>
      <c r="F17" s="26">
        <v>7</v>
      </c>
      <c r="G17" s="32" t="s">
        <v>84</v>
      </c>
      <c r="H17" s="26">
        <v>12</v>
      </c>
      <c r="I17" s="26">
        <v>115</v>
      </c>
      <c r="J17" s="27" t="s">
        <v>85</v>
      </c>
      <c r="K17" s="26">
        <v>65</v>
      </c>
      <c r="L17" s="26">
        <v>150</v>
      </c>
      <c r="M17" s="26" t="s">
        <v>71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x14ac:dyDescent="0.3">
      <c r="A18" s="26" t="s">
        <v>67</v>
      </c>
      <c r="B18" s="26" t="s">
        <v>92</v>
      </c>
      <c r="C18" s="26" t="s">
        <v>24</v>
      </c>
      <c r="D18" s="26" t="s">
        <v>18</v>
      </c>
      <c r="E18" s="31">
        <v>81.7</v>
      </c>
      <c r="F18" s="26">
        <v>8</v>
      </c>
      <c r="G18" s="32" t="s">
        <v>93</v>
      </c>
      <c r="H18" s="26">
        <v>12</v>
      </c>
      <c r="I18" s="26">
        <v>110</v>
      </c>
      <c r="J18" s="27" t="s">
        <v>91</v>
      </c>
      <c r="K18" s="26">
        <v>100</v>
      </c>
      <c r="L18" s="26">
        <v>150</v>
      </c>
      <c r="M18" s="26" t="s">
        <v>71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x14ac:dyDescent="0.3">
      <c r="A19" s="26" t="s">
        <v>67</v>
      </c>
      <c r="B19" s="26" t="s">
        <v>88</v>
      </c>
      <c r="C19" s="26" t="s">
        <v>11</v>
      </c>
      <c r="D19" s="26" t="s">
        <v>22</v>
      </c>
      <c r="E19" s="31">
        <v>80.400000000000006</v>
      </c>
      <c r="F19" s="26">
        <v>9</v>
      </c>
      <c r="G19" s="32" t="s">
        <v>89</v>
      </c>
      <c r="H19" s="26">
        <v>13</v>
      </c>
      <c r="I19" s="26">
        <v>75</v>
      </c>
      <c r="J19" s="27" t="s">
        <v>90</v>
      </c>
      <c r="K19" s="26">
        <v>40</v>
      </c>
      <c r="L19" s="26">
        <v>90</v>
      </c>
      <c r="M19" s="26" t="s">
        <v>71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3">
      <c r="A20" s="26" t="s">
        <v>67</v>
      </c>
      <c r="B20" s="26" t="s">
        <v>73</v>
      </c>
      <c r="C20" s="26" t="s">
        <v>9</v>
      </c>
      <c r="D20" s="26" t="s">
        <v>22</v>
      </c>
      <c r="E20" s="31">
        <v>97.35</v>
      </c>
      <c r="F20" s="26">
        <v>10</v>
      </c>
      <c r="G20" s="32" t="s">
        <v>74</v>
      </c>
      <c r="H20" s="26">
        <v>15</v>
      </c>
      <c r="I20" s="26">
        <v>70</v>
      </c>
      <c r="J20" s="27" t="s">
        <v>75</v>
      </c>
      <c r="K20" s="26">
        <v>40</v>
      </c>
      <c r="L20" s="26">
        <v>80</v>
      </c>
      <c r="M20" s="26" t="s">
        <v>71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x14ac:dyDescent="0.3">
      <c r="A21" s="26" t="s">
        <v>94</v>
      </c>
      <c r="B21" s="26" t="s">
        <v>95</v>
      </c>
      <c r="C21" s="26" t="s">
        <v>11</v>
      </c>
      <c r="D21" s="26" t="s">
        <v>18</v>
      </c>
      <c r="E21" s="31">
        <v>127.25</v>
      </c>
      <c r="F21" s="26">
        <v>1</v>
      </c>
      <c r="G21" s="32" t="s">
        <v>96</v>
      </c>
      <c r="H21" s="26">
        <v>20</v>
      </c>
      <c r="I21" s="26">
        <v>230</v>
      </c>
      <c r="J21" s="27" t="s">
        <v>97</v>
      </c>
      <c r="K21" s="26">
        <v>150</v>
      </c>
      <c r="L21" s="26">
        <v>250</v>
      </c>
      <c r="M21" s="26" t="s">
        <v>71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x14ac:dyDescent="0.3">
      <c r="A22" s="26" t="s">
        <v>94</v>
      </c>
      <c r="B22" s="26" t="s">
        <v>110</v>
      </c>
      <c r="C22" s="26" t="s">
        <v>9</v>
      </c>
      <c r="D22" s="26" t="s">
        <v>18</v>
      </c>
      <c r="E22" s="31">
        <v>118.6</v>
      </c>
      <c r="F22" s="26">
        <v>2</v>
      </c>
      <c r="G22" s="32" t="s">
        <v>111</v>
      </c>
      <c r="H22" s="26">
        <v>18</v>
      </c>
      <c r="I22" s="26">
        <v>220</v>
      </c>
      <c r="J22" s="27" t="s">
        <v>109</v>
      </c>
      <c r="K22" s="26">
        <v>150</v>
      </c>
      <c r="L22" s="26">
        <v>240</v>
      </c>
      <c r="M22" s="26" t="s">
        <v>71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x14ac:dyDescent="0.3">
      <c r="A23" s="26" t="s">
        <v>94</v>
      </c>
      <c r="B23" s="26" t="s">
        <v>105</v>
      </c>
      <c r="C23" s="26" t="s">
        <v>11</v>
      </c>
      <c r="D23" s="26" t="s">
        <v>18</v>
      </c>
      <c r="E23" s="31">
        <v>73</v>
      </c>
      <c r="F23" s="26">
        <v>3</v>
      </c>
      <c r="G23" s="32" t="s">
        <v>106</v>
      </c>
      <c r="H23" s="26">
        <v>14</v>
      </c>
      <c r="I23" s="26">
        <v>170</v>
      </c>
      <c r="J23" s="27" t="s">
        <v>100</v>
      </c>
      <c r="K23" s="26">
        <v>117.5</v>
      </c>
      <c r="L23" s="26">
        <v>215</v>
      </c>
      <c r="M23" s="26" t="s">
        <v>71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x14ac:dyDescent="0.3">
      <c r="A24" s="26" t="s">
        <v>94</v>
      </c>
      <c r="B24" s="26" t="s">
        <v>120</v>
      </c>
      <c r="C24" s="26" t="s">
        <v>24</v>
      </c>
      <c r="D24" s="26" t="s">
        <v>18</v>
      </c>
      <c r="E24" s="31">
        <v>96.05</v>
      </c>
      <c r="F24" s="26">
        <v>4</v>
      </c>
      <c r="G24" s="32" t="s">
        <v>121</v>
      </c>
      <c r="H24" s="26">
        <v>15</v>
      </c>
      <c r="I24" s="26">
        <v>145</v>
      </c>
      <c r="J24" s="27" t="s">
        <v>91</v>
      </c>
      <c r="K24" s="26">
        <v>120</v>
      </c>
      <c r="L24" s="26">
        <v>190</v>
      </c>
      <c r="M24" s="26" t="s">
        <v>71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x14ac:dyDescent="0.3">
      <c r="A25" s="26" t="s">
        <v>94</v>
      </c>
      <c r="B25" s="26" t="s">
        <v>115</v>
      </c>
      <c r="C25" s="26" t="s">
        <v>11</v>
      </c>
      <c r="D25" s="26" t="s">
        <v>18</v>
      </c>
      <c r="E25" s="31">
        <v>73.2</v>
      </c>
      <c r="F25" s="26">
        <v>5</v>
      </c>
      <c r="G25" s="32" t="s">
        <v>116</v>
      </c>
      <c r="H25" s="26">
        <v>13</v>
      </c>
      <c r="I25" s="26">
        <v>185</v>
      </c>
      <c r="J25" s="27" t="s">
        <v>54</v>
      </c>
      <c r="K25" s="26">
        <v>122.5</v>
      </c>
      <c r="L25" s="26">
        <v>205</v>
      </c>
      <c r="M25" s="26" t="s">
        <v>71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x14ac:dyDescent="0.3">
      <c r="A26" s="26" t="s">
        <v>94</v>
      </c>
      <c r="B26" s="26" t="s">
        <v>122</v>
      </c>
      <c r="C26" s="26" t="s">
        <v>11</v>
      </c>
      <c r="D26" s="26" t="s">
        <v>18</v>
      </c>
      <c r="E26" s="31">
        <v>81.7</v>
      </c>
      <c r="F26" s="26">
        <v>6</v>
      </c>
      <c r="G26" s="32" t="s">
        <v>123</v>
      </c>
      <c r="H26" s="26">
        <v>15</v>
      </c>
      <c r="I26" s="26">
        <v>150</v>
      </c>
      <c r="J26" s="27" t="s">
        <v>91</v>
      </c>
      <c r="K26" s="26">
        <v>100</v>
      </c>
      <c r="L26" s="26">
        <v>230</v>
      </c>
      <c r="M26" s="26" t="s">
        <v>71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x14ac:dyDescent="0.3">
      <c r="A27" s="26" t="s">
        <v>94</v>
      </c>
      <c r="B27" s="26" t="s">
        <v>98</v>
      </c>
      <c r="C27" s="26" t="s">
        <v>9</v>
      </c>
      <c r="D27" s="26" t="s">
        <v>18</v>
      </c>
      <c r="E27" s="31">
        <v>92.5</v>
      </c>
      <c r="F27" s="26">
        <v>7</v>
      </c>
      <c r="G27" s="32" t="s">
        <v>99</v>
      </c>
      <c r="H27" s="26">
        <v>13</v>
      </c>
      <c r="I27" s="26">
        <v>180</v>
      </c>
      <c r="J27" s="27" t="s">
        <v>100</v>
      </c>
      <c r="K27" s="26">
        <v>115</v>
      </c>
      <c r="L27" s="26">
        <v>220</v>
      </c>
      <c r="M27" s="26" t="s">
        <v>71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x14ac:dyDescent="0.3">
      <c r="A28" s="26" t="s">
        <v>94</v>
      </c>
      <c r="B28" s="26" t="s">
        <v>117</v>
      </c>
      <c r="C28" s="26" t="s">
        <v>11</v>
      </c>
      <c r="D28" s="26" t="s">
        <v>18</v>
      </c>
      <c r="E28" s="31">
        <v>73.2</v>
      </c>
      <c r="F28" s="26">
        <v>8</v>
      </c>
      <c r="G28" s="32" t="s">
        <v>118</v>
      </c>
      <c r="H28" s="26">
        <v>13</v>
      </c>
      <c r="I28" s="26">
        <v>175</v>
      </c>
      <c r="J28" s="27" t="s">
        <v>119</v>
      </c>
      <c r="K28" s="26">
        <v>117.5</v>
      </c>
      <c r="L28" s="26">
        <v>202.5</v>
      </c>
      <c r="M28" s="26" t="s">
        <v>71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x14ac:dyDescent="0.3">
      <c r="A29" s="26" t="s">
        <v>94</v>
      </c>
      <c r="B29" s="26" t="s">
        <v>101</v>
      </c>
      <c r="C29" s="26" t="s">
        <v>11</v>
      </c>
      <c r="D29" s="26" t="s">
        <v>18</v>
      </c>
      <c r="E29" s="31">
        <v>75.599999999999994</v>
      </c>
      <c r="F29" s="26">
        <v>9</v>
      </c>
      <c r="G29" s="32" t="s">
        <v>102</v>
      </c>
      <c r="H29" s="26">
        <v>13</v>
      </c>
      <c r="I29" s="26">
        <v>147.5</v>
      </c>
      <c r="J29" s="27" t="s">
        <v>54</v>
      </c>
      <c r="K29" s="26">
        <v>95</v>
      </c>
      <c r="L29" s="26">
        <v>187.5</v>
      </c>
      <c r="M29" s="26" t="s">
        <v>71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x14ac:dyDescent="0.3">
      <c r="A30" s="26" t="s">
        <v>94</v>
      </c>
      <c r="B30" s="26" t="s">
        <v>103</v>
      </c>
      <c r="C30" s="26" t="s">
        <v>24</v>
      </c>
      <c r="D30" s="26" t="s">
        <v>18</v>
      </c>
      <c r="E30" s="31">
        <v>142.69999999999999</v>
      </c>
      <c r="F30" s="26">
        <v>10</v>
      </c>
      <c r="G30" s="32" t="s">
        <v>104</v>
      </c>
      <c r="H30" s="26">
        <v>15</v>
      </c>
      <c r="I30" s="26">
        <v>280</v>
      </c>
      <c r="J30" s="27" t="s">
        <v>91</v>
      </c>
      <c r="K30" s="26">
        <v>180</v>
      </c>
      <c r="L30" s="26">
        <v>280</v>
      </c>
      <c r="M30" s="26" t="s">
        <v>71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x14ac:dyDescent="0.3">
      <c r="A31" s="26" t="s">
        <v>94</v>
      </c>
      <c r="B31" s="26" t="s">
        <v>107</v>
      </c>
      <c r="C31" s="26" t="s">
        <v>11</v>
      </c>
      <c r="D31" s="26" t="s">
        <v>18</v>
      </c>
      <c r="E31" s="31">
        <v>115.15</v>
      </c>
      <c r="F31" s="26">
        <v>11</v>
      </c>
      <c r="G31" s="32" t="s">
        <v>108</v>
      </c>
      <c r="H31" s="26">
        <v>21</v>
      </c>
      <c r="I31" s="26">
        <v>190</v>
      </c>
      <c r="J31" s="27" t="s">
        <v>97</v>
      </c>
      <c r="K31" s="26">
        <v>155</v>
      </c>
      <c r="L31" s="26">
        <v>240</v>
      </c>
      <c r="M31" s="26" t="s">
        <v>71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x14ac:dyDescent="0.3">
      <c r="A32" s="26" t="s">
        <v>94</v>
      </c>
      <c r="B32" s="26" t="s">
        <v>112</v>
      </c>
      <c r="C32" s="26" t="s">
        <v>9</v>
      </c>
      <c r="D32" s="26" t="s">
        <v>18</v>
      </c>
      <c r="E32" s="31">
        <v>104.85</v>
      </c>
      <c r="F32" s="26">
        <v>12</v>
      </c>
      <c r="G32" s="32" t="s">
        <v>113</v>
      </c>
      <c r="H32" s="26">
        <v>15</v>
      </c>
      <c r="I32" s="26">
        <v>220</v>
      </c>
      <c r="J32" s="27" t="s">
        <v>114</v>
      </c>
      <c r="K32" s="26">
        <v>155</v>
      </c>
      <c r="L32" s="26">
        <v>240</v>
      </c>
      <c r="M32" s="26" t="s">
        <v>71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4:28" x14ac:dyDescent="0.3">
      <c r="N33" s="29"/>
      <c r="U33" s="28"/>
      <c r="V33" s="29"/>
      <c r="Z33" s="30"/>
      <c r="AA33" s="37"/>
      <c r="AB33"/>
    </row>
    <row r="34" spans="14:28" x14ac:dyDescent="0.3">
      <c r="N34" s="29"/>
      <c r="U34" s="28"/>
      <c r="V34" s="29"/>
      <c r="Z34" s="30"/>
      <c r="AA34" s="37"/>
      <c r="AB34"/>
    </row>
    <row r="35" spans="14:28" x14ac:dyDescent="0.3">
      <c r="N35" s="29"/>
      <c r="U35" s="28"/>
      <c r="V35" s="29"/>
      <c r="Z35" s="30"/>
      <c r="AA35" s="37"/>
      <c r="AB35"/>
    </row>
    <row r="36" spans="14:28" x14ac:dyDescent="0.3">
      <c r="N36" s="29"/>
      <c r="U36" s="28"/>
      <c r="V36" s="29"/>
      <c r="Z36" s="30"/>
      <c r="AA36" s="37"/>
      <c r="AB36"/>
    </row>
    <row r="37" spans="14:28" x14ac:dyDescent="0.3">
      <c r="N37" s="29"/>
      <c r="U37" s="28"/>
      <c r="V37" s="29"/>
      <c r="Z37" s="30"/>
      <c r="AA37" s="37"/>
      <c r="AB37"/>
    </row>
    <row r="38" spans="14:28" x14ac:dyDescent="0.3">
      <c r="N38" s="29"/>
      <c r="U38" s="28"/>
      <c r="V38" s="29"/>
      <c r="Z38" s="30"/>
      <c r="AA38" s="37"/>
      <c r="AB38"/>
    </row>
    <row r="39" spans="14:28" x14ac:dyDescent="0.3">
      <c r="N39" s="29"/>
      <c r="U39" s="28"/>
      <c r="V39" s="29"/>
      <c r="Z39" s="30"/>
      <c r="AA39" s="37"/>
      <c r="AB39"/>
    </row>
    <row r="40" spans="14:28" x14ac:dyDescent="0.3">
      <c r="N40" s="29"/>
      <c r="U40" s="28"/>
      <c r="V40" s="29"/>
      <c r="Z40" s="30"/>
      <c r="AA40" s="37"/>
      <c r="AB40"/>
    </row>
    <row r="41" spans="14:28" x14ac:dyDescent="0.3">
      <c r="N41" s="29"/>
      <c r="U41" s="28"/>
      <c r="V41" s="29"/>
      <c r="Z41" s="30"/>
      <c r="AA41" s="37"/>
      <c r="AB41"/>
    </row>
    <row r="42" spans="14:28" x14ac:dyDescent="0.3">
      <c r="N42" s="29"/>
      <c r="U42" s="28"/>
      <c r="V42" s="29"/>
      <c r="Z42" s="30"/>
      <c r="AA42" s="37"/>
      <c r="AB42"/>
    </row>
    <row r="43" spans="14:28" x14ac:dyDescent="0.3">
      <c r="N43" s="29"/>
      <c r="U43" s="28"/>
      <c r="V43" s="29"/>
      <c r="Z43" s="30"/>
      <c r="AA43" s="37"/>
      <c r="AB43"/>
    </row>
    <row r="44" spans="14:28" x14ac:dyDescent="0.3">
      <c r="N44" s="29"/>
      <c r="U44" s="28"/>
      <c r="V44" s="29"/>
      <c r="Z44" s="30"/>
      <c r="AA44" s="37"/>
      <c r="AB44"/>
    </row>
    <row r="45" spans="14:28" x14ac:dyDescent="0.3">
      <c r="N45" s="29"/>
      <c r="U45" s="28"/>
      <c r="V45" s="29"/>
      <c r="Z45" s="30"/>
      <c r="AA45" s="37"/>
      <c r="AB45"/>
    </row>
    <row r="46" spans="14:28" x14ac:dyDescent="0.3">
      <c r="N46" s="29"/>
      <c r="U46" s="28"/>
      <c r="V46" s="29"/>
      <c r="Z46" s="30"/>
      <c r="AA46" s="37"/>
      <c r="AB46"/>
    </row>
    <row r="47" spans="14:28" x14ac:dyDescent="0.3">
      <c r="N47" s="29"/>
      <c r="U47" s="28"/>
      <c r="V47" s="29"/>
      <c r="Z47" s="30"/>
      <c r="AA47" s="37"/>
      <c r="AB47"/>
    </row>
    <row r="48" spans="14:28" x14ac:dyDescent="0.3">
      <c r="N48" s="29"/>
      <c r="U48" s="28"/>
      <c r="V48" s="29"/>
      <c r="Z48" s="30"/>
      <c r="AA48" s="37"/>
      <c r="AB48"/>
    </row>
    <row r="49" spans="14:28" x14ac:dyDescent="0.3">
      <c r="N49" s="29"/>
      <c r="U49" s="28"/>
      <c r="V49" s="29"/>
      <c r="Z49" s="30"/>
      <c r="AA49" s="37"/>
      <c r="AB49"/>
    </row>
    <row r="50" spans="14:28" x14ac:dyDescent="0.3">
      <c r="N50" s="29"/>
      <c r="U50" s="28"/>
      <c r="V50" s="29"/>
      <c r="Z50" s="30"/>
      <c r="AA50" s="37"/>
      <c r="AB50"/>
    </row>
    <row r="51" spans="14:28" x14ac:dyDescent="0.3">
      <c r="N51" s="29"/>
      <c r="U51" s="28"/>
      <c r="V51" s="29"/>
      <c r="Z51" s="30"/>
      <c r="AA51" s="37"/>
      <c r="AB51"/>
    </row>
    <row r="52" spans="14:28" x14ac:dyDescent="0.3">
      <c r="N52" s="29"/>
      <c r="U52" s="28"/>
      <c r="V52" s="29"/>
      <c r="Z52" s="30"/>
      <c r="AA52" s="37"/>
      <c r="AB52"/>
    </row>
    <row r="53" spans="14:28" x14ac:dyDescent="0.3">
      <c r="N53" s="29"/>
      <c r="U53" s="28"/>
      <c r="V53" s="29"/>
      <c r="Z53" s="30"/>
      <c r="AA53" s="37"/>
      <c r="AB53"/>
    </row>
    <row r="54" spans="14:28" x14ac:dyDescent="0.3">
      <c r="N54" s="29"/>
      <c r="U54" s="28"/>
      <c r="V54" s="29"/>
      <c r="Z54" s="30"/>
      <c r="AA54" s="37"/>
      <c r="AB54"/>
    </row>
    <row r="55" spans="14:28" x14ac:dyDescent="0.3">
      <c r="N55" s="29"/>
      <c r="U55" s="28"/>
      <c r="V55" s="29"/>
      <c r="Z55" s="30"/>
      <c r="AA55" s="37"/>
      <c r="AB55"/>
    </row>
    <row r="56" spans="14:28" x14ac:dyDescent="0.3">
      <c r="N56" s="29"/>
      <c r="U56" s="28"/>
      <c r="V56" s="29"/>
      <c r="Z56" s="30"/>
      <c r="AA56" s="37"/>
      <c r="AB56"/>
    </row>
    <row r="57" spans="14:28" x14ac:dyDescent="0.3">
      <c r="N57" s="29"/>
      <c r="U57" s="28"/>
      <c r="V57" s="29"/>
      <c r="Z57" s="30"/>
      <c r="AA57" s="37"/>
      <c r="AB57"/>
    </row>
    <row r="58" spans="14:28" x14ac:dyDescent="0.3">
      <c r="N58" s="29"/>
      <c r="U58" s="28"/>
      <c r="V58" s="29"/>
      <c r="Z58" s="30"/>
      <c r="AA58" s="37"/>
      <c r="AB58"/>
    </row>
    <row r="59" spans="14:28" x14ac:dyDescent="0.3">
      <c r="N59" s="29"/>
      <c r="U59" s="28"/>
      <c r="V59" s="29"/>
      <c r="Z59" s="30"/>
      <c r="AA59" s="37"/>
      <c r="AB59"/>
    </row>
    <row r="60" spans="14:28" x14ac:dyDescent="0.3">
      <c r="N60" s="29"/>
      <c r="U60" s="28"/>
      <c r="V60" s="29"/>
      <c r="Z60" s="30"/>
      <c r="AA60" s="37"/>
      <c r="AB60"/>
    </row>
    <row r="61" spans="14:28" x14ac:dyDescent="0.3">
      <c r="N61" s="29"/>
      <c r="U61" s="28"/>
      <c r="V61" s="29"/>
      <c r="Z61" s="30"/>
      <c r="AA61" s="37"/>
      <c r="AB61"/>
    </row>
    <row r="62" spans="14:28" x14ac:dyDescent="0.3">
      <c r="N62" s="29"/>
      <c r="U62" s="28"/>
      <c r="V62" s="29"/>
      <c r="Z62" s="30"/>
      <c r="AA62" s="37"/>
      <c r="AB62"/>
    </row>
    <row r="63" spans="14:28" x14ac:dyDescent="0.3">
      <c r="N63" s="29"/>
      <c r="U63" s="28"/>
      <c r="V63" s="29"/>
      <c r="Z63" s="30"/>
      <c r="AA63" s="37"/>
      <c r="AB63"/>
    </row>
    <row r="64" spans="14:28" x14ac:dyDescent="0.3">
      <c r="N64" s="29"/>
      <c r="U64" s="28"/>
      <c r="V64" s="29"/>
      <c r="Z64" s="30"/>
      <c r="AA64" s="37"/>
      <c r="AB64"/>
    </row>
    <row r="65" spans="14:28" x14ac:dyDescent="0.3">
      <c r="N65" s="29"/>
      <c r="U65" s="28"/>
      <c r="V65" s="29"/>
      <c r="Z65" s="30"/>
      <c r="AA65" s="37"/>
      <c r="AB65"/>
    </row>
    <row r="66" spans="14:28" x14ac:dyDescent="0.3">
      <c r="N66" s="29"/>
      <c r="U66" s="28"/>
      <c r="V66" s="29"/>
      <c r="Z66" s="30"/>
      <c r="AA66" s="37"/>
      <c r="AB66"/>
    </row>
    <row r="67" spans="14:28" x14ac:dyDescent="0.3">
      <c r="N67" s="29"/>
      <c r="U67" s="28"/>
      <c r="V67" s="29"/>
      <c r="Z67" s="30"/>
      <c r="AA67" s="37"/>
      <c r="AB67"/>
    </row>
    <row r="68" spans="14:28" x14ac:dyDescent="0.3">
      <c r="N68" s="29"/>
      <c r="U68" s="28"/>
      <c r="V68" s="29"/>
      <c r="Z68" s="30"/>
      <c r="AA68" s="37"/>
      <c r="AB68"/>
    </row>
    <row r="69" spans="14:28" x14ac:dyDescent="0.3">
      <c r="N69" s="29"/>
      <c r="U69" s="28"/>
      <c r="V69" s="29"/>
      <c r="Z69" s="30"/>
      <c r="AA69" s="37"/>
      <c r="AB69"/>
    </row>
    <row r="70" spans="14:28" x14ac:dyDescent="0.3">
      <c r="N70" s="29"/>
      <c r="U70" s="28"/>
      <c r="V70" s="29"/>
      <c r="Z70" s="30"/>
      <c r="AA70" s="37"/>
      <c r="AB70"/>
    </row>
    <row r="71" spans="14:28" x14ac:dyDescent="0.3">
      <c r="N71" s="29"/>
      <c r="U71" s="28"/>
      <c r="V71" s="29"/>
      <c r="Z71" s="30"/>
      <c r="AA71" s="37"/>
      <c r="AB71"/>
    </row>
    <row r="72" spans="14:28" x14ac:dyDescent="0.3">
      <c r="N72" s="29"/>
      <c r="U72" s="28"/>
      <c r="V72" s="29"/>
      <c r="Z72" s="30"/>
      <c r="AA72" s="37"/>
      <c r="AB72"/>
    </row>
    <row r="73" spans="14:28" x14ac:dyDescent="0.3">
      <c r="N73" s="29"/>
      <c r="U73" s="28"/>
      <c r="V73" s="29"/>
      <c r="Z73" s="30"/>
      <c r="AA73" s="37"/>
      <c r="AB73"/>
    </row>
    <row r="74" spans="14:28" x14ac:dyDescent="0.3">
      <c r="N74" s="29"/>
      <c r="U74" s="28"/>
      <c r="V74" s="29"/>
      <c r="Z74" s="30"/>
      <c r="AA74" s="37"/>
      <c r="AB74"/>
    </row>
    <row r="75" spans="14:28" x14ac:dyDescent="0.3">
      <c r="N75" s="29"/>
      <c r="U75" s="28"/>
      <c r="V75" s="29"/>
      <c r="Z75" s="30"/>
      <c r="AA75" s="37"/>
      <c r="AB75"/>
    </row>
    <row r="76" spans="14:28" x14ac:dyDescent="0.3">
      <c r="N76" s="29"/>
      <c r="U76" s="28"/>
      <c r="V76" s="29"/>
      <c r="Z76" s="30"/>
      <c r="AA76" s="37"/>
      <c r="AB76"/>
    </row>
    <row r="77" spans="14:28" x14ac:dyDescent="0.3">
      <c r="N77" s="29"/>
      <c r="U77" s="28"/>
      <c r="V77" s="29"/>
      <c r="Z77" s="30"/>
      <c r="AA77" s="37"/>
      <c r="AB77"/>
    </row>
    <row r="78" spans="14:28" x14ac:dyDescent="0.3">
      <c r="N78" s="29"/>
      <c r="U78" s="28"/>
      <c r="V78" s="29"/>
      <c r="Z78" s="30"/>
      <c r="AA78" s="37"/>
      <c r="AB78"/>
    </row>
    <row r="79" spans="14:28" x14ac:dyDescent="0.3">
      <c r="N79" s="29"/>
      <c r="U79" s="28"/>
      <c r="V79" s="29"/>
      <c r="Z79" s="30"/>
      <c r="AA79" s="37"/>
      <c r="AB79"/>
    </row>
    <row r="80" spans="14:28" x14ac:dyDescent="0.3">
      <c r="N80" s="29"/>
      <c r="U80" s="28"/>
      <c r="V80" s="29"/>
      <c r="Z80" s="30"/>
      <c r="AA80" s="37"/>
      <c r="AB80"/>
    </row>
    <row r="81" spans="14:28" x14ac:dyDescent="0.3">
      <c r="N81" s="29"/>
      <c r="U81" s="28"/>
      <c r="V81" s="29"/>
      <c r="Z81" s="30"/>
      <c r="AA81" s="37"/>
      <c r="AB81"/>
    </row>
    <row r="82" spans="14:28" x14ac:dyDescent="0.3">
      <c r="N82" s="29"/>
      <c r="U82" s="28"/>
      <c r="V82" s="29"/>
      <c r="Z82" s="30"/>
      <c r="AA82" s="37"/>
      <c r="AB82"/>
    </row>
    <row r="83" spans="14:28" x14ac:dyDescent="0.3">
      <c r="N83" s="29"/>
      <c r="U83" s="28"/>
      <c r="V83" s="29"/>
      <c r="Z83" s="30"/>
      <c r="AA83" s="37"/>
      <c r="AB83"/>
    </row>
    <row r="84" spans="14:28" x14ac:dyDescent="0.3">
      <c r="N84" s="29"/>
      <c r="U84" s="28"/>
      <c r="V84" s="29"/>
      <c r="Z84" s="30"/>
      <c r="AA84" s="37"/>
      <c r="AB84"/>
    </row>
    <row r="85" spans="14:28" x14ac:dyDescent="0.3">
      <c r="N85" s="29"/>
      <c r="U85" s="28"/>
      <c r="V85" s="29"/>
      <c r="Z85" s="30"/>
      <c r="AA85" s="37"/>
      <c r="AB85"/>
    </row>
    <row r="86" spans="14:28" x14ac:dyDescent="0.3">
      <c r="N86" s="29"/>
      <c r="U86" s="28"/>
      <c r="V86" s="29"/>
      <c r="Z86" s="30"/>
      <c r="AA86" s="37"/>
      <c r="AB86"/>
    </row>
    <row r="87" spans="14:28" x14ac:dyDescent="0.3">
      <c r="N87" s="29"/>
      <c r="U87" s="28"/>
      <c r="V87" s="29"/>
      <c r="Z87" s="30"/>
      <c r="AA87" s="37"/>
      <c r="AB87"/>
    </row>
    <row r="88" spans="14:28" x14ac:dyDescent="0.3">
      <c r="N88" s="29"/>
      <c r="U88" s="28"/>
      <c r="V88" s="29"/>
      <c r="Z88" s="30"/>
      <c r="AA88" s="37"/>
      <c r="AB88"/>
    </row>
    <row r="89" spans="14:28" x14ac:dyDescent="0.3">
      <c r="N89" s="29"/>
      <c r="U89" s="28"/>
      <c r="V89" s="29"/>
      <c r="Z89" s="30"/>
      <c r="AA89" s="37"/>
      <c r="AB89"/>
    </row>
    <row r="90" spans="14:28" x14ac:dyDescent="0.3">
      <c r="N90" s="29"/>
      <c r="U90" s="28"/>
      <c r="V90" s="29"/>
      <c r="Z90" s="30"/>
      <c r="AA90" s="37"/>
      <c r="AB90"/>
    </row>
    <row r="91" spans="14:28" x14ac:dyDescent="0.3">
      <c r="N91" s="29"/>
      <c r="U91" s="28"/>
      <c r="V91" s="29"/>
      <c r="Z91" s="30"/>
      <c r="AA91" s="37"/>
      <c r="AB91"/>
    </row>
    <row r="92" spans="14:28" x14ac:dyDescent="0.3">
      <c r="N92" s="29"/>
      <c r="U92" s="28"/>
      <c r="V92" s="29"/>
      <c r="Z92" s="30"/>
      <c r="AA92" s="37"/>
      <c r="AB92"/>
    </row>
    <row r="93" spans="14:28" x14ac:dyDescent="0.3">
      <c r="N93" s="29"/>
      <c r="U93" s="28"/>
      <c r="V93" s="29"/>
      <c r="Z93" s="30"/>
      <c r="AA93" s="37"/>
      <c r="AB93"/>
    </row>
    <row r="94" spans="14:28" x14ac:dyDescent="0.3">
      <c r="N94" s="29"/>
      <c r="U94" s="28"/>
      <c r="V94" s="29"/>
      <c r="Z94" s="30"/>
      <c r="AA94" s="37"/>
      <c r="AB94"/>
    </row>
    <row r="95" spans="14:28" x14ac:dyDescent="0.3">
      <c r="N95" s="29"/>
      <c r="U95" s="28"/>
      <c r="V95" s="29"/>
      <c r="Z95" s="30"/>
      <c r="AA95" s="37"/>
      <c r="AB95"/>
    </row>
    <row r="96" spans="14:28" x14ac:dyDescent="0.3">
      <c r="N96" s="29"/>
      <c r="U96" s="28"/>
      <c r="V96" s="29"/>
      <c r="Z96" s="30"/>
      <c r="AA96" s="37"/>
      <c r="AB96"/>
    </row>
    <row r="97" spans="14:28" x14ac:dyDescent="0.3">
      <c r="N97" s="29"/>
      <c r="U97" s="28"/>
      <c r="V97" s="29"/>
      <c r="Z97" s="30"/>
      <c r="AA97" s="37"/>
      <c r="AB97"/>
    </row>
    <row r="98" spans="14:28" x14ac:dyDescent="0.3">
      <c r="N98" s="29"/>
      <c r="U98" s="28"/>
      <c r="V98" s="29"/>
      <c r="Z98" s="30"/>
      <c r="AA98" s="37"/>
      <c r="AB98"/>
    </row>
    <row r="99" spans="14:28" x14ac:dyDescent="0.3">
      <c r="N99" s="29"/>
      <c r="U99" s="28"/>
      <c r="V99" s="29"/>
      <c r="Z99" s="30"/>
      <c r="AA99" s="37"/>
      <c r="AB99"/>
    </row>
    <row r="100" spans="14:28" x14ac:dyDescent="0.3">
      <c r="N100" s="29"/>
      <c r="U100" s="28"/>
      <c r="V100" s="29"/>
      <c r="Z100" s="30"/>
      <c r="AA100" s="37"/>
      <c r="AB100"/>
    </row>
  </sheetData>
  <sortState ref="A3:M32">
    <sortCondition ref="A3"/>
    <sortCondition ref="F3"/>
  </sortState>
  <conditionalFormatting sqref="A2:M65352">
    <cfRule type="expression" dxfId="1" priority="1" stopIfTrue="1">
      <formula>AND(ROW(A2)=$Z$1,COLUMN(A2)=$Z$2)</formula>
    </cfRule>
    <cfRule type="expression" dxfId="0" priority="2" stopIfTrue="1">
      <formula>OR(AND(ROW(A2)=$Z$1,COLUMN(A2)&lt;$Z$2),AND(ROW(A2)&lt;$Z$1,COLUMN(A2)=$Z$2))</formula>
    </cfRule>
  </conditionalFormatting>
  <dataValidations count="9">
    <dataValidation allowBlank="1" showInputMessage="1" showErrorMessage="1" prompt="Ange höjden på formen höjd/safety. T.ex. 7/6_x000a__x000a_Lägg till ett a för avlyft. T.ex. 9/7a" sqref="J3:J1048576" xr:uid="{00000000-0002-0000-0100-000000000000}"/>
    <dataValidation allowBlank="1" showInputMessage="1" showErrorMessage="1" prompt="Lägg till ett i för infällt. T.ex. 13i" sqref="H3:H1048576" xr:uid="{00000000-0002-0000-0100-000001000000}"/>
    <dataValidation type="list" allowBlank="1" showInputMessage="1" showErrorMessage="1" prompt="1st Character must be M or F to designate male/female to compute Wilks Coef.  Examples:  _x000a_M-O = open male_x000a_F-M1 = female master" sqref="D3:D1048576" xr:uid="{00000000-0002-0000-0100-000002000000}">
      <formula1>INDIRECT($R$2)</formula1>
    </dataValidation>
    <dataValidation type="list" allowBlank="1" showInputMessage="1" showErrorMessage="1" sqref="C3:C65352" xr:uid="{00000000-0002-0000-0100-000003000000}">
      <formula1>INDIRECT($S$2)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I3:I65352 K3:L65352" xr:uid="{00000000-0002-0000-0100-000004000000}">
      <formula1>MOD(I3,2.5)=0</formula1>
    </dataValidation>
    <dataValidation type="list" allowBlank="1" showInputMessage="1" showErrorMessage="1" sqref="A3:A65352" xr:uid="{00000000-0002-0000-0100-000005000000}">
      <formula1>"A,B,C,D,E,F,G,H"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352" xr:uid="{00000000-0002-0000-0100-000006000000}"/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1:N65352" xr:uid="{00000000-0002-0000-0100-000007000000}"/>
    <dataValidation type="decimal" errorStyle="warning" allowBlank="1" showInputMessage="1" showErrorMessage="1" errorTitle="Invalid data" error="Make sure to use the correct decimal mark, point (.) or comma (,), based on your regional settings." sqref="E1:E1048576" xr:uid="{00000000-0002-0000-0100-000008000000}">
      <formula1>1</formula1>
      <formula2>1000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41"/>
  <sheetViews>
    <sheetView showGridLines="0" workbookViewId="0">
      <selection sqref="A1:B1"/>
    </sheetView>
  </sheetViews>
  <sheetFormatPr defaultRowHeight="21" x14ac:dyDescent="0.4"/>
  <cols>
    <col min="1" max="1" width="7.109375" style="41" bestFit="1" customWidth="1"/>
    <col min="2" max="2" width="35.33203125" style="43" customWidth="1"/>
    <col min="3" max="3" width="34.6640625" style="42" customWidth="1"/>
  </cols>
  <sheetData>
    <row r="1" spans="1:4" s="38" customFormat="1" x14ac:dyDescent="0.4">
      <c r="A1" s="100" t="s">
        <v>137</v>
      </c>
      <c r="B1" s="100"/>
      <c r="C1" s="39"/>
    </row>
    <row r="2" spans="1:4" s="38" customFormat="1" x14ac:dyDescent="0.4">
      <c r="A2" s="101" t="s">
        <v>134</v>
      </c>
      <c r="B2" s="101"/>
      <c r="C2" s="40" t="s">
        <v>135</v>
      </c>
    </row>
    <row r="3" spans="1:4" x14ac:dyDescent="0.4">
      <c r="A3" s="47" t="s">
        <v>130</v>
      </c>
      <c r="B3" s="48" t="s">
        <v>124</v>
      </c>
      <c r="C3" s="49" t="s">
        <v>126</v>
      </c>
    </row>
    <row r="4" spans="1:4" x14ac:dyDescent="0.4">
      <c r="A4" s="45">
        <v>1</v>
      </c>
      <c r="B4" s="46" t="s">
        <v>51</v>
      </c>
      <c r="C4" s="44" t="s">
        <v>12</v>
      </c>
    </row>
    <row r="5" spans="1:4" x14ac:dyDescent="0.4">
      <c r="A5" s="45">
        <v>2</v>
      </c>
      <c r="B5" s="46" t="s">
        <v>55</v>
      </c>
      <c r="C5" s="44" t="s">
        <v>12</v>
      </c>
    </row>
    <row r="6" spans="1:4" x14ac:dyDescent="0.4">
      <c r="A6" s="45">
        <v>3</v>
      </c>
      <c r="B6" s="46" t="s">
        <v>64</v>
      </c>
      <c r="C6" s="44" t="s">
        <v>12</v>
      </c>
    </row>
    <row r="7" spans="1:4" x14ac:dyDescent="0.4">
      <c r="A7" s="45">
        <v>4</v>
      </c>
      <c r="B7" s="46" t="s">
        <v>61</v>
      </c>
      <c r="C7" s="44" t="s">
        <v>29</v>
      </c>
    </row>
    <row r="8" spans="1:4" x14ac:dyDescent="0.4">
      <c r="A8" s="45">
        <v>5</v>
      </c>
      <c r="B8" s="46" t="s">
        <v>46</v>
      </c>
      <c r="C8" s="44" t="s">
        <v>4</v>
      </c>
    </row>
    <row r="9" spans="1:4" x14ac:dyDescent="0.4">
      <c r="A9" s="45">
        <v>6</v>
      </c>
      <c r="B9" s="46" t="s">
        <v>53</v>
      </c>
      <c r="C9" s="44" t="s">
        <v>12</v>
      </c>
    </row>
    <row r="10" spans="1:4" x14ac:dyDescent="0.4">
      <c r="A10" s="45">
        <v>7</v>
      </c>
      <c r="B10" s="46" t="s">
        <v>49</v>
      </c>
      <c r="C10" s="44" t="s">
        <v>29</v>
      </c>
    </row>
    <row r="11" spans="1:4" x14ac:dyDescent="0.4">
      <c r="A11" s="45">
        <v>8</v>
      </c>
      <c r="B11" s="46" t="s">
        <v>58</v>
      </c>
      <c r="C11" s="44" t="s">
        <v>25</v>
      </c>
    </row>
    <row r="12" spans="1:4" ht="14.4" x14ac:dyDescent="0.3">
      <c r="A12"/>
      <c r="B12"/>
      <c r="C12"/>
    </row>
    <row r="13" spans="1:4" x14ac:dyDescent="0.4">
      <c r="A13" s="100" t="s">
        <v>136</v>
      </c>
      <c r="B13" s="100"/>
      <c r="C13" s="39"/>
      <c r="D13" s="38"/>
    </row>
    <row r="14" spans="1:4" x14ac:dyDescent="0.4">
      <c r="A14" s="101" t="s">
        <v>134</v>
      </c>
      <c r="B14" s="101"/>
      <c r="C14" s="40" t="s">
        <v>135</v>
      </c>
      <c r="D14" s="38"/>
    </row>
    <row r="15" spans="1:4" x14ac:dyDescent="0.4">
      <c r="A15" s="47" t="s">
        <v>130</v>
      </c>
      <c r="B15" s="48" t="s">
        <v>124</v>
      </c>
      <c r="C15" s="49" t="s">
        <v>126</v>
      </c>
    </row>
    <row r="16" spans="1:4" x14ac:dyDescent="0.4">
      <c r="A16" s="45">
        <v>1</v>
      </c>
      <c r="B16" s="46" t="s">
        <v>72</v>
      </c>
      <c r="C16" s="44" t="s">
        <v>12</v>
      </c>
    </row>
    <row r="17" spans="1:4" x14ac:dyDescent="0.4">
      <c r="A17" s="45">
        <v>2</v>
      </c>
      <c r="B17" s="46" t="s">
        <v>78</v>
      </c>
      <c r="C17" s="44" t="s">
        <v>10</v>
      </c>
    </row>
    <row r="18" spans="1:4" x14ac:dyDescent="0.4">
      <c r="A18" s="45">
        <v>3</v>
      </c>
      <c r="B18" s="46" t="s">
        <v>68</v>
      </c>
      <c r="C18" s="44" t="s">
        <v>12</v>
      </c>
    </row>
    <row r="19" spans="1:4" x14ac:dyDescent="0.4">
      <c r="A19" s="45">
        <v>4</v>
      </c>
      <c r="B19" s="46" t="s">
        <v>86</v>
      </c>
      <c r="C19" s="44" t="s">
        <v>25</v>
      </c>
    </row>
    <row r="20" spans="1:4" x14ac:dyDescent="0.4">
      <c r="A20" s="45">
        <v>5</v>
      </c>
      <c r="B20" s="46" t="s">
        <v>76</v>
      </c>
      <c r="C20" s="44" t="s">
        <v>25</v>
      </c>
    </row>
    <row r="21" spans="1:4" x14ac:dyDescent="0.4">
      <c r="A21" s="45">
        <v>6</v>
      </c>
      <c r="B21" s="46" t="s">
        <v>80</v>
      </c>
      <c r="C21" s="44" t="s">
        <v>12</v>
      </c>
    </row>
    <row r="22" spans="1:4" x14ac:dyDescent="0.4">
      <c r="A22" s="45">
        <v>7</v>
      </c>
      <c r="B22" s="46" t="s">
        <v>83</v>
      </c>
      <c r="C22" s="44" t="s">
        <v>12</v>
      </c>
    </row>
    <row r="23" spans="1:4" x14ac:dyDescent="0.4">
      <c r="A23" s="45">
        <v>8</v>
      </c>
      <c r="B23" s="46" t="s">
        <v>92</v>
      </c>
      <c r="C23" s="44" t="s">
        <v>25</v>
      </c>
    </row>
    <row r="24" spans="1:4" x14ac:dyDescent="0.4">
      <c r="A24" s="45">
        <v>9</v>
      </c>
      <c r="B24" s="46" t="s">
        <v>88</v>
      </c>
      <c r="C24" s="44" t="s">
        <v>12</v>
      </c>
    </row>
    <row r="25" spans="1:4" x14ac:dyDescent="0.4">
      <c r="A25" s="45">
        <v>10</v>
      </c>
      <c r="B25" s="46" t="s">
        <v>73</v>
      </c>
      <c r="C25" s="44" t="s">
        <v>10</v>
      </c>
    </row>
    <row r="26" spans="1:4" ht="14.4" x14ac:dyDescent="0.3">
      <c r="A26"/>
      <c r="B26"/>
      <c r="C26"/>
    </row>
    <row r="27" spans="1:4" x14ac:dyDescent="0.4">
      <c r="A27" s="100" t="s">
        <v>138</v>
      </c>
      <c r="B27" s="100"/>
      <c r="C27" s="39"/>
      <c r="D27" s="38"/>
    </row>
    <row r="28" spans="1:4" x14ac:dyDescent="0.4">
      <c r="A28" s="101" t="s">
        <v>134</v>
      </c>
      <c r="B28" s="101"/>
      <c r="C28" s="40" t="s">
        <v>135</v>
      </c>
      <c r="D28" s="38"/>
    </row>
    <row r="29" spans="1:4" x14ac:dyDescent="0.4">
      <c r="A29" s="47" t="s">
        <v>130</v>
      </c>
      <c r="B29" s="48" t="s">
        <v>124</v>
      </c>
      <c r="C29" s="49" t="s">
        <v>126</v>
      </c>
    </row>
    <row r="30" spans="1:4" x14ac:dyDescent="0.4">
      <c r="A30" s="45">
        <v>1</v>
      </c>
      <c r="B30" s="46" t="s">
        <v>95</v>
      </c>
      <c r="C30" s="44" t="s">
        <v>12</v>
      </c>
    </row>
    <row r="31" spans="1:4" x14ac:dyDescent="0.4">
      <c r="A31" s="45">
        <v>2</v>
      </c>
      <c r="B31" s="46" t="s">
        <v>110</v>
      </c>
      <c r="C31" s="44" t="s">
        <v>10</v>
      </c>
    </row>
    <row r="32" spans="1:4" x14ac:dyDescent="0.4">
      <c r="A32" s="45">
        <v>3</v>
      </c>
      <c r="B32" s="46" t="s">
        <v>105</v>
      </c>
      <c r="C32" s="44" t="s">
        <v>12</v>
      </c>
    </row>
    <row r="33" spans="1:3" x14ac:dyDescent="0.4">
      <c r="A33" s="45">
        <v>4</v>
      </c>
      <c r="B33" s="46" t="s">
        <v>120</v>
      </c>
      <c r="C33" s="44" t="s">
        <v>25</v>
      </c>
    </row>
    <row r="34" spans="1:3" x14ac:dyDescent="0.4">
      <c r="A34" s="45">
        <v>5</v>
      </c>
      <c r="B34" s="46" t="s">
        <v>115</v>
      </c>
      <c r="C34" s="44" t="s">
        <v>12</v>
      </c>
    </row>
    <row r="35" spans="1:3" x14ac:dyDescent="0.4">
      <c r="A35" s="45">
        <v>6</v>
      </c>
      <c r="B35" s="46" t="s">
        <v>122</v>
      </c>
      <c r="C35" s="44" t="s">
        <v>12</v>
      </c>
    </row>
    <row r="36" spans="1:3" x14ac:dyDescent="0.4">
      <c r="A36" s="45">
        <v>7</v>
      </c>
      <c r="B36" s="46" t="s">
        <v>98</v>
      </c>
      <c r="C36" s="44" t="s">
        <v>10</v>
      </c>
    </row>
    <row r="37" spans="1:3" x14ac:dyDescent="0.4">
      <c r="A37" s="45">
        <v>8</v>
      </c>
      <c r="B37" s="46" t="s">
        <v>117</v>
      </c>
      <c r="C37" s="44" t="s">
        <v>12</v>
      </c>
    </row>
    <row r="38" spans="1:3" x14ac:dyDescent="0.4">
      <c r="A38" s="45">
        <v>9</v>
      </c>
      <c r="B38" s="46" t="s">
        <v>101</v>
      </c>
      <c r="C38" s="44" t="s">
        <v>12</v>
      </c>
    </row>
    <row r="39" spans="1:3" x14ac:dyDescent="0.4">
      <c r="A39" s="45">
        <v>10</v>
      </c>
      <c r="B39" s="46" t="s">
        <v>103</v>
      </c>
      <c r="C39" s="44" t="s">
        <v>25</v>
      </c>
    </row>
    <row r="40" spans="1:3" x14ac:dyDescent="0.4">
      <c r="A40" s="45">
        <v>11</v>
      </c>
      <c r="B40" s="46" t="s">
        <v>107</v>
      </c>
      <c r="C40" s="44" t="s">
        <v>12</v>
      </c>
    </row>
    <row r="41" spans="1:3" x14ac:dyDescent="0.4">
      <c r="A41" s="45">
        <v>12</v>
      </c>
      <c r="B41" s="46" t="s">
        <v>112</v>
      </c>
      <c r="C41" s="44" t="s">
        <v>10</v>
      </c>
    </row>
  </sheetData>
  <sortState ref="A4:D41">
    <sortCondition ref="A4"/>
    <sortCondition ref="D4"/>
  </sortState>
  <mergeCells count="6">
    <mergeCell ref="A28:B28"/>
    <mergeCell ref="A13:B13"/>
    <mergeCell ref="A14:B14"/>
    <mergeCell ref="A1:B1"/>
    <mergeCell ref="A2:B2"/>
    <mergeCell ref="A27:B27"/>
  </mergeCells>
  <pageMargins left="0.7" right="0.7" top="0.75" bottom="0.75" header="0.3" footer="0.3"/>
  <pageSetup paperSize="9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F291"/>
  <sheetViews>
    <sheetView showGridLines="0" workbookViewId="0">
      <selection sqref="A1:D1"/>
    </sheetView>
  </sheetViews>
  <sheetFormatPr defaultRowHeight="14.4" x14ac:dyDescent="0.3"/>
  <cols>
    <col min="1" max="6" width="13.6640625" customWidth="1"/>
    <col min="244" max="244" width="12.6640625" customWidth="1"/>
    <col min="245" max="250" width="10.6640625" customWidth="1"/>
    <col min="251" max="251" width="32.6640625" customWidth="1"/>
    <col min="252" max="252" width="10.6640625" customWidth="1"/>
    <col min="500" max="500" width="12.6640625" customWidth="1"/>
    <col min="501" max="506" width="10.6640625" customWidth="1"/>
    <col min="507" max="507" width="32.6640625" customWidth="1"/>
    <col min="508" max="508" width="10.6640625" customWidth="1"/>
    <col min="756" max="756" width="12.6640625" customWidth="1"/>
    <col min="757" max="762" width="10.6640625" customWidth="1"/>
    <col min="763" max="763" width="32.6640625" customWidth="1"/>
    <col min="764" max="764" width="10.6640625" customWidth="1"/>
    <col min="1012" max="1012" width="12.6640625" customWidth="1"/>
    <col min="1013" max="1018" width="10.6640625" customWidth="1"/>
    <col min="1019" max="1019" width="32.6640625" customWidth="1"/>
    <col min="1020" max="1020" width="10.6640625" customWidth="1"/>
    <col min="1268" max="1268" width="12.6640625" customWidth="1"/>
    <col min="1269" max="1274" width="10.6640625" customWidth="1"/>
    <col min="1275" max="1275" width="32.6640625" customWidth="1"/>
    <col min="1276" max="1276" width="10.6640625" customWidth="1"/>
    <col min="1524" max="1524" width="12.6640625" customWidth="1"/>
    <col min="1525" max="1530" width="10.6640625" customWidth="1"/>
    <col min="1531" max="1531" width="32.6640625" customWidth="1"/>
    <col min="1532" max="1532" width="10.6640625" customWidth="1"/>
    <col min="1780" max="1780" width="12.6640625" customWidth="1"/>
    <col min="1781" max="1786" width="10.6640625" customWidth="1"/>
    <col min="1787" max="1787" width="32.6640625" customWidth="1"/>
    <col min="1788" max="1788" width="10.6640625" customWidth="1"/>
    <col min="2036" max="2036" width="12.6640625" customWidth="1"/>
    <col min="2037" max="2042" width="10.6640625" customWidth="1"/>
    <col min="2043" max="2043" width="32.6640625" customWidth="1"/>
    <col min="2044" max="2044" width="10.6640625" customWidth="1"/>
    <col min="2292" max="2292" width="12.6640625" customWidth="1"/>
    <col min="2293" max="2298" width="10.6640625" customWidth="1"/>
    <col min="2299" max="2299" width="32.6640625" customWidth="1"/>
    <col min="2300" max="2300" width="10.6640625" customWidth="1"/>
    <col min="2548" max="2548" width="12.6640625" customWidth="1"/>
    <col min="2549" max="2554" width="10.6640625" customWidth="1"/>
    <col min="2555" max="2555" width="32.6640625" customWidth="1"/>
    <col min="2556" max="2556" width="10.6640625" customWidth="1"/>
    <col min="2804" max="2804" width="12.6640625" customWidth="1"/>
    <col min="2805" max="2810" width="10.6640625" customWidth="1"/>
    <col min="2811" max="2811" width="32.6640625" customWidth="1"/>
    <col min="2812" max="2812" width="10.6640625" customWidth="1"/>
    <col min="3060" max="3060" width="12.6640625" customWidth="1"/>
    <col min="3061" max="3066" width="10.6640625" customWidth="1"/>
    <col min="3067" max="3067" width="32.6640625" customWidth="1"/>
    <col min="3068" max="3068" width="10.6640625" customWidth="1"/>
    <col min="3316" max="3316" width="12.6640625" customWidth="1"/>
    <col min="3317" max="3322" width="10.6640625" customWidth="1"/>
    <col min="3323" max="3323" width="32.6640625" customWidth="1"/>
    <col min="3324" max="3324" width="10.6640625" customWidth="1"/>
    <col min="3572" max="3572" width="12.6640625" customWidth="1"/>
    <col min="3573" max="3578" width="10.6640625" customWidth="1"/>
    <col min="3579" max="3579" width="32.6640625" customWidth="1"/>
    <col min="3580" max="3580" width="10.6640625" customWidth="1"/>
    <col min="3828" max="3828" width="12.6640625" customWidth="1"/>
    <col min="3829" max="3834" width="10.6640625" customWidth="1"/>
    <col min="3835" max="3835" width="32.6640625" customWidth="1"/>
    <col min="3836" max="3836" width="10.6640625" customWidth="1"/>
    <col min="4084" max="4084" width="12.6640625" customWidth="1"/>
    <col min="4085" max="4090" width="10.6640625" customWidth="1"/>
    <col min="4091" max="4091" width="32.6640625" customWidth="1"/>
    <col min="4092" max="4092" width="10.6640625" customWidth="1"/>
    <col min="4340" max="4340" width="12.6640625" customWidth="1"/>
    <col min="4341" max="4346" width="10.6640625" customWidth="1"/>
    <col min="4347" max="4347" width="32.6640625" customWidth="1"/>
    <col min="4348" max="4348" width="10.6640625" customWidth="1"/>
    <col min="4596" max="4596" width="12.6640625" customWidth="1"/>
    <col min="4597" max="4602" width="10.6640625" customWidth="1"/>
    <col min="4603" max="4603" width="32.6640625" customWidth="1"/>
    <col min="4604" max="4604" width="10.6640625" customWidth="1"/>
    <col min="4852" max="4852" width="12.6640625" customWidth="1"/>
    <col min="4853" max="4858" width="10.6640625" customWidth="1"/>
    <col min="4859" max="4859" width="32.6640625" customWidth="1"/>
    <col min="4860" max="4860" width="10.6640625" customWidth="1"/>
    <col min="5108" max="5108" width="12.6640625" customWidth="1"/>
    <col min="5109" max="5114" width="10.6640625" customWidth="1"/>
    <col min="5115" max="5115" width="32.6640625" customWidth="1"/>
    <col min="5116" max="5116" width="10.6640625" customWidth="1"/>
    <col min="5364" max="5364" width="12.6640625" customWidth="1"/>
    <col min="5365" max="5370" width="10.6640625" customWidth="1"/>
    <col min="5371" max="5371" width="32.6640625" customWidth="1"/>
    <col min="5372" max="5372" width="10.6640625" customWidth="1"/>
    <col min="5620" max="5620" width="12.6640625" customWidth="1"/>
    <col min="5621" max="5626" width="10.6640625" customWidth="1"/>
    <col min="5627" max="5627" width="32.6640625" customWidth="1"/>
    <col min="5628" max="5628" width="10.6640625" customWidth="1"/>
    <col min="5876" max="5876" width="12.6640625" customWidth="1"/>
    <col min="5877" max="5882" width="10.6640625" customWidth="1"/>
    <col min="5883" max="5883" width="32.6640625" customWidth="1"/>
    <col min="5884" max="5884" width="10.6640625" customWidth="1"/>
    <col min="6132" max="6132" width="12.6640625" customWidth="1"/>
    <col min="6133" max="6138" width="10.6640625" customWidth="1"/>
    <col min="6139" max="6139" width="32.6640625" customWidth="1"/>
    <col min="6140" max="6140" width="10.6640625" customWidth="1"/>
    <col min="6388" max="6388" width="12.6640625" customWidth="1"/>
    <col min="6389" max="6394" width="10.6640625" customWidth="1"/>
    <col min="6395" max="6395" width="32.6640625" customWidth="1"/>
    <col min="6396" max="6396" width="10.6640625" customWidth="1"/>
    <col min="6644" max="6644" width="12.6640625" customWidth="1"/>
    <col min="6645" max="6650" width="10.6640625" customWidth="1"/>
    <col min="6651" max="6651" width="32.6640625" customWidth="1"/>
    <col min="6652" max="6652" width="10.6640625" customWidth="1"/>
    <col min="6900" max="6900" width="12.6640625" customWidth="1"/>
    <col min="6901" max="6906" width="10.6640625" customWidth="1"/>
    <col min="6907" max="6907" width="32.6640625" customWidth="1"/>
    <col min="6908" max="6908" width="10.6640625" customWidth="1"/>
    <col min="7156" max="7156" width="12.6640625" customWidth="1"/>
    <col min="7157" max="7162" width="10.6640625" customWidth="1"/>
    <col min="7163" max="7163" width="32.6640625" customWidth="1"/>
    <col min="7164" max="7164" width="10.6640625" customWidth="1"/>
    <col min="7412" max="7412" width="12.6640625" customWidth="1"/>
    <col min="7413" max="7418" width="10.6640625" customWidth="1"/>
    <col min="7419" max="7419" width="32.6640625" customWidth="1"/>
    <col min="7420" max="7420" width="10.6640625" customWidth="1"/>
    <col min="7668" max="7668" width="12.6640625" customWidth="1"/>
    <col min="7669" max="7674" width="10.6640625" customWidth="1"/>
    <col min="7675" max="7675" width="32.6640625" customWidth="1"/>
    <col min="7676" max="7676" width="10.6640625" customWidth="1"/>
    <col min="7924" max="7924" width="12.6640625" customWidth="1"/>
    <col min="7925" max="7930" width="10.6640625" customWidth="1"/>
    <col min="7931" max="7931" width="32.6640625" customWidth="1"/>
    <col min="7932" max="7932" width="10.6640625" customWidth="1"/>
    <col min="8180" max="8180" width="12.6640625" customWidth="1"/>
    <col min="8181" max="8186" width="10.6640625" customWidth="1"/>
    <col min="8187" max="8187" width="32.6640625" customWidth="1"/>
    <col min="8188" max="8188" width="10.6640625" customWidth="1"/>
    <col min="8436" max="8436" width="12.6640625" customWidth="1"/>
    <col min="8437" max="8442" width="10.6640625" customWidth="1"/>
    <col min="8443" max="8443" width="32.6640625" customWidth="1"/>
    <col min="8444" max="8444" width="10.6640625" customWidth="1"/>
    <col min="8692" max="8692" width="12.6640625" customWidth="1"/>
    <col min="8693" max="8698" width="10.6640625" customWidth="1"/>
    <col min="8699" max="8699" width="32.6640625" customWidth="1"/>
    <col min="8700" max="8700" width="10.6640625" customWidth="1"/>
    <col min="8948" max="8948" width="12.6640625" customWidth="1"/>
    <col min="8949" max="8954" width="10.6640625" customWidth="1"/>
    <col min="8955" max="8955" width="32.6640625" customWidth="1"/>
    <col min="8956" max="8956" width="10.6640625" customWidth="1"/>
    <col min="9204" max="9204" width="12.6640625" customWidth="1"/>
    <col min="9205" max="9210" width="10.6640625" customWidth="1"/>
    <col min="9211" max="9211" width="32.6640625" customWidth="1"/>
    <col min="9212" max="9212" width="10.6640625" customWidth="1"/>
    <col min="9460" max="9460" width="12.6640625" customWidth="1"/>
    <col min="9461" max="9466" width="10.6640625" customWidth="1"/>
    <col min="9467" max="9467" width="32.6640625" customWidth="1"/>
    <col min="9468" max="9468" width="10.6640625" customWidth="1"/>
    <col min="9716" max="9716" width="12.6640625" customWidth="1"/>
    <col min="9717" max="9722" width="10.6640625" customWidth="1"/>
    <col min="9723" max="9723" width="32.6640625" customWidth="1"/>
    <col min="9724" max="9724" width="10.6640625" customWidth="1"/>
    <col min="9972" max="9972" width="12.6640625" customWidth="1"/>
    <col min="9973" max="9978" width="10.6640625" customWidth="1"/>
    <col min="9979" max="9979" width="32.6640625" customWidth="1"/>
    <col min="9980" max="9980" width="10.6640625" customWidth="1"/>
    <col min="10228" max="10228" width="12.6640625" customWidth="1"/>
    <col min="10229" max="10234" width="10.6640625" customWidth="1"/>
    <col min="10235" max="10235" width="32.6640625" customWidth="1"/>
    <col min="10236" max="10236" width="10.6640625" customWidth="1"/>
    <col min="10484" max="10484" width="12.6640625" customWidth="1"/>
    <col min="10485" max="10490" width="10.6640625" customWidth="1"/>
    <col min="10491" max="10491" width="32.6640625" customWidth="1"/>
    <col min="10492" max="10492" width="10.6640625" customWidth="1"/>
    <col min="10740" max="10740" width="12.6640625" customWidth="1"/>
    <col min="10741" max="10746" width="10.6640625" customWidth="1"/>
    <col min="10747" max="10747" width="32.6640625" customWidth="1"/>
    <col min="10748" max="10748" width="10.6640625" customWidth="1"/>
    <col min="10996" max="10996" width="12.6640625" customWidth="1"/>
    <col min="10997" max="11002" width="10.6640625" customWidth="1"/>
    <col min="11003" max="11003" width="32.6640625" customWidth="1"/>
    <col min="11004" max="11004" width="10.6640625" customWidth="1"/>
    <col min="11252" max="11252" width="12.6640625" customWidth="1"/>
    <col min="11253" max="11258" width="10.6640625" customWidth="1"/>
    <col min="11259" max="11259" width="32.6640625" customWidth="1"/>
    <col min="11260" max="11260" width="10.6640625" customWidth="1"/>
    <col min="11508" max="11508" width="12.6640625" customWidth="1"/>
    <col min="11509" max="11514" width="10.6640625" customWidth="1"/>
    <col min="11515" max="11515" width="32.6640625" customWidth="1"/>
    <col min="11516" max="11516" width="10.6640625" customWidth="1"/>
    <col min="11764" max="11764" width="12.6640625" customWidth="1"/>
    <col min="11765" max="11770" width="10.6640625" customWidth="1"/>
    <col min="11771" max="11771" width="32.6640625" customWidth="1"/>
    <col min="11772" max="11772" width="10.6640625" customWidth="1"/>
    <col min="12020" max="12020" width="12.6640625" customWidth="1"/>
    <col min="12021" max="12026" width="10.6640625" customWidth="1"/>
    <col min="12027" max="12027" width="32.6640625" customWidth="1"/>
    <col min="12028" max="12028" width="10.6640625" customWidth="1"/>
    <col min="12276" max="12276" width="12.6640625" customWidth="1"/>
    <col min="12277" max="12282" width="10.6640625" customWidth="1"/>
    <col min="12283" max="12283" width="32.6640625" customWidth="1"/>
    <col min="12284" max="12284" width="10.6640625" customWidth="1"/>
    <col min="12532" max="12532" width="12.6640625" customWidth="1"/>
    <col min="12533" max="12538" width="10.6640625" customWidth="1"/>
    <col min="12539" max="12539" width="32.6640625" customWidth="1"/>
    <col min="12540" max="12540" width="10.6640625" customWidth="1"/>
    <col min="12788" max="12788" width="12.6640625" customWidth="1"/>
    <col min="12789" max="12794" width="10.6640625" customWidth="1"/>
    <col min="12795" max="12795" width="32.6640625" customWidth="1"/>
    <col min="12796" max="12796" width="10.6640625" customWidth="1"/>
    <col min="13044" max="13044" width="12.6640625" customWidth="1"/>
    <col min="13045" max="13050" width="10.6640625" customWidth="1"/>
    <col min="13051" max="13051" width="32.6640625" customWidth="1"/>
    <col min="13052" max="13052" width="10.6640625" customWidth="1"/>
    <col min="13300" max="13300" width="12.6640625" customWidth="1"/>
    <col min="13301" max="13306" width="10.6640625" customWidth="1"/>
    <col min="13307" max="13307" width="32.6640625" customWidth="1"/>
    <col min="13308" max="13308" width="10.6640625" customWidth="1"/>
    <col min="13556" max="13556" width="12.6640625" customWidth="1"/>
    <col min="13557" max="13562" width="10.6640625" customWidth="1"/>
    <col min="13563" max="13563" width="32.6640625" customWidth="1"/>
    <col min="13564" max="13564" width="10.6640625" customWidth="1"/>
    <col min="13812" max="13812" width="12.6640625" customWidth="1"/>
    <col min="13813" max="13818" width="10.6640625" customWidth="1"/>
    <col min="13819" max="13819" width="32.6640625" customWidth="1"/>
    <col min="13820" max="13820" width="10.6640625" customWidth="1"/>
    <col min="14068" max="14068" width="12.6640625" customWidth="1"/>
    <col min="14069" max="14074" width="10.6640625" customWidth="1"/>
    <col min="14075" max="14075" width="32.6640625" customWidth="1"/>
    <col min="14076" max="14076" width="10.6640625" customWidth="1"/>
    <col min="14324" max="14324" width="12.6640625" customWidth="1"/>
    <col min="14325" max="14330" width="10.6640625" customWidth="1"/>
    <col min="14331" max="14331" width="32.6640625" customWidth="1"/>
    <col min="14332" max="14332" width="10.6640625" customWidth="1"/>
    <col min="14580" max="14580" width="12.6640625" customWidth="1"/>
    <col min="14581" max="14586" width="10.6640625" customWidth="1"/>
    <col min="14587" max="14587" width="32.6640625" customWidth="1"/>
    <col min="14588" max="14588" width="10.6640625" customWidth="1"/>
    <col min="14836" max="14836" width="12.6640625" customWidth="1"/>
    <col min="14837" max="14842" width="10.6640625" customWidth="1"/>
    <col min="14843" max="14843" width="32.6640625" customWidth="1"/>
    <col min="14844" max="14844" width="10.6640625" customWidth="1"/>
    <col min="15092" max="15092" width="12.6640625" customWidth="1"/>
    <col min="15093" max="15098" width="10.6640625" customWidth="1"/>
    <col min="15099" max="15099" width="32.6640625" customWidth="1"/>
    <col min="15100" max="15100" width="10.6640625" customWidth="1"/>
    <col min="15348" max="15348" width="12.6640625" customWidth="1"/>
    <col min="15349" max="15354" width="10.6640625" customWidth="1"/>
    <col min="15355" max="15355" width="32.6640625" customWidth="1"/>
    <col min="15356" max="15356" width="10.6640625" customWidth="1"/>
    <col min="15604" max="15604" width="12.6640625" customWidth="1"/>
    <col min="15605" max="15610" width="10.6640625" customWidth="1"/>
    <col min="15611" max="15611" width="32.6640625" customWidth="1"/>
    <col min="15612" max="15612" width="10.6640625" customWidth="1"/>
    <col min="15860" max="15860" width="12.6640625" customWidth="1"/>
    <col min="15861" max="15866" width="10.6640625" customWidth="1"/>
    <col min="15867" max="15867" width="32.6640625" customWidth="1"/>
    <col min="15868" max="15868" width="10.6640625" customWidth="1"/>
    <col min="16116" max="16116" width="12.6640625" customWidth="1"/>
    <col min="16117" max="16122" width="10.6640625" customWidth="1"/>
    <col min="16123" max="16123" width="32.6640625" customWidth="1"/>
    <col min="16124" max="16124" width="10.6640625" customWidth="1"/>
  </cols>
  <sheetData>
    <row r="1" spans="1:6" ht="12" customHeight="1" x14ac:dyDescent="0.3">
      <c r="A1" s="102" t="s">
        <v>124</v>
      </c>
      <c r="B1" s="103"/>
      <c r="C1" s="103"/>
      <c r="D1" s="114"/>
      <c r="E1" s="55" t="s">
        <v>125</v>
      </c>
      <c r="F1" s="55" t="s">
        <v>130</v>
      </c>
    </row>
    <row r="2" spans="1:6" ht="23.1" customHeight="1" thickBot="1" x14ac:dyDescent="0.35">
      <c r="A2" s="108" t="s">
        <v>51</v>
      </c>
      <c r="B2" s="109"/>
      <c r="C2" s="109"/>
      <c r="D2" s="110"/>
      <c r="E2" s="111" t="s">
        <v>45</v>
      </c>
      <c r="F2" s="111">
        <v>1</v>
      </c>
    </row>
    <row r="3" spans="1:6" ht="12" customHeight="1" thickBot="1" x14ac:dyDescent="0.35">
      <c r="A3" s="102" t="s">
        <v>126</v>
      </c>
      <c r="B3" s="103"/>
      <c r="C3" s="103"/>
      <c r="D3" s="114"/>
      <c r="E3" s="112"/>
      <c r="F3" s="112"/>
    </row>
    <row r="4" spans="1:6" ht="23.1" customHeight="1" thickBot="1" x14ac:dyDescent="0.35">
      <c r="A4" s="108" t="s">
        <v>12</v>
      </c>
      <c r="B4" s="109"/>
      <c r="C4" s="109"/>
      <c r="D4" s="110"/>
      <c r="E4" s="113"/>
      <c r="F4" s="113"/>
    </row>
    <row r="5" spans="1:6" ht="12" customHeight="1" thickBot="1" x14ac:dyDescent="0.35">
      <c r="A5" s="55" t="s">
        <v>128</v>
      </c>
      <c r="B5" s="55" t="s">
        <v>129</v>
      </c>
      <c r="C5" s="102" t="s">
        <v>127</v>
      </c>
      <c r="D5" s="103"/>
      <c r="E5" s="104" t="s">
        <v>131</v>
      </c>
      <c r="F5" s="104" t="s">
        <v>132</v>
      </c>
    </row>
    <row r="6" spans="1:6" ht="23.1" customHeight="1" thickBot="1" x14ac:dyDescent="0.35">
      <c r="A6" s="56">
        <v>63.3</v>
      </c>
      <c r="B6" s="56">
        <v>72</v>
      </c>
      <c r="C6" s="106">
        <v>31989</v>
      </c>
      <c r="D6" s="107"/>
      <c r="E6" s="105"/>
      <c r="F6" s="105"/>
    </row>
    <row r="7" spans="1:6" ht="38.1" customHeight="1" thickBot="1" x14ac:dyDescent="0.35">
      <c r="A7" s="57" t="s">
        <v>131</v>
      </c>
      <c r="B7" s="62"/>
      <c r="C7" s="62"/>
      <c r="D7" s="63"/>
      <c r="E7" s="60" t="s">
        <v>142</v>
      </c>
      <c r="F7" s="60" t="s">
        <v>148</v>
      </c>
    </row>
    <row r="8" spans="1:6" ht="38.1" customHeight="1" thickBot="1" x14ac:dyDescent="0.35">
      <c r="A8" s="58" t="s">
        <v>132</v>
      </c>
      <c r="B8" s="62">
        <v>77.5</v>
      </c>
      <c r="C8" s="62"/>
      <c r="D8" s="62"/>
      <c r="E8" s="60" t="s">
        <v>139</v>
      </c>
      <c r="F8" s="60" t="s">
        <v>147</v>
      </c>
    </row>
    <row r="9" spans="1:6" ht="38.1" customHeight="1" thickBot="1" x14ac:dyDescent="0.35">
      <c r="A9" s="59" t="s">
        <v>133</v>
      </c>
      <c r="B9" s="64"/>
      <c r="C9" s="64"/>
      <c r="D9" s="65"/>
      <c r="E9" s="61"/>
      <c r="F9" s="61" t="s">
        <v>140</v>
      </c>
    </row>
    <row r="10" spans="1:6" ht="50.1" customHeight="1" thickBot="1" x14ac:dyDescent="0.35"/>
    <row r="11" spans="1:6" ht="12" customHeight="1" x14ac:dyDescent="0.3">
      <c r="A11" s="102" t="s">
        <v>124</v>
      </c>
      <c r="B11" s="103"/>
      <c r="C11" s="103"/>
      <c r="D11" s="114"/>
      <c r="E11" s="55" t="s">
        <v>125</v>
      </c>
      <c r="F11" s="55" t="s">
        <v>130</v>
      </c>
    </row>
    <row r="12" spans="1:6" ht="23.1" customHeight="1" thickBot="1" x14ac:dyDescent="0.35">
      <c r="A12" s="108" t="s">
        <v>55</v>
      </c>
      <c r="B12" s="109"/>
      <c r="C12" s="109"/>
      <c r="D12" s="110"/>
      <c r="E12" s="111" t="s">
        <v>45</v>
      </c>
      <c r="F12" s="111">
        <v>2</v>
      </c>
    </row>
    <row r="13" spans="1:6" ht="12" customHeight="1" thickBot="1" x14ac:dyDescent="0.35">
      <c r="A13" s="102" t="s">
        <v>126</v>
      </c>
      <c r="B13" s="103"/>
      <c r="C13" s="103"/>
      <c r="D13" s="114"/>
      <c r="E13" s="112"/>
      <c r="F13" s="112"/>
    </row>
    <row r="14" spans="1:6" ht="23.1" customHeight="1" thickBot="1" x14ac:dyDescent="0.35">
      <c r="A14" s="108" t="s">
        <v>12</v>
      </c>
      <c r="B14" s="109"/>
      <c r="C14" s="109"/>
      <c r="D14" s="110"/>
      <c r="E14" s="113"/>
      <c r="F14" s="113"/>
    </row>
    <row r="15" spans="1:6" ht="12" customHeight="1" thickBot="1" x14ac:dyDescent="0.35">
      <c r="A15" s="55" t="s">
        <v>128</v>
      </c>
      <c r="B15" s="55" t="s">
        <v>129</v>
      </c>
      <c r="C15" s="102" t="s">
        <v>127</v>
      </c>
      <c r="D15" s="103"/>
      <c r="E15" s="104" t="s">
        <v>131</v>
      </c>
      <c r="F15" s="104" t="s">
        <v>132</v>
      </c>
    </row>
    <row r="16" spans="1:6" ht="23.1" customHeight="1" thickBot="1" x14ac:dyDescent="0.35">
      <c r="A16" s="56">
        <v>83.85</v>
      </c>
      <c r="B16" s="56">
        <v>84</v>
      </c>
      <c r="C16" s="106" t="s">
        <v>56</v>
      </c>
      <c r="D16" s="107"/>
      <c r="E16" s="105"/>
      <c r="F16" s="105"/>
    </row>
    <row r="17" spans="1:6" ht="38.1" customHeight="1" thickBot="1" x14ac:dyDescent="0.35">
      <c r="A17" s="57" t="s">
        <v>131</v>
      </c>
      <c r="B17" s="62"/>
      <c r="C17" s="62"/>
      <c r="D17" s="63"/>
      <c r="E17" s="60" t="s">
        <v>142</v>
      </c>
      <c r="F17" s="60" t="s">
        <v>143</v>
      </c>
    </row>
    <row r="18" spans="1:6" ht="38.1" customHeight="1" thickBot="1" x14ac:dyDescent="0.35">
      <c r="A18" s="58" t="s">
        <v>132</v>
      </c>
      <c r="B18" s="62">
        <v>85</v>
      </c>
      <c r="C18" s="62"/>
      <c r="D18" s="62"/>
      <c r="E18" s="60" t="s">
        <v>139</v>
      </c>
      <c r="F18" s="60" t="s">
        <v>144</v>
      </c>
    </row>
    <row r="19" spans="1:6" ht="38.1" customHeight="1" thickBot="1" x14ac:dyDescent="0.35">
      <c r="A19" s="59" t="s">
        <v>133</v>
      </c>
      <c r="B19" s="64"/>
      <c r="C19" s="64"/>
      <c r="D19" s="65"/>
      <c r="E19" s="61"/>
      <c r="F19" s="61" t="s">
        <v>140</v>
      </c>
    </row>
    <row r="20" spans="1:6" ht="50.1" customHeight="1" thickBot="1" x14ac:dyDescent="0.35"/>
    <row r="21" spans="1:6" ht="12" customHeight="1" x14ac:dyDescent="0.3">
      <c r="A21" s="102" t="s">
        <v>124</v>
      </c>
      <c r="B21" s="103"/>
      <c r="C21" s="103"/>
      <c r="D21" s="114"/>
      <c r="E21" s="55" t="s">
        <v>125</v>
      </c>
      <c r="F21" s="55" t="s">
        <v>130</v>
      </c>
    </row>
    <row r="22" spans="1:6" ht="23.1" customHeight="1" thickBot="1" x14ac:dyDescent="0.35">
      <c r="A22" s="108" t="s">
        <v>64</v>
      </c>
      <c r="B22" s="109"/>
      <c r="C22" s="109"/>
      <c r="D22" s="110"/>
      <c r="E22" s="111" t="s">
        <v>45</v>
      </c>
      <c r="F22" s="111">
        <v>3</v>
      </c>
    </row>
    <row r="23" spans="1:6" ht="12" customHeight="1" thickBot="1" x14ac:dyDescent="0.35">
      <c r="A23" s="102" t="s">
        <v>126</v>
      </c>
      <c r="B23" s="103"/>
      <c r="C23" s="103"/>
      <c r="D23" s="114"/>
      <c r="E23" s="112"/>
      <c r="F23" s="112"/>
    </row>
    <row r="24" spans="1:6" ht="23.1" customHeight="1" thickBot="1" x14ac:dyDescent="0.35">
      <c r="A24" s="108" t="s">
        <v>12</v>
      </c>
      <c r="B24" s="109"/>
      <c r="C24" s="109"/>
      <c r="D24" s="110"/>
      <c r="E24" s="113"/>
      <c r="F24" s="113"/>
    </row>
    <row r="25" spans="1:6" ht="12" customHeight="1" thickBot="1" x14ac:dyDescent="0.35">
      <c r="A25" s="55" t="s">
        <v>128</v>
      </c>
      <c r="B25" s="55" t="s">
        <v>129</v>
      </c>
      <c r="C25" s="102" t="s">
        <v>127</v>
      </c>
      <c r="D25" s="103"/>
      <c r="E25" s="104" t="s">
        <v>131</v>
      </c>
      <c r="F25" s="104" t="s">
        <v>132</v>
      </c>
    </row>
    <row r="26" spans="1:6" ht="23.1" customHeight="1" thickBot="1" x14ac:dyDescent="0.35">
      <c r="A26" s="56">
        <v>79.7</v>
      </c>
      <c r="B26" s="56">
        <v>83</v>
      </c>
      <c r="C26" s="106" t="s">
        <v>65</v>
      </c>
      <c r="D26" s="107"/>
      <c r="E26" s="105"/>
      <c r="F26" s="105"/>
    </row>
    <row r="27" spans="1:6" ht="38.1" customHeight="1" thickBot="1" x14ac:dyDescent="0.35">
      <c r="A27" s="57" t="s">
        <v>131</v>
      </c>
      <c r="B27" s="62"/>
      <c r="C27" s="62"/>
      <c r="D27" s="63"/>
      <c r="E27" s="60" t="s">
        <v>142</v>
      </c>
      <c r="F27" s="60" t="s">
        <v>145</v>
      </c>
    </row>
    <row r="28" spans="1:6" ht="38.1" customHeight="1" thickBot="1" x14ac:dyDescent="0.35">
      <c r="A28" s="58" t="s">
        <v>132</v>
      </c>
      <c r="B28" s="62">
        <v>115</v>
      </c>
      <c r="C28" s="62"/>
      <c r="D28" s="62"/>
      <c r="E28" s="60" t="s">
        <v>139</v>
      </c>
      <c r="F28" s="60" t="s">
        <v>146</v>
      </c>
    </row>
    <row r="29" spans="1:6" ht="38.1" customHeight="1" thickBot="1" x14ac:dyDescent="0.35">
      <c r="A29" s="59" t="s">
        <v>133</v>
      </c>
      <c r="B29" s="64"/>
      <c r="C29" s="64"/>
      <c r="D29" s="65"/>
      <c r="E29" s="61"/>
      <c r="F29" s="61" t="s">
        <v>140</v>
      </c>
    </row>
    <row r="30" spans="1:6" ht="12" customHeight="1" x14ac:dyDescent="0.3">
      <c r="A30" s="102" t="s">
        <v>124</v>
      </c>
      <c r="B30" s="103"/>
      <c r="C30" s="103"/>
      <c r="D30" s="114"/>
      <c r="E30" s="55" t="s">
        <v>125</v>
      </c>
      <c r="F30" s="55" t="s">
        <v>130</v>
      </c>
    </row>
    <row r="31" spans="1:6" ht="23.1" customHeight="1" thickBot="1" x14ac:dyDescent="0.35">
      <c r="A31" s="108" t="s">
        <v>61</v>
      </c>
      <c r="B31" s="109"/>
      <c r="C31" s="109"/>
      <c r="D31" s="110"/>
      <c r="E31" s="111" t="s">
        <v>45</v>
      </c>
      <c r="F31" s="111">
        <v>4</v>
      </c>
    </row>
    <row r="32" spans="1:6" ht="12" customHeight="1" thickBot="1" x14ac:dyDescent="0.35">
      <c r="A32" s="102" t="s">
        <v>126</v>
      </c>
      <c r="B32" s="103"/>
      <c r="C32" s="103"/>
      <c r="D32" s="114"/>
      <c r="E32" s="112"/>
      <c r="F32" s="112"/>
    </row>
    <row r="33" spans="1:6" ht="23.1" customHeight="1" thickBot="1" x14ac:dyDescent="0.35">
      <c r="A33" s="108" t="s">
        <v>29</v>
      </c>
      <c r="B33" s="109"/>
      <c r="C33" s="109"/>
      <c r="D33" s="110"/>
      <c r="E33" s="113"/>
      <c r="F33" s="113"/>
    </row>
    <row r="34" spans="1:6" ht="12" customHeight="1" thickBot="1" x14ac:dyDescent="0.35">
      <c r="A34" s="55" t="s">
        <v>128</v>
      </c>
      <c r="B34" s="55" t="s">
        <v>129</v>
      </c>
      <c r="C34" s="102" t="s">
        <v>127</v>
      </c>
      <c r="D34" s="103"/>
      <c r="E34" s="104" t="s">
        <v>131</v>
      </c>
      <c r="F34" s="104" t="s">
        <v>132</v>
      </c>
    </row>
    <row r="35" spans="1:6" ht="23.1" customHeight="1" thickBot="1" x14ac:dyDescent="0.35">
      <c r="A35" s="56">
        <v>92.2</v>
      </c>
      <c r="B35" s="56">
        <v>93</v>
      </c>
      <c r="C35" s="106" t="s">
        <v>62</v>
      </c>
      <c r="D35" s="107"/>
      <c r="E35" s="105"/>
      <c r="F35" s="105"/>
    </row>
    <row r="36" spans="1:6" ht="38.1" customHeight="1" thickBot="1" x14ac:dyDescent="0.35">
      <c r="A36" s="57" t="s">
        <v>131</v>
      </c>
      <c r="B36" s="62"/>
      <c r="C36" s="62"/>
      <c r="D36" s="63"/>
      <c r="E36" s="60" t="s">
        <v>142</v>
      </c>
      <c r="F36" s="60" t="s">
        <v>145</v>
      </c>
    </row>
    <row r="37" spans="1:6" ht="38.1" customHeight="1" thickBot="1" x14ac:dyDescent="0.35">
      <c r="A37" s="58" t="s">
        <v>132</v>
      </c>
      <c r="B37" s="62">
        <v>130</v>
      </c>
      <c r="C37" s="62"/>
      <c r="D37" s="62"/>
      <c r="E37" s="60" t="s">
        <v>139</v>
      </c>
      <c r="F37" s="60" t="s">
        <v>147</v>
      </c>
    </row>
    <row r="38" spans="1:6" ht="38.1" customHeight="1" thickBot="1" x14ac:dyDescent="0.35">
      <c r="A38" s="59" t="s">
        <v>133</v>
      </c>
      <c r="B38" s="64"/>
      <c r="C38" s="64"/>
      <c r="D38" s="65"/>
      <c r="E38" s="61"/>
      <c r="F38" s="61" t="s">
        <v>140</v>
      </c>
    </row>
    <row r="39" spans="1:6" ht="50.1" customHeight="1" thickBot="1" x14ac:dyDescent="0.35"/>
    <row r="40" spans="1:6" ht="12" customHeight="1" x14ac:dyDescent="0.3">
      <c r="A40" s="102" t="s">
        <v>124</v>
      </c>
      <c r="B40" s="103"/>
      <c r="C40" s="103"/>
      <c r="D40" s="114"/>
      <c r="E40" s="55" t="s">
        <v>125</v>
      </c>
      <c r="F40" s="55" t="s">
        <v>130</v>
      </c>
    </row>
    <row r="41" spans="1:6" ht="23.1" customHeight="1" thickBot="1" x14ac:dyDescent="0.35">
      <c r="A41" s="108" t="s">
        <v>46</v>
      </c>
      <c r="B41" s="109"/>
      <c r="C41" s="109"/>
      <c r="D41" s="110"/>
      <c r="E41" s="111" t="s">
        <v>45</v>
      </c>
      <c r="F41" s="111">
        <v>5</v>
      </c>
    </row>
    <row r="42" spans="1:6" ht="12" customHeight="1" thickBot="1" x14ac:dyDescent="0.35">
      <c r="A42" s="102" t="s">
        <v>126</v>
      </c>
      <c r="B42" s="103"/>
      <c r="C42" s="103"/>
      <c r="D42" s="114"/>
      <c r="E42" s="112"/>
      <c r="F42" s="112"/>
    </row>
    <row r="43" spans="1:6" ht="23.1" customHeight="1" thickBot="1" x14ac:dyDescent="0.35">
      <c r="A43" s="108" t="s">
        <v>4</v>
      </c>
      <c r="B43" s="109"/>
      <c r="C43" s="109"/>
      <c r="D43" s="110"/>
      <c r="E43" s="113"/>
      <c r="F43" s="113"/>
    </row>
    <row r="44" spans="1:6" ht="12" customHeight="1" thickBot="1" x14ac:dyDescent="0.35">
      <c r="A44" s="55" t="s">
        <v>128</v>
      </c>
      <c r="B44" s="55" t="s">
        <v>129</v>
      </c>
      <c r="C44" s="102" t="s">
        <v>127</v>
      </c>
      <c r="D44" s="103"/>
      <c r="E44" s="104" t="s">
        <v>131</v>
      </c>
      <c r="F44" s="104" t="s">
        <v>132</v>
      </c>
    </row>
    <row r="45" spans="1:6" ht="23.1" customHeight="1" thickBot="1" x14ac:dyDescent="0.35">
      <c r="A45" s="56">
        <v>78.849999999999994</v>
      </c>
      <c r="B45" s="56">
        <v>84</v>
      </c>
      <c r="C45" s="106">
        <v>34974</v>
      </c>
      <c r="D45" s="107"/>
      <c r="E45" s="105"/>
      <c r="F45" s="105"/>
    </row>
    <row r="46" spans="1:6" ht="38.1" customHeight="1" thickBot="1" x14ac:dyDescent="0.35">
      <c r="A46" s="57" t="s">
        <v>131</v>
      </c>
      <c r="B46" s="62"/>
      <c r="C46" s="62"/>
      <c r="D46" s="63"/>
      <c r="E46" s="60" t="s">
        <v>142</v>
      </c>
      <c r="F46" s="60" t="s">
        <v>148</v>
      </c>
    </row>
    <row r="47" spans="1:6" ht="38.1" customHeight="1" thickBot="1" x14ac:dyDescent="0.35">
      <c r="A47" s="58" t="s">
        <v>132</v>
      </c>
      <c r="B47" s="62">
        <v>85</v>
      </c>
      <c r="C47" s="62"/>
      <c r="D47" s="62"/>
      <c r="E47" s="60" t="s">
        <v>139</v>
      </c>
      <c r="F47" s="60" t="s">
        <v>144</v>
      </c>
    </row>
    <row r="48" spans="1:6" ht="38.1" customHeight="1" thickBot="1" x14ac:dyDescent="0.35">
      <c r="A48" s="59" t="s">
        <v>133</v>
      </c>
      <c r="B48" s="64"/>
      <c r="C48" s="64"/>
      <c r="D48" s="65"/>
      <c r="E48" s="61"/>
      <c r="F48" s="61" t="s">
        <v>140</v>
      </c>
    </row>
    <row r="49" spans="1:6" ht="50.1" customHeight="1" thickBot="1" x14ac:dyDescent="0.35"/>
    <row r="50" spans="1:6" ht="12" customHeight="1" x14ac:dyDescent="0.3">
      <c r="A50" s="102" t="s">
        <v>124</v>
      </c>
      <c r="B50" s="103"/>
      <c r="C50" s="103"/>
      <c r="D50" s="114"/>
      <c r="E50" s="55" t="s">
        <v>125</v>
      </c>
      <c r="F50" s="55" t="s">
        <v>130</v>
      </c>
    </row>
    <row r="51" spans="1:6" ht="23.1" customHeight="1" thickBot="1" x14ac:dyDescent="0.35">
      <c r="A51" s="108" t="s">
        <v>53</v>
      </c>
      <c r="B51" s="109"/>
      <c r="C51" s="109"/>
      <c r="D51" s="110"/>
      <c r="E51" s="111" t="s">
        <v>45</v>
      </c>
      <c r="F51" s="111">
        <v>6</v>
      </c>
    </row>
    <row r="52" spans="1:6" ht="12" customHeight="1" thickBot="1" x14ac:dyDescent="0.35">
      <c r="A52" s="102" t="s">
        <v>126</v>
      </c>
      <c r="B52" s="103"/>
      <c r="C52" s="103"/>
      <c r="D52" s="114"/>
      <c r="E52" s="112"/>
      <c r="F52" s="112"/>
    </row>
    <row r="53" spans="1:6" ht="23.1" customHeight="1" thickBot="1" x14ac:dyDescent="0.35">
      <c r="A53" s="108" t="s">
        <v>12</v>
      </c>
      <c r="B53" s="109"/>
      <c r="C53" s="109"/>
      <c r="D53" s="110"/>
      <c r="E53" s="113"/>
      <c r="F53" s="113"/>
    </row>
    <row r="54" spans="1:6" ht="12" customHeight="1" thickBot="1" x14ac:dyDescent="0.35">
      <c r="A54" s="55" t="s">
        <v>128</v>
      </c>
      <c r="B54" s="55" t="s">
        <v>129</v>
      </c>
      <c r="C54" s="102" t="s">
        <v>127</v>
      </c>
      <c r="D54" s="103"/>
      <c r="E54" s="104" t="s">
        <v>131</v>
      </c>
      <c r="F54" s="104" t="s">
        <v>132</v>
      </c>
    </row>
    <row r="55" spans="1:6" ht="23.1" customHeight="1" thickBot="1" x14ac:dyDescent="0.35">
      <c r="A55" s="56">
        <v>85.4</v>
      </c>
      <c r="B55" s="56" t="s">
        <v>149</v>
      </c>
      <c r="C55" s="106">
        <v>31780</v>
      </c>
      <c r="D55" s="107"/>
      <c r="E55" s="105"/>
      <c r="F55" s="105"/>
    </row>
    <row r="56" spans="1:6" ht="38.1" customHeight="1" thickBot="1" x14ac:dyDescent="0.35">
      <c r="A56" s="57" t="s">
        <v>131</v>
      </c>
      <c r="B56" s="62"/>
      <c r="C56" s="62"/>
      <c r="D56" s="63"/>
      <c r="E56" s="60" t="s">
        <v>142</v>
      </c>
      <c r="F56" s="60" t="s">
        <v>150</v>
      </c>
    </row>
    <row r="57" spans="1:6" ht="38.1" customHeight="1" thickBot="1" x14ac:dyDescent="0.35">
      <c r="A57" s="58" t="s">
        <v>132</v>
      </c>
      <c r="B57" s="62">
        <v>60</v>
      </c>
      <c r="C57" s="62"/>
      <c r="D57" s="62"/>
      <c r="E57" s="60" t="s">
        <v>139</v>
      </c>
      <c r="F57" s="60" t="s">
        <v>144</v>
      </c>
    </row>
    <row r="58" spans="1:6" ht="38.1" customHeight="1" thickBot="1" x14ac:dyDescent="0.35">
      <c r="A58" s="59" t="s">
        <v>133</v>
      </c>
      <c r="B58" s="64"/>
      <c r="C58" s="64"/>
      <c r="D58" s="65"/>
      <c r="E58" s="61"/>
      <c r="F58" s="61" t="s">
        <v>140</v>
      </c>
    </row>
    <row r="59" spans="1:6" ht="12" customHeight="1" x14ac:dyDescent="0.3">
      <c r="A59" s="102" t="s">
        <v>124</v>
      </c>
      <c r="B59" s="103"/>
      <c r="C59" s="103"/>
      <c r="D59" s="114"/>
      <c r="E59" s="55" t="s">
        <v>125</v>
      </c>
      <c r="F59" s="55" t="s">
        <v>130</v>
      </c>
    </row>
    <row r="60" spans="1:6" ht="23.1" customHeight="1" thickBot="1" x14ac:dyDescent="0.35">
      <c r="A60" s="108" t="s">
        <v>49</v>
      </c>
      <c r="B60" s="109"/>
      <c r="C60" s="109"/>
      <c r="D60" s="110"/>
      <c r="E60" s="111" t="s">
        <v>45</v>
      </c>
      <c r="F60" s="111">
        <v>7</v>
      </c>
    </row>
    <row r="61" spans="1:6" ht="12" customHeight="1" thickBot="1" x14ac:dyDescent="0.35">
      <c r="A61" s="102" t="s">
        <v>126</v>
      </c>
      <c r="B61" s="103"/>
      <c r="C61" s="103"/>
      <c r="D61" s="114"/>
      <c r="E61" s="112"/>
      <c r="F61" s="112"/>
    </row>
    <row r="62" spans="1:6" ht="23.1" customHeight="1" thickBot="1" x14ac:dyDescent="0.35">
      <c r="A62" s="108" t="s">
        <v>29</v>
      </c>
      <c r="B62" s="109"/>
      <c r="C62" s="109"/>
      <c r="D62" s="110"/>
      <c r="E62" s="113"/>
      <c r="F62" s="113"/>
    </row>
    <row r="63" spans="1:6" ht="12" customHeight="1" thickBot="1" x14ac:dyDescent="0.35">
      <c r="A63" s="55" t="s">
        <v>128</v>
      </c>
      <c r="B63" s="55" t="s">
        <v>129</v>
      </c>
      <c r="C63" s="102" t="s">
        <v>127</v>
      </c>
      <c r="D63" s="103"/>
      <c r="E63" s="104" t="s">
        <v>131</v>
      </c>
      <c r="F63" s="104" t="s">
        <v>132</v>
      </c>
    </row>
    <row r="64" spans="1:6" ht="23.1" customHeight="1" thickBot="1" x14ac:dyDescent="0.35">
      <c r="A64" s="56">
        <v>79.150000000000006</v>
      </c>
      <c r="B64" s="56">
        <v>84</v>
      </c>
      <c r="C64" s="106">
        <v>33618</v>
      </c>
      <c r="D64" s="107"/>
      <c r="E64" s="105"/>
      <c r="F64" s="105"/>
    </row>
    <row r="65" spans="1:6" ht="38.1" customHeight="1" thickBot="1" x14ac:dyDescent="0.35">
      <c r="A65" s="57" t="s">
        <v>131</v>
      </c>
      <c r="B65" s="62"/>
      <c r="C65" s="62"/>
      <c r="D65" s="63"/>
      <c r="E65" s="60" t="s">
        <v>142</v>
      </c>
      <c r="F65" s="60" t="s">
        <v>150</v>
      </c>
    </row>
    <row r="66" spans="1:6" ht="38.1" customHeight="1" thickBot="1" x14ac:dyDescent="0.35">
      <c r="A66" s="58" t="s">
        <v>132</v>
      </c>
      <c r="B66" s="62">
        <v>85</v>
      </c>
      <c r="C66" s="62"/>
      <c r="D66" s="62"/>
      <c r="E66" s="60" t="s">
        <v>139</v>
      </c>
      <c r="F66" s="60" t="s">
        <v>147</v>
      </c>
    </row>
    <row r="67" spans="1:6" ht="38.1" customHeight="1" thickBot="1" x14ac:dyDescent="0.35">
      <c r="A67" s="59" t="s">
        <v>133</v>
      </c>
      <c r="B67" s="64"/>
      <c r="C67" s="64"/>
      <c r="D67" s="65"/>
      <c r="E67" s="61"/>
      <c r="F67" s="61" t="s">
        <v>140</v>
      </c>
    </row>
    <row r="68" spans="1:6" ht="50.1" customHeight="1" thickBot="1" x14ac:dyDescent="0.35"/>
    <row r="69" spans="1:6" ht="12" customHeight="1" x14ac:dyDescent="0.3">
      <c r="A69" s="102" t="s">
        <v>124</v>
      </c>
      <c r="B69" s="103"/>
      <c r="C69" s="103"/>
      <c r="D69" s="114"/>
      <c r="E69" s="55" t="s">
        <v>125</v>
      </c>
      <c r="F69" s="55" t="s">
        <v>130</v>
      </c>
    </row>
    <row r="70" spans="1:6" ht="23.1" customHeight="1" thickBot="1" x14ac:dyDescent="0.35">
      <c r="A70" s="108" t="s">
        <v>58</v>
      </c>
      <c r="B70" s="109"/>
      <c r="C70" s="109"/>
      <c r="D70" s="110"/>
      <c r="E70" s="111" t="s">
        <v>45</v>
      </c>
      <c r="F70" s="111">
        <v>8</v>
      </c>
    </row>
    <row r="71" spans="1:6" ht="12" customHeight="1" thickBot="1" x14ac:dyDescent="0.35">
      <c r="A71" s="102" t="s">
        <v>126</v>
      </c>
      <c r="B71" s="103"/>
      <c r="C71" s="103"/>
      <c r="D71" s="114"/>
      <c r="E71" s="112"/>
      <c r="F71" s="112"/>
    </row>
    <row r="72" spans="1:6" ht="23.1" customHeight="1" thickBot="1" x14ac:dyDescent="0.35">
      <c r="A72" s="108" t="s">
        <v>25</v>
      </c>
      <c r="B72" s="109"/>
      <c r="C72" s="109"/>
      <c r="D72" s="110"/>
      <c r="E72" s="113"/>
      <c r="F72" s="113"/>
    </row>
    <row r="73" spans="1:6" ht="12" customHeight="1" thickBot="1" x14ac:dyDescent="0.35">
      <c r="A73" s="55" t="s">
        <v>128</v>
      </c>
      <c r="B73" s="55" t="s">
        <v>129</v>
      </c>
      <c r="C73" s="102" t="s">
        <v>127</v>
      </c>
      <c r="D73" s="103"/>
      <c r="E73" s="104" t="s">
        <v>131</v>
      </c>
      <c r="F73" s="104" t="s">
        <v>132</v>
      </c>
    </row>
    <row r="74" spans="1:6" ht="23.1" customHeight="1" thickBot="1" x14ac:dyDescent="0.35">
      <c r="A74" s="56">
        <v>62.35</v>
      </c>
      <c r="B74" s="56">
        <v>63</v>
      </c>
      <c r="C74" s="106" t="s">
        <v>59</v>
      </c>
      <c r="D74" s="107"/>
      <c r="E74" s="105"/>
      <c r="F74" s="105"/>
    </row>
    <row r="75" spans="1:6" ht="38.1" customHeight="1" thickBot="1" x14ac:dyDescent="0.35">
      <c r="A75" s="57" t="s">
        <v>131</v>
      </c>
      <c r="B75" s="62"/>
      <c r="C75" s="62"/>
      <c r="D75" s="63"/>
      <c r="E75" s="60" t="s">
        <v>142</v>
      </c>
      <c r="F75" s="60" t="s">
        <v>151</v>
      </c>
    </row>
    <row r="76" spans="1:6" ht="38.1" customHeight="1" thickBot="1" x14ac:dyDescent="0.35">
      <c r="A76" s="58" t="s">
        <v>132</v>
      </c>
      <c r="B76" s="62">
        <v>47.5</v>
      </c>
      <c r="C76" s="62"/>
      <c r="D76" s="62"/>
      <c r="E76" s="60" t="s">
        <v>139</v>
      </c>
      <c r="F76" s="60" t="s">
        <v>152</v>
      </c>
    </row>
    <row r="77" spans="1:6" ht="38.1" customHeight="1" thickBot="1" x14ac:dyDescent="0.35">
      <c r="A77" s="59" t="s">
        <v>133</v>
      </c>
      <c r="B77" s="64"/>
      <c r="C77" s="64"/>
      <c r="D77" s="65"/>
      <c r="E77" s="61"/>
      <c r="F77" s="61" t="s">
        <v>153</v>
      </c>
    </row>
    <row r="78" spans="1:6" ht="50.1" customHeight="1" thickBot="1" x14ac:dyDescent="0.35"/>
    <row r="79" spans="1:6" ht="12" customHeight="1" x14ac:dyDescent="0.3">
      <c r="A79" s="102" t="s">
        <v>124</v>
      </c>
      <c r="B79" s="103"/>
      <c r="C79" s="103"/>
      <c r="D79" s="114"/>
      <c r="E79" s="55" t="s">
        <v>125</v>
      </c>
      <c r="F79" s="55" t="s">
        <v>130</v>
      </c>
    </row>
    <row r="80" spans="1:6" ht="23.1" customHeight="1" thickBot="1" x14ac:dyDescent="0.35">
      <c r="A80" s="108" t="s">
        <v>72</v>
      </c>
      <c r="B80" s="109"/>
      <c r="C80" s="109"/>
      <c r="D80" s="110"/>
      <c r="E80" s="111" t="s">
        <v>67</v>
      </c>
      <c r="F80" s="111">
        <v>1</v>
      </c>
    </row>
    <row r="81" spans="1:6" ht="12" customHeight="1" thickBot="1" x14ac:dyDescent="0.35">
      <c r="A81" s="102" t="s">
        <v>126</v>
      </c>
      <c r="B81" s="103"/>
      <c r="C81" s="103"/>
      <c r="D81" s="114"/>
      <c r="E81" s="112"/>
      <c r="F81" s="112"/>
    </row>
    <row r="82" spans="1:6" ht="23.1" customHeight="1" thickBot="1" x14ac:dyDescent="0.35">
      <c r="A82" s="108" t="s">
        <v>12</v>
      </c>
      <c r="B82" s="109"/>
      <c r="C82" s="109"/>
      <c r="D82" s="110"/>
      <c r="E82" s="113"/>
      <c r="F82" s="113"/>
    </row>
    <row r="83" spans="1:6" ht="12" customHeight="1" thickBot="1" x14ac:dyDescent="0.35">
      <c r="A83" s="55" t="s">
        <v>128</v>
      </c>
      <c r="B83" s="55" t="s">
        <v>129</v>
      </c>
      <c r="C83" s="102" t="s">
        <v>127</v>
      </c>
      <c r="D83" s="103"/>
      <c r="E83" s="104" t="s">
        <v>131</v>
      </c>
      <c r="F83" s="104" t="s">
        <v>132</v>
      </c>
    </row>
    <row r="84" spans="1:6" ht="23.1" customHeight="1" thickBot="1" x14ac:dyDescent="0.35">
      <c r="A84" s="56">
        <v>72.3</v>
      </c>
      <c r="B84" s="56">
        <v>84</v>
      </c>
      <c r="C84" s="106">
        <v>36581</v>
      </c>
      <c r="D84" s="107"/>
      <c r="E84" s="105"/>
      <c r="F84" s="105"/>
    </row>
    <row r="85" spans="1:6" ht="38.1" customHeight="1" thickBot="1" x14ac:dyDescent="0.35">
      <c r="A85" s="57" t="s">
        <v>131</v>
      </c>
      <c r="B85" s="62">
        <v>130</v>
      </c>
      <c r="C85" s="62"/>
      <c r="D85" s="63"/>
      <c r="E85" s="60" t="s">
        <v>142</v>
      </c>
      <c r="F85" s="60" t="s">
        <v>148</v>
      </c>
    </row>
    <row r="86" spans="1:6" ht="38.1" customHeight="1" thickBot="1" x14ac:dyDescent="0.35">
      <c r="A86" s="58" t="s">
        <v>132</v>
      </c>
      <c r="B86" s="62">
        <v>60</v>
      </c>
      <c r="C86" s="62"/>
      <c r="D86" s="62"/>
      <c r="E86" s="60" t="s">
        <v>139</v>
      </c>
      <c r="F86" s="60" t="s">
        <v>147</v>
      </c>
    </row>
    <row r="87" spans="1:6" ht="38.1" customHeight="1" thickBot="1" x14ac:dyDescent="0.35">
      <c r="A87" s="59" t="s">
        <v>133</v>
      </c>
      <c r="B87" s="64">
        <v>120</v>
      </c>
      <c r="C87" s="64"/>
      <c r="D87" s="65"/>
      <c r="E87" s="61"/>
      <c r="F87" s="61" t="s">
        <v>140</v>
      </c>
    </row>
    <row r="88" spans="1:6" ht="12" customHeight="1" x14ac:dyDescent="0.3">
      <c r="A88" s="102" t="s">
        <v>124</v>
      </c>
      <c r="B88" s="103"/>
      <c r="C88" s="103"/>
      <c r="D88" s="114"/>
      <c r="E88" s="55" t="s">
        <v>125</v>
      </c>
      <c r="F88" s="55" t="s">
        <v>130</v>
      </c>
    </row>
    <row r="89" spans="1:6" ht="23.1" customHeight="1" thickBot="1" x14ac:dyDescent="0.35">
      <c r="A89" s="108" t="s">
        <v>78</v>
      </c>
      <c r="B89" s="109"/>
      <c r="C89" s="109"/>
      <c r="D89" s="110"/>
      <c r="E89" s="111" t="s">
        <v>67</v>
      </c>
      <c r="F89" s="111">
        <v>2</v>
      </c>
    </row>
    <row r="90" spans="1:6" ht="12" customHeight="1" thickBot="1" x14ac:dyDescent="0.35">
      <c r="A90" s="102" t="s">
        <v>126</v>
      </c>
      <c r="B90" s="103"/>
      <c r="C90" s="103"/>
      <c r="D90" s="114"/>
      <c r="E90" s="112"/>
      <c r="F90" s="112"/>
    </row>
    <row r="91" spans="1:6" ht="23.1" customHeight="1" thickBot="1" x14ac:dyDescent="0.35">
      <c r="A91" s="108" t="s">
        <v>10</v>
      </c>
      <c r="B91" s="109"/>
      <c r="C91" s="109"/>
      <c r="D91" s="110"/>
      <c r="E91" s="113"/>
      <c r="F91" s="113"/>
    </row>
    <row r="92" spans="1:6" ht="12" customHeight="1" thickBot="1" x14ac:dyDescent="0.35">
      <c r="A92" s="55" t="s">
        <v>128</v>
      </c>
      <c r="B92" s="55" t="s">
        <v>129</v>
      </c>
      <c r="C92" s="102" t="s">
        <v>127</v>
      </c>
      <c r="D92" s="103"/>
      <c r="E92" s="104" t="s">
        <v>131</v>
      </c>
      <c r="F92" s="104" t="s">
        <v>132</v>
      </c>
    </row>
    <row r="93" spans="1:6" ht="23.1" customHeight="1" thickBot="1" x14ac:dyDescent="0.35">
      <c r="A93" s="56">
        <v>61.3</v>
      </c>
      <c r="B93" s="56">
        <v>63</v>
      </c>
      <c r="C93" s="106">
        <v>36753</v>
      </c>
      <c r="D93" s="107"/>
      <c r="E93" s="105"/>
      <c r="F93" s="105"/>
    </row>
    <row r="94" spans="1:6" ht="38.1" customHeight="1" thickBot="1" x14ac:dyDescent="0.35">
      <c r="A94" s="57" t="s">
        <v>131</v>
      </c>
      <c r="B94" s="62">
        <v>80</v>
      </c>
      <c r="C94" s="62"/>
      <c r="D94" s="63"/>
      <c r="E94" s="60" t="s">
        <v>142</v>
      </c>
      <c r="F94" s="60" t="s">
        <v>150</v>
      </c>
    </row>
    <row r="95" spans="1:6" ht="38.1" customHeight="1" thickBot="1" x14ac:dyDescent="0.35">
      <c r="A95" s="58" t="s">
        <v>132</v>
      </c>
      <c r="B95" s="62">
        <v>75</v>
      </c>
      <c r="C95" s="62"/>
      <c r="D95" s="62"/>
      <c r="E95" s="60" t="s">
        <v>139</v>
      </c>
      <c r="F95" s="60" t="s">
        <v>154</v>
      </c>
    </row>
    <row r="96" spans="1:6" ht="38.1" customHeight="1" thickBot="1" x14ac:dyDescent="0.35">
      <c r="A96" s="59" t="s">
        <v>133</v>
      </c>
      <c r="B96" s="64">
        <v>100</v>
      </c>
      <c r="C96" s="64"/>
      <c r="D96" s="65"/>
      <c r="E96" s="61"/>
      <c r="F96" s="61" t="s">
        <v>153</v>
      </c>
    </row>
    <row r="97" spans="1:6" ht="50.1" customHeight="1" thickBot="1" x14ac:dyDescent="0.35"/>
    <row r="98" spans="1:6" ht="12" customHeight="1" x14ac:dyDescent="0.3">
      <c r="A98" s="102" t="s">
        <v>124</v>
      </c>
      <c r="B98" s="103"/>
      <c r="C98" s="103"/>
      <c r="D98" s="114"/>
      <c r="E98" s="55" t="s">
        <v>125</v>
      </c>
      <c r="F98" s="55" t="s">
        <v>130</v>
      </c>
    </row>
    <row r="99" spans="1:6" ht="23.1" customHeight="1" thickBot="1" x14ac:dyDescent="0.35">
      <c r="A99" s="108" t="s">
        <v>68</v>
      </c>
      <c r="B99" s="109"/>
      <c r="C99" s="109"/>
      <c r="D99" s="110"/>
      <c r="E99" s="111" t="s">
        <v>67</v>
      </c>
      <c r="F99" s="111">
        <v>3</v>
      </c>
    </row>
    <row r="100" spans="1:6" ht="12" customHeight="1" thickBot="1" x14ac:dyDescent="0.35">
      <c r="A100" s="102" t="s">
        <v>126</v>
      </c>
      <c r="B100" s="103"/>
      <c r="C100" s="103"/>
      <c r="D100" s="114"/>
      <c r="E100" s="112"/>
      <c r="F100" s="112"/>
    </row>
    <row r="101" spans="1:6" ht="23.1" customHeight="1" thickBot="1" x14ac:dyDescent="0.35">
      <c r="A101" s="108" t="s">
        <v>12</v>
      </c>
      <c r="B101" s="109"/>
      <c r="C101" s="109"/>
      <c r="D101" s="110"/>
      <c r="E101" s="113"/>
      <c r="F101" s="113"/>
    </row>
    <row r="102" spans="1:6" ht="12" customHeight="1" thickBot="1" x14ac:dyDescent="0.35">
      <c r="A102" s="55" t="s">
        <v>128</v>
      </c>
      <c r="B102" s="55" t="s">
        <v>129</v>
      </c>
      <c r="C102" s="102" t="s">
        <v>127</v>
      </c>
      <c r="D102" s="103"/>
      <c r="E102" s="104" t="s">
        <v>131</v>
      </c>
      <c r="F102" s="104" t="s">
        <v>132</v>
      </c>
    </row>
    <row r="103" spans="1:6" ht="23.1" customHeight="1" thickBot="1" x14ac:dyDescent="0.35">
      <c r="A103" s="56">
        <v>58.2</v>
      </c>
      <c r="B103" s="56">
        <v>63</v>
      </c>
      <c r="C103" s="106" t="s">
        <v>69</v>
      </c>
      <c r="D103" s="107"/>
      <c r="E103" s="105"/>
      <c r="F103" s="105"/>
    </row>
    <row r="104" spans="1:6" ht="38.1" customHeight="1" thickBot="1" x14ac:dyDescent="0.35">
      <c r="A104" s="57" t="s">
        <v>131</v>
      </c>
      <c r="B104" s="62">
        <v>100</v>
      </c>
      <c r="C104" s="62"/>
      <c r="D104" s="63"/>
      <c r="E104" s="60" t="s">
        <v>142</v>
      </c>
      <c r="F104" s="60" t="s">
        <v>148</v>
      </c>
    </row>
    <row r="105" spans="1:6" ht="38.1" customHeight="1" thickBot="1" x14ac:dyDescent="0.35">
      <c r="A105" s="58" t="s">
        <v>132</v>
      </c>
      <c r="B105" s="62">
        <v>67.5</v>
      </c>
      <c r="C105" s="62"/>
      <c r="D105" s="62"/>
      <c r="E105" s="60" t="s">
        <v>139</v>
      </c>
      <c r="F105" s="60" t="s">
        <v>152</v>
      </c>
    </row>
    <row r="106" spans="1:6" ht="38.1" customHeight="1" thickBot="1" x14ac:dyDescent="0.35">
      <c r="A106" s="59" t="s">
        <v>133</v>
      </c>
      <c r="B106" s="64">
        <v>130</v>
      </c>
      <c r="C106" s="64"/>
      <c r="D106" s="65"/>
      <c r="E106" s="61"/>
      <c r="F106" s="61" t="s">
        <v>153</v>
      </c>
    </row>
    <row r="107" spans="1:6" ht="50.1" customHeight="1" thickBot="1" x14ac:dyDescent="0.35"/>
    <row r="108" spans="1:6" ht="12" customHeight="1" x14ac:dyDescent="0.3">
      <c r="A108" s="102" t="s">
        <v>124</v>
      </c>
      <c r="B108" s="103"/>
      <c r="C108" s="103"/>
      <c r="D108" s="114"/>
      <c r="E108" s="55" t="s">
        <v>125</v>
      </c>
      <c r="F108" s="55" t="s">
        <v>130</v>
      </c>
    </row>
    <row r="109" spans="1:6" ht="23.1" customHeight="1" thickBot="1" x14ac:dyDescent="0.35">
      <c r="A109" s="108" t="s">
        <v>86</v>
      </c>
      <c r="B109" s="109"/>
      <c r="C109" s="109"/>
      <c r="D109" s="110"/>
      <c r="E109" s="111" t="s">
        <v>67</v>
      </c>
      <c r="F109" s="111">
        <v>4</v>
      </c>
    </row>
    <row r="110" spans="1:6" ht="12" customHeight="1" thickBot="1" x14ac:dyDescent="0.35">
      <c r="A110" s="102" t="s">
        <v>126</v>
      </c>
      <c r="B110" s="103"/>
      <c r="C110" s="103"/>
      <c r="D110" s="114"/>
      <c r="E110" s="112"/>
      <c r="F110" s="112"/>
    </row>
    <row r="111" spans="1:6" ht="23.1" customHeight="1" thickBot="1" x14ac:dyDescent="0.35">
      <c r="A111" s="108" t="s">
        <v>25</v>
      </c>
      <c r="B111" s="109"/>
      <c r="C111" s="109"/>
      <c r="D111" s="110"/>
      <c r="E111" s="113"/>
      <c r="F111" s="113"/>
    </row>
    <row r="112" spans="1:6" ht="12" customHeight="1" thickBot="1" x14ac:dyDescent="0.35">
      <c r="A112" s="55" t="s">
        <v>128</v>
      </c>
      <c r="B112" s="55" t="s">
        <v>129</v>
      </c>
      <c r="C112" s="102" t="s">
        <v>127</v>
      </c>
      <c r="D112" s="103"/>
      <c r="E112" s="104" t="s">
        <v>131</v>
      </c>
      <c r="F112" s="104" t="s">
        <v>132</v>
      </c>
    </row>
    <row r="113" spans="1:6" ht="23.1" customHeight="1" thickBot="1" x14ac:dyDescent="0.35">
      <c r="A113" s="56">
        <v>75.599999999999994</v>
      </c>
      <c r="B113" s="56">
        <v>84</v>
      </c>
      <c r="C113" s="106" t="s">
        <v>87</v>
      </c>
      <c r="D113" s="107"/>
      <c r="E113" s="105"/>
      <c r="F113" s="105"/>
    </row>
    <row r="114" spans="1:6" ht="38.1" customHeight="1" thickBot="1" x14ac:dyDescent="0.35">
      <c r="A114" s="57" t="s">
        <v>131</v>
      </c>
      <c r="B114" s="62">
        <v>160</v>
      </c>
      <c r="C114" s="62"/>
      <c r="D114" s="63"/>
      <c r="E114" s="60" t="s">
        <v>142</v>
      </c>
      <c r="F114" s="60" t="s">
        <v>148</v>
      </c>
    </row>
    <row r="115" spans="1:6" ht="38.1" customHeight="1" thickBot="1" x14ac:dyDescent="0.35">
      <c r="A115" s="58" t="s">
        <v>132</v>
      </c>
      <c r="B115" s="62">
        <v>60</v>
      </c>
      <c r="C115" s="62"/>
      <c r="D115" s="62"/>
      <c r="E115" s="60" t="s">
        <v>139</v>
      </c>
      <c r="F115" s="60" t="s">
        <v>152</v>
      </c>
    </row>
    <row r="116" spans="1:6" ht="38.1" customHeight="1" thickBot="1" x14ac:dyDescent="0.35">
      <c r="A116" s="59" t="s">
        <v>133</v>
      </c>
      <c r="B116" s="64">
        <v>160</v>
      </c>
      <c r="C116" s="64"/>
      <c r="D116" s="65"/>
      <c r="E116" s="61"/>
      <c r="F116" s="61" t="s">
        <v>153</v>
      </c>
    </row>
    <row r="117" spans="1:6" ht="12" customHeight="1" x14ac:dyDescent="0.3">
      <c r="A117" s="102" t="s">
        <v>124</v>
      </c>
      <c r="B117" s="103"/>
      <c r="C117" s="103"/>
      <c r="D117" s="114"/>
      <c r="E117" s="55" t="s">
        <v>125</v>
      </c>
      <c r="F117" s="55" t="s">
        <v>130</v>
      </c>
    </row>
    <row r="118" spans="1:6" ht="23.1" customHeight="1" thickBot="1" x14ac:dyDescent="0.35">
      <c r="A118" s="108" t="s">
        <v>76</v>
      </c>
      <c r="B118" s="109"/>
      <c r="C118" s="109"/>
      <c r="D118" s="110"/>
      <c r="E118" s="111" t="s">
        <v>67</v>
      </c>
      <c r="F118" s="111">
        <v>5</v>
      </c>
    </row>
    <row r="119" spans="1:6" ht="12" customHeight="1" thickBot="1" x14ac:dyDescent="0.35">
      <c r="A119" s="102" t="s">
        <v>126</v>
      </c>
      <c r="B119" s="103"/>
      <c r="C119" s="103"/>
      <c r="D119" s="114"/>
      <c r="E119" s="112"/>
      <c r="F119" s="112"/>
    </row>
    <row r="120" spans="1:6" ht="23.1" customHeight="1" thickBot="1" x14ac:dyDescent="0.35">
      <c r="A120" s="108" t="s">
        <v>25</v>
      </c>
      <c r="B120" s="109"/>
      <c r="C120" s="109"/>
      <c r="D120" s="110"/>
      <c r="E120" s="113"/>
      <c r="F120" s="113"/>
    </row>
    <row r="121" spans="1:6" ht="12" customHeight="1" thickBot="1" x14ac:dyDescent="0.35">
      <c r="A121" s="55" t="s">
        <v>128</v>
      </c>
      <c r="B121" s="55" t="s">
        <v>129</v>
      </c>
      <c r="C121" s="102" t="s">
        <v>127</v>
      </c>
      <c r="D121" s="103"/>
      <c r="E121" s="104" t="s">
        <v>131</v>
      </c>
      <c r="F121" s="104" t="s">
        <v>132</v>
      </c>
    </row>
    <row r="122" spans="1:6" ht="23.1" customHeight="1" thickBot="1" x14ac:dyDescent="0.35">
      <c r="A122" s="56">
        <v>62.55</v>
      </c>
      <c r="B122" s="56">
        <v>63</v>
      </c>
      <c r="C122" s="106" t="s">
        <v>77</v>
      </c>
      <c r="D122" s="107"/>
      <c r="E122" s="105"/>
      <c r="F122" s="105"/>
    </row>
    <row r="123" spans="1:6" ht="38.1" customHeight="1" thickBot="1" x14ac:dyDescent="0.35">
      <c r="A123" s="57" t="s">
        <v>131</v>
      </c>
      <c r="B123" s="62">
        <v>100</v>
      </c>
      <c r="C123" s="62"/>
      <c r="D123" s="63"/>
      <c r="E123" s="60" t="s">
        <v>142</v>
      </c>
      <c r="F123" s="60" t="s">
        <v>151</v>
      </c>
    </row>
    <row r="124" spans="1:6" ht="38.1" customHeight="1" thickBot="1" x14ac:dyDescent="0.35">
      <c r="A124" s="58" t="s">
        <v>132</v>
      </c>
      <c r="B124" s="62">
        <v>60</v>
      </c>
      <c r="C124" s="62"/>
      <c r="D124" s="62"/>
      <c r="E124" s="60" t="s">
        <v>139</v>
      </c>
      <c r="F124" s="60" t="s">
        <v>152</v>
      </c>
    </row>
    <row r="125" spans="1:6" ht="38.1" customHeight="1" thickBot="1" x14ac:dyDescent="0.35">
      <c r="A125" s="59" t="s">
        <v>133</v>
      </c>
      <c r="B125" s="64">
        <v>120</v>
      </c>
      <c r="C125" s="64"/>
      <c r="D125" s="65"/>
      <c r="E125" s="61"/>
      <c r="F125" s="61" t="s">
        <v>153</v>
      </c>
    </row>
    <row r="126" spans="1:6" ht="50.1" customHeight="1" thickBot="1" x14ac:dyDescent="0.35"/>
    <row r="127" spans="1:6" ht="12" customHeight="1" x14ac:dyDescent="0.3">
      <c r="A127" s="102" t="s">
        <v>124</v>
      </c>
      <c r="B127" s="103"/>
      <c r="C127" s="103"/>
      <c r="D127" s="114"/>
      <c r="E127" s="55" t="s">
        <v>125</v>
      </c>
      <c r="F127" s="55" t="s">
        <v>130</v>
      </c>
    </row>
    <row r="128" spans="1:6" ht="23.1" customHeight="1" thickBot="1" x14ac:dyDescent="0.35">
      <c r="A128" s="108" t="s">
        <v>80</v>
      </c>
      <c r="B128" s="109"/>
      <c r="C128" s="109"/>
      <c r="D128" s="110"/>
      <c r="E128" s="111" t="s">
        <v>67</v>
      </c>
      <c r="F128" s="111">
        <v>6</v>
      </c>
    </row>
    <row r="129" spans="1:6" ht="12" customHeight="1" thickBot="1" x14ac:dyDescent="0.35">
      <c r="A129" s="102" t="s">
        <v>126</v>
      </c>
      <c r="B129" s="103"/>
      <c r="C129" s="103"/>
      <c r="D129" s="114"/>
      <c r="E129" s="112"/>
      <c r="F129" s="112"/>
    </row>
    <row r="130" spans="1:6" ht="23.1" customHeight="1" thickBot="1" x14ac:dyDescent="0.35">
      <c r="A130" s="108" t="s">
        <v>12</v>
      </c>
      <c r="B130" s="109"/>
      <c r="C130" s="109"/>
      <c r="D130" s="110"/>
      <c r="E130" s="113"/>
      <c r="F130" s="113"/>
    </row>
    <row r="131" spans="1:6" ht="12" customHeight="1" thickBot="1" x14ac:dyDescent="0.35">
      <c r="A131" s="55" t="s">
        <v>128</v>
      </c>
      <c r="B131" s="55" t="s">
        <v>129</v>
      </c>
      <c r="C131" s="102" t="s">
        <v>127</v>
      </c>
      <c r="D131" s="103"/>
      <c r="E131" s="104" t="s">
        <v>131</v>
      </c>
      <c r="F131" s="104" t="s">
        <v>132</v>
      </c>
    </row>
    <row r="132" spans="1:6" ht="23.1" customHeight="1" thickBot="1" x14ac:dyDescent="0.35">
      <c r="A132" s="56">
        <v>70.55</v>
      </c>
      <c r="B132" s="56">
        <v>72</v>
      </c>
      <c r="C132" s="106" t="s">
        <v>81</v>
      </c>
      <c r="D132" s="107"/>
      <c r="E132" s="105"/>
      <c r="F132" s="105"/>
    </row>
    <row r="133" spans="1:6" ht="38.1" customHeight="1" thickBot="1" x14ac:dyDescent="0.35">
      <c r="A133" s="57" t="s">
        <v>131</v>
      </c>
      <c r="B133" s="62">
        <v>125</v>
      </c>
      <c r="C133" s="62"/>
      <c r="D133" s="63"/>
      <c r="E133" s="60" t="s">
        <v>142</v>
      </c>
      <c r="F133" s="60" t="s">
        <v>150</v>
      </c>
    </row>
    <row r="134" spans="1:6" ht="38.1" customHeight="1" thickBot="1" x14ac:dyDescent="0.35">
      <c r="A134" s="58" t="s">
        <v>132</v>
      </c>
      <c r="B134" s="62">
        <v>70</v>
      </c>
      <c r="C134" s="62"/>
      <c r="D134" s="62"/>
      <c r="E134" s="60" t="s">
        <v>139</v>
      </c>
      <c r="F134" s="60" t="s">
        <v>144</v>
      </c>
    </row>
    <row r="135" spans="1:6" ht="38.1" customHeight="1" thickBot="1" x14ac:dyDescent="0.35">
      <c r="A135" s="59" t="s">
        <v>133</v>
      </c>
      <c r="B135" s="64">
        <v>140</v>
      </c>
      <c r="C135" s="64"/>
      <c r="D135" s="65"/>
      <c r="E135" s="61"/>
      <c r="F135" s="61" t="s">
        <v>153</v>
      </c>
    </row>
    <row r="136" spans="1:6" ht="50.1" customHeight="1" thickBot="1" x14ac:dyDescent="0.35"/>
    <row r="137" spans="1:6" ht="12" customHeight="1" x14ac:dyDescent="0.3">
      <c r="A137" s="102" t="s">
        <v>124</v>
      </c>
      <c r="B137" s="103"/>
      <c r="C137" s="103"/>
      <c r="D137" s="114"/>
      <c r="E137" s="55" t="s">
        <v>125</v>
      </c>
      <c r="F137" s="55" t="s">
        <v>130</v>
      </c>
    </row>
    <row r="138" spans="1:6" ht="23.1" customHeight="1" thickBot="1" x14ac:dyDescent="0.35">
      <c r="A138" s="108" t="s">
        <v>83</v>
      </c>
      <c r="B138" s="109"/>
      <c r="C138" s="109"/>
      <c r="D138" s="110"/>
      <c r="E138" s="111" t="s">
        <v>67</v>
      </c>
      <c r="F138" s="111">
        <v>7</v>
      </c>
    </row>
    <row r="139" spans="1:6" ht="12" customHeight="1" thickBot="1" x14ac:dyDescent="0.35">
      <c r="A139" s="102" t="s">
        <v>126</v>
      </c>
      <c r="B139" s="103"/>
      <c r="C139" s="103"/>
      <c r="D139" s="114"/>
      <c r="E139" s="112"/>
      <c r="F139" s="112"/>
    </row>
    <row r="140" spans="1:6" ht="23.1" customHeight="1" thickBot="1" x14ac:dyDescent="0.35">
      <c r="A140" s="108" t="s">
        <v>12</v>
      </c>
      <c r="B140" s="109"/>
      <c r="C140" s="109"/>
      <c r="D140" s="110"/>
      <c r="E140" s="113"/>
      <c r="F140" s="113"/>
    </row>
    <row r="141" spans="1:6" ht="12" customHeight="1" thickBot="1" x14ac:dyDescent="0.35">
      <c r="A141" s="55" t="s">
        <v>128</v>
      </c>
      <c r="B141" s="55" t="s">
        <v>129</v>
      </c>
      <c r="C141" s="102" t="s">
        <v>127</v>
      </c>
      <c r="D141" s="103"/>
      <c r="E141" s="104" t="s">
        <v>131</v>
      </c>
      <c r="F141" s="104" t="s">
        <v>132</v>
      </c>
    </row>
    <row r="142" spans="1:6" ht="23.1" customHeight="1" thickBot="1" x14ac:dyDescent="0.35">
      <c r="A142" s="56">
        <v>63</v>
      </c>
      <c r="B142" s="56">
        <v>63</v>
      </c>
      <c r="C142" s="106" t="s">
        <v>84</v>
      </c>
      <c r="D142" s="107"/>
      <c r="E142" s="105"/>
      <c r="F142" s="105"/>
    </row>
    <row r="143" spans="1:6" ht="38.1" customHeight="1" thickBot="1" x14ac:dyDescent="0.35">
      <c r="A143" s="57" t="s">
        <v>131</v>
      </c>
      <c r="B143" s="62">
        <v>115</v>
      </c>
      <c r="C143" s="62"/>
      <c r="D143" s="63"/>
      <c r="E143" s="60" t="s">
        <v>142</v>
      </c>
      <c r="F143" s="60" t="s">
        <v>150</v>
      </c>
    </row>
    <row r="144" spans="1:6" ht="38.1" customHeight="1" thickBot="1" x14ac:dyDescent="0.35">
      <c r="A144" s="58" t="s">
        <v>132</v>
      </c>
      <c r="B144" s="62">
        <v>65</v>
      </c>
      <c r="C144" s="62"/>
      <c r="D144" s="62"/>
      <c r="E144" s="60" t="s">
        <v>139</v>
      </c>
      <c r="F144" s="60" t="s">
        <v>146</v>
      </c>
    </row>
    <row r="145" spans="1:6" ht="38.1" customHeight="1" thickBot="1" x14ac:dyDescent="0.35">
      <c r="A145" s="59" t="s">
        <v>133</v>
      </c>
      <c r="B145" s="64">
        <v>150</v>
      </c>
      <c r="C145" s="64"/>
      <c r="D145" s="65"/>
      <c r="E145" s="61"/>
      <c r="F145" s="61" t="s">
        <v>140</v>
      </c>
    </row>
    <row r="146" spans="1:6" ht="12" customHeight="1" x14ac:dyDescent="0.3">
      <c r="A146" s="102" t="s">
        <v>124</v>
      </c>
      <c r="B146" s="103"/>
      <c r="C146" s="103"/>
      <c r="D146" s="114"/>
      <c r="E146" s="55" t="s">
        <v>125</v>
      </c>
      <c r="F146" s="55" t="s">
        <v>130</v>
      </c>
    </row>
    <row r="147" spans="1:6" ht="23.1" customHeight="1" thickBot="1" x14ac:dyDescent="0.35">
      <c r="A147" s="108" t="s">
        <v>92</v>
      </c>
      <c r="B147" s="109"/>
      <c r="C147" s="109"/>
      <c r="D147" s="110"/>
      <c r="E147" s="111" t="s">
        <v>67</v>
      </c>
      <c r="F147" s="111">
        <v>8</v>
      </c>
    </row>
    <row r="148" spans="1:6" ht="12" customHeight="1" thickBot="1" x14ac:dyDescent="0.35">
      <c r="A148" s="102" t="s">
        <v>126</v>
      </c>
      <c r="B148" s="103"/>
      <c r="C148" s="103"/>
      <c r="D148" s="114"/>
      <c r="E148" s="112"/>
      <c r="F148" s="112"/>
    </row>
    <row r="149" spans="1:6" ht="23.1" customHeight="1" thickBot="1" x14ac:dyDescent="0.35">
      <c r="A149" s="108" t="s">
        <v>25</v>
      </c>
      <c r="B149" s="109"/>
      <c r="C149" s="109"/>
      <c r="D149" s="110"/>
      <c r="E149" s="113"/>
      <c r="F149" s="113"/>
    </row>
    <row r="150" spans="1:6" ht="12" customHeight="1" thickBot="1" x14ac:dyDescent="0.35">
      <c r="A150" s="55" t="s">
        <v>128</v>
      </c>
      <c r="B150" s="55" t="s">
        <v>129</v>
      </c>
      <c r="C150" s="102" t="s">
        <v>127</v>
      </c>
      <c r="D150" s="103"/>
      <c r="E150" s="104" t="s">
        <v>131</v>
      </c>
      <c r="F150" s="104" t="s">
        <v>132</v>
      </c>
    </row>
    <row r="151" spans="1:6" ht="23.1" customHeight="1" thickBot="1" x14ac:dyDescent="0.35">
      <c r="A151" s="56">
        <v>81.7</v>
      </c>
      <c r="B151" s="56">
        <v>83</v>
      </c>
      <c r="C151" s="106" t="s">
        <v>93</v>
      </c>
      <c r="D151" s="107"/>
      <c r="E151" s="105"/>
      <c r="F151" s="105"/>
    </row>
    <row r="152" spans="1:6" ht="38.1" customHeight="1" thickBot="1" x14ac:dyDescent="0.35">
      <c r="A152" s="57" t="s">
        <v>131</v>
      </c>
      <c r="B152" s="62">
        <v>110</v>
      </c>
      <c r="C152" s="62"/>
      <c r="D152" s="63"/>
      <c r="E152" s="60" t="s">
        <v>142</v>
      </c>
      <c r="F152" s="60" t="s">
        <v>155</v>
      </c>
    </row>
    <row r="153" spans="1:6" ht="38.1" customHeight="1" thickBot="1" x14ac:dyDescent="0.35">
      <c r="A153" s="58" t="s">
        <v>132</v>
      </c>
      <c r="B153" s="62">
        <v>100</v>
      </c>
      <c r="C153" s="62"/>
      <c r="D153" s="62"/>
      <c r="E153" s="60" t="s">
        <v>139</v>
      </c>
      <c r="F153" s="60" t="s">
        <v>152</v>
      </c>
    </row>
    <row r="154" spans="1:6" ht="38.1" customHeight="1" thickBot="1" x14ac:dyDescent="0.35">
      <c r="A154" s="59" t="s">
        <v>133</v>
      </c>
      <c r="B154" s="64">
        <v>150</v>
      </c>
      <c r="C154" s="64"/>
      <c r="D154" s="65"/>
      <c r="E154" s="61"/>
      <c r="F154" s="61" t="s">
        <v>153</v>
      </c>
    </row>
    <row r="155" spans="1:6" ht="50.1" customHeight="1" thickBot="1" x14ac:dyDescent="0.35"/>
    <row r="156" spans="1:6" ht="12" customHeight="1" x14ac:dyDescent="0.3">
      <c r="A156" s="102" t="s">
        <v>124</v>
      </c>
      <c r="B156" s="103"/>
      <c r="C156" s="103"/>
      <c r="D156" s="114"/>
      <c r="E156" s="55" t="s">
        <v>125</v>
      </c>
      <c r="F156" s="55" t="s">
        <v>130</v>
      </c>
    </row>
    <row r="157" spans="1:6" ht="23.1" customHeight="1" thickBot="1" x14ac:dyDescent="0.35">
      <c r="A157" s="108" t="s">
        <v>88</v>
      </c>
      <c r="B157" s="109"/>
      <c r="C157" s="109"/>
      <c r="D157" s="110"/>
      <c r="E157" s="111" t="s">
        <v>67</v>
      </c>
      <c r="F157" s="111">
        <v>9</v>
      </c>
    </row>
    <row r="158" spans="1:6" ht="12" customHeight="1" thickBot="1" x14ac:dyDescent="0.35">
      <c r="A158" s="102" t="s">
        <v>126</v>
      </c>
      <c r="B158" s="103"/>
      <c r="C158" s="103"/>
      <c r="D158" s="114"/>
      <c r="E158" s="112"/>
      <c r="F158" s="112"/>
    </row>
    <row r="159" spans="1:6" ht="23.1" customHeight="1" thickBot="1" x14ac:dyDescent="0.35">
      <c r="A159" s="108" t="s">
        <v>12</v>
      </c>
      <c r="B159" s="109"/>
      <c r="C159" s="109"/>
      <c r="D159" s="110"/>
      <c r="E159" s="113"/>
      <c r="F159" s="113"/>
    </row>
    <row r="160" spans="1:6" ht="12" customHeight="1" thickBot="1" x14ac:dyDescent="0.35">
      <c r="A160" s="55" t="s">
        <v>128</v>
      </c>
      <c r="B160" s="55" t="s">
        <v>129</v>
      </c>
      <c r="C160" s="102" t="s">
        <v>127</v>
      </c>
      <c r="D160" s="103"/>
      <c r="E160" s="104" t="s">
        <v>131</v>
      </c>
      <c r="F160" s="104" t="s">
        <v>132</v>
      </c>
    </row>
    <row r="161" spans="1:6" ht="23.1" customHeight="1" thickBot="1" x14ac:dyDescent="0.35">
      <c r="A161" s="56">
        <v>80.400000000000006</v>
      </c>
      <c r="B161" s="56">
        <v>84</v>
      </c>
      <c r="C161" s="106" t="s">
        <v>89</v>
      </c>
      <c r="D161" s="107"/>
      <c r="E161" s="105"/>
      <c r="F161" s="105"/>
    </row>
    <row r="162" spans="1:6" ht="38.1" customHeight="1" thickBot="1" x14ac:dyDescent="0.35">
      <c r="A162" s="57" t="s">
        <v>131</v>
      </c>
      <c r="B162" s="62">
        <v>75</v>
      </c>
      <c r="C162" s="62"/>
      <c r="D162" s="63"/>
      <c r="E162" s="60" t="s">
        <v>142</v>
      </c>
      <c r="F162" s="60" t="s">
        <v>150</v>
      </c>
    </row>
    <row r="163" spans="1:6" ht="38.1" customHeight="1" thickBot="1" x14ac:dyDescent="0.35">
      <c r="A163" s="58" t="s">
        <v>132</v>
      </c>
      <c r="B163" s="62">
        <v>40</v>
      </c>
      <c r="C163" s="62"/>
      <c r="D163" s="62"/>
      <c r="E163" s="60" t="s">
        <v>139</v>
      </c>
      <c r="F163" s="60" t="s">
        <v>154</v>
      </c>
    </row>
    <row r="164" spans="1:6" ht="38.1" customHeight="1" thickBot="1" x14ac:dyDescent="0.35">
      <c r="A164" s="59" t="s">
        <v>133</v>
      </c>
      <c r="B164" s="64">
        <v>90</v>
      </c>
      <c r="C164" s="64"/>
      <c r="D164" s="65"/>
      <c r="E164" s="61"/>
      <c r="F164" s="61" t="s">
        <v>140</v>
      </c>
    </row>
    <row r="165" spans="1:6" ht="50.1" customHeight="1" thickBot="1" x14ac:dyDescent="0.35"/>
    <row r="166" spans="1:6" ht="12" customHeight="1" x14ac:dyDescent="0.3">
      <c r="A166" s="102" t="s">
        <v>124</v>
      </c>
      <c r="B166" s="103"/>
      <c r="C166" s="103"/>
      <c r="D166" s="114"/>
      <c r="E166" s="55" t="s">
        <v>125</v>
      </c>
      <c r="F166" s="55" t="s">
        <v>130</v>
      </c>
    </row>
    <row r="167" spans="1:6" ht="23.1" customHeight="1" thickBot="1" x14ac:dyDescent="0.35">
      <c r="A167" s="108" t="s">
        <v>73</v>
      </c>
      <c r="B167" s="109"/>
      <c r="C167" s="109"/>
      <c r="D167" s="110"/>
      <c r="E167" s="111" t="s">
        <v>67</v>
      </c>
      <c r="F167" s="111">
        <v>10</v>
      </c>
    </row>
    <row r="168" spans="1:6" ht="12" customHeight="1" thickBot="1" x14ac:dyDescent="0.35">
      <c r="A168" s="102" t="s">
        <v>126</v>
      </c>
      <c r="B168" s="103"/>
      <c r="C168" s="103"/>
      <c r="D168" s="114"/>
      <c r="E168" s="112"/>
      <c r="F168" s="112"/>
    </row>
    <row r="169" spans="1:6" ht="23.1" customHeight="1" thickBot="1" x14ac:dyDescent="0.35">
      <c r="A169" s="108" t="s">
        <v>10</v>
      </c>
      <c r="B169" s="109"/>
      <c r="C169" s="109"/>
      <c r="D169" s="110"/>
      <c r="E169" s="113"/>
      <c r="F169" s="113"/>
    </row>
    <row r="170" spans="1:6" ht="12" customHeight="1" thickBot="1" x14ac:dyDescent="0.35">
      <c r="A170" s="55" t="s">
        <v>128</v>
      </c>
      <c r="B170" s="55" t="s">
        <v>129</v>
      </c>
      <c r="C170" s="102" t="s">
        <v>127</v>
      </c>
      <c r="D170" s="103"/>
      <c r="E170" s="104" t="s">
        <v>131</v>
      </c>
      <c r="F170" s="104" t="s">
        <v>132</v>
      </c>
    </row>
    <row r="171" spans="1:6" ht="23.1" customHeight="1" thickBot="1" x14ac:dyDescent="0.35">
      <c r="A171" s="56">
        <v>97.35</v>
      </c>
      <c r="B171" s="56" t="s">
        <v>149</v>
      </c>
      <c r="C171" s="106" t="s">
        <v>74</v>
      </c>
      <c r="D171" s="107"/>
      <c r="E171" s="105"/>
      <c r="F171" s="105"/>
    </row>
    <row r="172" spans="1:6" ht="38.1" customHeight="1" thickBot="1" x14ac:dyDescent="0.35">
      <c r="A172" s="57" t="s">
        <v>131</v>
      </c>
      <c r="B172" s="62">
        <v>70</v>
      </c>
      <c r="C172" s="62"/>
      <c r="D172" s="63"/>
      <c r="E172" s="60" t="s">
        <v>142</v>
      </c>
      <c r="F172" s="60" t="s">
        <v>145</v>
      </c>
    </row>
    <row r="173" spans="1:6" ht="38.1" customHeight="1" thickBot="1" x14ac:dyDescent="0.35">
      <c r="A173" s="58" t="s">
        <v>132</v>
      </c>
      <c r="B173" s="62">
        <v>40</v>
      </c>
      <c r="C173" s="62"/>
      <c r="D173" s="62"/>
      <c r="E173" s="60" t="s">
        <v>139</v>
      </c>
      <c r="F173" s="60" t="s">
        <v>144</v>
      </c>
    </row>
    <row r="174" spans="1:6" ht="38.1" customHeight="1" thickBot="1" x14ac:dyDescent="0.35">
      <c r="A174" s="59" t="s">
        <v>133</v>
      </c>
      <c r="B174" s="64">
        <v>80</v>
      </c>
      <c r="C174" s="64"/>
      <c r="D174" s="65"/>
      <c r="E174" s="61"/>
      <c r="F174" s="61" t="s">
        <v>140</v>
      </c>
    </row>
    <row r="175" spans="1:6" ht="12" customHeight="1" x14ac:dyDescent="0.3">
      <c r="A175" s="102" t="s">
        <v>124</v>
      </c>
      <c r="B175" s="103"/>
      <c r="C175" s="103"/>
      <c r="D175" s="114"/>
      <c r="E175" s="55" t="s">
        <v>125</v>
      </c>
      <c r="F175" s="55" t="s">
        <v>130</v>
      </c>
    </row>
    <row r="176" spans="1:6" ht="23.1" customHeight="1" thickBot="1" x14ac:dyDescent="0.35">
      <c r="A176" s="108" t="s">
        <v>95</v>
      </c>
      <c r="B176" s="109"/>
      <c r="C176" s="109"/>
      <c r="D176" s="110"/>
      <c r="E176" s="111" t="s">
        <v>94</v>
      </c>
      <c r="F176" s="111">
        <v>1</v>
      </c>
    </row>
    <row r="177" spans="1:6" ht="12" customHeight="1" thickBot="1" x14ac:dyDescent="0.35">
      <c r="A177" s="102" t="s">
        <v>126</v>
      </c>
      <c r="B177" s="103"/>
      <c r="C177" s="103"/>
      <c r="D177" s="114"/>
      <c r="E177" s="112"/>
      <c r="F177" s="112"/>
    </row>
    <row r="178" spans="1:6" ht="23.1" customHeight="1" thickBot="1" x14ac:dyDescent="0.35">
      <c r="A178" s="108" t="s">
        <v>12</v>
      </c>
      <c r="B178" s="109"/>
      <c r="C178" s="109"/>
      <c r="D178" s="110"/>
      <c r="E178" s="113"/>
      <c r="F178" s="113"/>
    </row>
    <row r="179" spans="1:6" ht="12" customHeight="1" thickBot="1" x14ac:dyDescent="0.35">
      <c r="A179" s="55" t="s">
        <v>128</v>
      </c>
      <c r="B179" s="55" t="s">
        <v>129</v>
      </c>
      <c r="C179" s="102" t="s">
        <v>127</v>
      </c>
      <c r="D179" s="103"/>
      <c r="E179" s="104" t="s">
        <v>131</v>
      </c>
      <c r="F179" s="104" t="s">
        <v>132</v>
      </c>
    </row>
    <row r="180" spans="1:6" ht="23.1" customHeight="1" thickBot="1" x14ac:dyDescent="0.35">
      <c r="A180" s="56">
        <v>127.25</v>
      </c>
      <c r="B180" s="56" t="s">
        <v>156</v>
      </c>
      <c r="C180" s="106" t="s">
        <v>96</v>
      </c>
      <c r="D180" s="107"/>
      <c r="E180" s="105"/>
      <c r="F180" s="105"/>
    </row>
    <row r="181" spans="1:6" ht="38.1" customHeight="1" thickBot="1" x14ac:dyDescent="0.35">
      <c r="A181" s="57" t="s">
        <v>131</v>
      </c>
      <c r="B181" s="62">
        <v>230</v>
      </c>
      <c r="C181" s="62"/>
      <c r="D181" s="63"/>
      <c r="E181" s="60" t="s">
        <v>142</v>
      </c>
      <c r="F181" s="60" t="s">
        <v>157</v>
      </c>
    </row>
    <row r="182" spans="1:6" ht="38.1" customHeight="1" thickBot="1" x14ac:dyDescent="0.35">
      <c r="A182" s="58" t="s">
        <v>132</v>
      </c>
      <c r="B182" s="62">
        <v>150</v>
      </c>
      <c r="C182" s="62"/>
      <c r="D182" s="62"/>
      <c r="E182" s="60" t="s">
        <v>139</v>
      </c>
      <c r="F182" s="60" t="s">
        <v>158</v>
      </c>
    </row>
    <row r="183" spans="1:6" ht="38.1" customHeight="1" thickBot="1" x14ac:dyDescent="0.35">
      <c r="A183" s="59" t="s">
        <v>133</v>
      </c>
      <c r="B183" s="64">
        <v>250</v>
      </c>
      <c r="C183" s="64"/>
      <c r="D183" s="65"/>
      <c r="E183" s="61"/>
      <c r="F183" s="61" t="s">
        <v>153</v>
      </c>
    </row>
    <row r="184" spans="1:6" ht="50.1" customHeight="1" thickBot="1" x14ac:dyDescent="0.35"/>
    <row r="185" spans="1:6" ht="12" customHeight="1" x14ac:dyDescent="0.3">
      <c r="A185" s="102" t="s">
        <v>124</v>
      </c>
      <c r="B185" s="103"/>
      <c r="C185" s="103"/>
      <c r="D185" s="114"/>
      <c r="E185" s="55" t="s">
        <v>125</v>
      </c>
      <c r="F185" s="55" t="s">
        <v>130</v>
      </c>
    </row>
    <row r="186" spans="1:6" ht="23.1" customHeight="1" thickBot="1" x14ac:dyDescent="0.35">
      <c r="A186" s="108" t="s">
        <v>110</v>
      </c>
      <c r="B186" s="109"/>
      <c r="C186" s="109"/>
      <c r="D186" s="110"/>
      <c r="E186" s="111" t="s">
        <v>94</v>
      </c>
      <c r="F186" s="111">
        <v>2</v>
      </c>
    </row>
    <row r="187" spans="1:6" ht="12" customHeight="1" thickBot="1" x14ac:dyDescent="0.35">
      <c r="A187" s="102" t="s">
        <v>126</v>
      </c>
      <c r="B187" s="103"/>
      <c r="C187" s="103"/>
      <c r="D187" s="114"/>
      <c r="E187" s="112"/>
      <c r="F187" s="112"/>
    </row>
    <row r="188" spans="1:6" ht="23.1" customHeight="1" thickBot="1" x14ac:dyDescent="0.35">
      <c r="A188" s="108" t="s">
        <v>10</v>
      </c>
      <c r="B188" s="109"/>
      <c r="C188" s="109"/>
      <c r="D188" s="110"/>
      <c r="E188" s="113"/>
      <c r="F188" s="113"/>
    </row>
    <row r="189" spans="1:6" ht="12" customHeight="1" thickBot="1" x14ac:dyDescent="0.35">
      <c r="A189" s="55" t="s">
        <v>128</v>
      </c>
      <c r="B189" s="55" t="s">
        <v>129</v>
      </c>
      <c r="C189" s="102" t="s">
        <v>127</v>
      </c>
      <c r="D189" s="103"/>
      <c r="E189" s="104" t="s">
        <v>131</v>
      </c>
      <c r="F189" s="104" t="s">
        <v>132</v>
      </c>
    </row>
    <row r="190" spans="1:6" ht="23.1" customHeight="1" thickBot="1" x14ac:dyDescent="0.35">
      <c r="A190" s="56">
        <v>118.6</v>
      </c>
      <c r="B190" s="56">
        <v>120</v>
      </c>
      <c r="C190" s="106" t="s">
        <v>111</v>
      </c>
      <c r="D190" s="107"/>
      <c r="E190" s="105"/>
      <c r="F190" s="105"/>
    </row>
    <row r="191" spans="1:6" ht="38.1" customHeight="1" thickBot="1" x14ac:dyDescent="0.35">
      <c r="A191" s="57" t="s">
        <v>131</v>
      </c>
      <c r="B191" s="62">
        <v>220</v>
      </c>
      <c r="C191" s="62"/>
      <c r="D191" s="63"/>
      <c r="E191" s="60" t="s">
        <v>142</v>
      </c>
      <c r="F191" s="60" t="s">
        <v>159</v>
      </c>
    </row>
    <row r="192" spans="1:6" ht="38.1" customHeight="1" thickBot="1" x14ac:dyDescent="0.35">
      <c r="A192" s="58" t="s">
        <v>132</v>
      </c>
      <c r="B192" s="62">
        <v>150</v>
      </c>
      <c r="C192" s="62"/>
      <c r="D192" s="62"/>
      <c r="E192" s="60" t="s">
        <v>139</v>
      </c>
      <c r="F192" s="60" t="s">
        <v>147</v>
      </c>
    </row>
    <row r="193" spans="1:6" ht="38.1" customHeight="1" thickBot="1" x14ac:dyDescent="0.35">
      <c r="A193" s="59" t="s">
        <v>133</v>
      </c>
      <c r="B193" s="64">
        <v>240</v>
      </c>
      <c r="C193" s="64"/>
      <c r="D193" s="65"/>
      <c r="E193" s="61"/>
      <c r="F193" s="61" t="s">
        <v>140</v>
      </c>
    </row>
    <row r="194" spans="1:6" ht="50.1" customHeight="1" thickBot="1" x14ac:dyDescent="0.35"/>
    <row r="195" spans="1:6" ht="12" customHeight="1" x14ac:dyDescent="0.3">
      <c r="A195" s="102" t="s">
        <v>124</v>
      </c>
      <c r="B195" s="103"/>
      <c r="C195" s="103"/>
      <c r="D195" s="114"/>
      <c r="E195" s="55" t="s">
        <v>125</v>
      </c>
      <c r="F195" s="55" t="s">
        <v>130</v>
      </c>
    </row>
    <row r="196" spans="1:6" ht="23.1" customHeight="1" thickBot="1" x14ac:dyDescent="0.35">
      <c r="A196" s="108" t="s">
        <v>105</v>
      </c>
      <c r="B196" s="109"/>
      <c r="C196" s="109"/>
      <c r="D196" s="110"/>
      <c r="E196" s="111" t="s">
        <v>94</v>
      </c>
      <c r="F196" s="111">
        <v>3</v>
      </c>
    </row>
    <row r="197" spans="1:6" ht="12" customHeight="1" thickBot="1" x14ac:dyDescent="0.35">
      <c r="A197" s="102" t="s">
        <v>126</v>
      </c>
      <c r="B197" s="103"/>
      <c r="C197" s="103"/>
      <c r="D197" s="114"/>
      <c r="E197" s="112"/>
      <c r="F197" s="112"/>
    </row>
    <row r="198" spans="1:6" ht="23.1" customHeight="1" thickBot="1" x14ac:dyDescent="0.35">
      <c r="A198" s="108" t="s">
        <v>12</v>
      </c>
      <c r="B198" s="109"/>
      <c r="C198" s="109"/>
      <c r="D198" s="110"/>
      <c r="E198" s="113"/>
      <c r="F198" s="113"/>
    </row>
    <row r="199" spans="1:6" ht="12" customHeight="1" thickBot="1" x14ac:dyDescent="0.35">
      <c r="A199" s="55" t="s">
        <v>128</v>
      </c>
      <c r="B199" s="55" t="s">
        <v>129</v>
      </c>
      <c r="C199" s="102" t="s">
        <v>127</v>
      </c>
      <c r="D199" s="103"/>
      <c r="E199" s="104" t="s">
        <v>131</v>
      </c>
      <c r="F199" s="104" t="s">
        <v>132</v>
      </c>
    </row>
    <row r="200" spans="1:6" ht="23.1" customHeight="1" thickBot="1" x14ac:dyDescent="0.35">
      <c r="A200" s="56">
        <v>73</v>
      </c>
      <c r="B200" s="56">
        <v>74</v>
      </c>
      <c r="C200" s="106" t="s">
        <v>106</v>
      </c>
      <c r="D200" s="107"/>
      <c r="E200" s="105"/>
      <c r="F200" s="105"/>
    </row>
    <row r="201" spans="1:6" ht="38.1" customHeight="1" thickBot="1" x14ac:dyDescent="0.35">
      <c r="A201" s="57" t="s">
        <v>131</v>
      </c>
      <c r="B201" s="62">
        <v>170</v>
      </c>
      <c r="C201" s="62"/>
      <c r="D201" s="63"/>
      <c r="E201" s="60" t="s">
        <v>142</v>
      </c>
      <c r="F201" s="60" t="s">
        <v>155</v>
      </c>
    </row>
    <row r="202" spans="1:6" ht="38.1" customHeight="1" thickBot="1" x14ac:dyDescent="0.35">
      <c r="A202" s="58" t="s">
        <v>132</v>
      </c>
      <c r="B202" s="62">
        <v>117.5</v>
      </c>
      <c r="C202" s="62"/>
      <c r="D202" s="62"/>
      <c r="E202" s="60" t="s">
        <v>139</v>
      </c>
      <c r="F202" s="60" t="s">
        <v>144</v>
      </c>
    </row>
    <row r="203" spans="1:6" ht="38.1" customHeight="1" thickBot="1" x14ac:dyDescent="0.35">
      <c r="A203" s="59" t="s">
        <v>133</v>
      </c>
      <c r="B203" s="64">
        <v>215</v>
      </c>
      <c r="C203" s="64"/>
      <c r="D203" s="65"/>
      <c r="E203" s="61"/>
      <c r="F203" s="61" t="s">
        <v>140</v>
      </c>
    </row>
    <row r="204" spans="1:6" ht="12" customHeight="1" x14ac:dyDescent="0.3">
      <c r="A204" s="102" t="s">
        <v>124</v>
      </c>
      <c r="B204" s="103"/>
      <c r="C204" s="103"/>
      <c r="D204" s="114"/>
      <c r="E204" s="55" t="s">
        <v>125</v>
      </c>
      <c r="F204" s="55" t="s">
        <v>130</v>
      </c>
    </row>
    <row r="205" spans="1:6" ht="23.1" customHeight="1" thickBot="1" x14ac:dyDescent="0.35">
      <c r="A205" s="108" t="s">
        <v>120</v>
      </c>
      <c r="B205" s="109"/>
      <c r="C205" s="109"/>
      <c r="D205" s="110"/>
      <c r="E205" s="111" t="s">
        <v>94</v>
      </c>
      <c r="F205" s="111">
        <v>4</v>
      </c>
    </row>
    <row r="206" spans="1:6" ht="12" customHeight="1" thickBot="1" x14ac:dyDescent="0.35">
      <c r="A206" s="102" t="s">
        <v>126</v>
      </c>
      <c r="B206" s="103"/>
      <c r="C206" s="103"/>
      <c r="D206" s="114"/>
      <c r="E206" s="112"/>
      <c r="F206" s="112"/>
    </row>
    <row r="207" spans="1:6" ht="23.1" customHeight="1" thickBot="1" x14ac:dyDescent="0.35">
      <c r="A207" s="108" t="s">
        <v>25</v>
      </c>
      <c r="B207" s="109"/>
      <c r="C207" s="109"/>
      <c r="D207" s="110"/>
      <c r="E207" s="113"/>
      <c r="F207" s="113"/>
    </row>
    <row r="208" spans="1:6" ht="12" customHeight="1" thickBot="1" x14ac:dyDescent="0.35">
      <c r="A208" s="55" t="s">
        <v>128</v>
      </c>
      <c r="B208" s="55" t="s">
        <v>129</v>
      </c>
      <c r="C208" s="102" t="s">
        <v>127</v>
      </c>
      <c r="D208" s="103"/>
      <c r="E208" s="104" t="s">
        <v>131</v>
      </c>
      <c r="F208" s="104" t="s">
        <v>132</v>
      </c>
    </row>
    <row r="209" spans="1:6" ht="23.1" customHeight="1" thickBot="1" x14ac:dyDescent="0.35">
      <c r="A209" s="56">
        <v>96.05</v>
      </c>
      <c r="B209" s="56">
        <v>105</v>
      </c>
      <c r="C209" s="106" t="s">
        <v>121</v>
      </c>
      <c r="D209" s="107"/>
      <c r="E209" s="105"/>
      <c r="F209" s="105"/>
    </row>
    <row r="210" spans="1:6" ht="38.1" customHeight="1" thickBot="1" x14ac:dyDescent="0.35">
      <c r="A210" s="57" t="s">
        <v>131</v>
      </c>
      <c r="B210" s="62">
        <v>145</v>
      </c>
      <c r="C210" s="62"/>
      <c r="D210" s="63"/>
      <c r="E210" s="60" t="s">
        <v>142</v>
      </c>
      <c r="F210" s="60" t="s">
        <v>155</v>
      </c>
    </row>
    <row r="211" spans="1:6" ht="38.1" customHeight="1" thickBot="1" x14ac:dyDescent="0.35">
      <c r="A211" s="58" t="s">
        <v>132</v>
      </c>
      <c r="B211" s="62">
        <v>120</v>
      </c>
      <c r="C211" s="62"/>
      <c r="D211" s="62"/>
      <c r="E211" s="60" t="s">
        <v>139</v>
      </c>
      <c r="F211" s="60" t="s">
        <v>152</v>
      </c>
    </row>
    <row r="212" spans="1:6" ht="38.1" customHeight="1" thickBot="1" x14ac:dyDescent="0.35">
      <c r="A212" s="59" t="s">
        <v>133</v>
      </c>
      <c r="B212" s="64">
        <v>190</v>
      </c>
      <c r="C212" s="64"/>
      <c r="D212" s="65"/>
      <c r="E212" s="61"/>
      <c r="F212" s="61" t="s">
        <v>153</v>
      </c>
    </row>
    <row r="213" spans="1:6" ht="50.1" customHeight="1" thickBot="1" x14ac:dyDescent="0.35"/>
    <row r="214" spans="1:6" ht="12" customHeight="1" x14ac:dyDescent="0.3">
      <c r="A214" s="102" t="s">
        <v>124</v>
      </c>
      <c r="B214" s="103"/>
      <c r="C214" s="103"/>
      <c r="D214" s="114"/>
      <c r="E214" s="55" t="s">
        <v>125</v>
      </c>
      <c r="F214" s="55" t="s">
        <v>130</v>
      </c>
    </row>
    <row r="215" spans="1:6" ht="23.1" customHeight="1" thickBot="1" x14ac:dyDescent="0.35">
      <c r="A215" s="108" t="s">
        <v>115</v>
      </c>
      <c r="B215" s="109"/>
      <c r="C215" s="109"/>
      <c r="D215" s="110"/>
      <c r="E215" s="111" t="s">
        <v>94</v>
      </c>
      <c r="F215" s="111">
        <v>5</v>
      </c>
    </row>
    <row r="216" spans="1:6" ht="12" customHeight="1" thickBot="1" x14ac:dyDescent="0.35">
      <c r="A216" s="102" t="s">
        <v>126</v>
      </c>
      <c r="B216" s="103"/>
      <c r="C216" s="103"/>
      <c r="D216" s="114"/>
      <c r="E216" s="112"/>
      <c r="F216" s="112"/>
    </row>
    <row r="217" spans="1:6" ht="23.1" customHeight="1" thickBot="1" x14ac:dyDescent="0.35">
      <c r="A217" s="108" t="s">
        <v>12</v>
      </c>
      <c r="B217" s="109"/>
      <c r="C217" s="109"/>
      <c r="D217" s="110"/>
      <c r="E217" s="113"/>
      <c r="F217" s="113"/>
    </row>
    <row r="218" spans="1:6" ht="12" customHeight="1" thickBot="1" x14ac:dyDescent="0.35">
      <c r="A218" s="55" t="s">
        <v>128</v>
      </c>
      <c r="B218" s="55" t="s">
        <v>129</v>
      </c>
      <c r="C218" s="102" t="s">
        <v>127</v>
      </c>
      <c r="D218" s="103"/>
      <c r="E218" s="104" t="s">
        <v>131</v>
      </c>
      <c r="F218" s="104" t="s">
        <v>132</v>
      </c>
    </row>
    <row r="219" spans="1:6" ht="23.1" customHeight="1" thickBot="1" x14ac:dyDescent="0.35">
      <c r="A219" s="56">
        <v>73.2</v>
      </c>
      <c r="B219" s="56">
        <v>74</v>
      </c>
      <c r="C219" s="106" t="s">
        <v>116</v>
      </c>
      <c r="D219" s="107"/>
      <c r="E219" s="105"/>
      <c r="F219" s="105"/>
    </row>
    <row r="220" spans="1:6" ht="38.1" customHeight="1" thickBot="1" x14ac:dyDescent="0.35">
      <c r="A220" s="57" t="s">
        <v>131</v>
      </c>
      <c r="B220" s="62">
        <v>185</v>
      </c>
      <c r="C220" s="62"/>
      <c r="D220" s="63"/>
      <c r="E220" s="60" t="s">
        <v>142</v>
      </c>
      <c r="F220" s="60" t="s">
        <v>150</v>
      </c>
    </row>
    <row r="221" spans="1:6" ht="38.1" customHeight="1" thickBot="1" x14ac:dyDescent="0.35">
      <c r="A221" s="58" t="s">
        <v>132</v>
      </c>
      <c r="B221" s="62">
        <v>122.5</v>
      </c>
      <c r="C221" s="62"/>
      <c r="D221" s="62"/>
      <c r="E221" s="60" t="s">
        <v>139</v>
      </c>
      <c r="F221" s="60" t="s">
        <v>144</v>
      </c>
    </row>
    <row r="222" spans="1:6" ht="38.1" customHeight="1" thickBot="1" x14ac:dyDescent="0.35">
      <c r="A222" s="59" t="s">
        <v>133</v>
      </c>
      <c r="B222" s="64">
        <v>205</v>
      </c>
      <c r="C222" s="64"/>
      <c r="D222" s="65"/>
      <c r="E222" s="61"/>
      <c r="F222" s="61" t="s">
        <v>140</v>
      </c>
    </row>
    <row r="223" spans="1:6" ht="50.1" customHeight="1" thickBot="1" x14ac:dyDescent="0.35"/>
    <row r="224" spans="1:6" ht="12" customHeight="1" x14ac:dyDescent="0.3">
      <c r="A224" s="102" t="s">
        <v>124</v>
      </c>
      <c r="B224" s="103"/>
      <c r="C224" s="103"/>
      <c r="D224" s="114"/>
      <c r="E224" s="55" t="s">
        <v>125</v>
      </c>
      <c r="F224" s="55" t="s">
        <v>130</v>
      </c>
    </row>
    <row r="225" spans="1:6" ht="23.1" customHeight="1" thickBot="1" x14ac:dyDescent="0.35">
      <c r="A225" s="108" t="s">
        <v>122</v>
      </c>
      <c r="B225" s="109"/>
      <c r="C225" s="109"/>
      <c r="D225" s="110"/>
      <c r="E225" s="111" t="s">
        <v>94</v>
      </c>
      <c r="F225" s="111">
        <v>6</v>
      </c>
    </row>
    <row r="226" spans="1:6" ht="12" customHeight="1" thickBot="1" x14ac:dyDescent="0.35">
      <c r="A226" s="102" t="s">
        <v>126</v>
      </c>
      <c r="B226" s="103"/>
      <c r="C226" s="103"/>
      <c r="D226" s="114"/>
      <c r="E226" s="112"/>
      <c r="F226" s="112"/>
    </row>
    <row r="227" spans="1:6" ht="23.1" customHeight="1" thickBot="1" x14ac:dyDescent="0.35">
      <c r="A227" s="108" t="s">
        <v>12</v>
      </c>
      <c r="B227" s="109"/>
      <c r="C227" s="109"/>
      <c r="D227" s="110"/>
      <c r="E227" s="113"/>
      <c r="F227" s="113"/>
    </row>
    <row r="228" spans="1:6" ht="12" customHeight="1" thickBot="1" x14ac:dyDescent="0.35">
      <c r="A228" s="55" t="s">
        <v>128</v>
      </c>
      <c r="B228" s="55" t="s">
        <v>129</v>
      </c>
      <c r="C228" s="102" t="s">
        <v>127</v>
      </c>
      <c r="D228" s="103"/>
      <c r="E228" s="104" t="s">
        <v>131</v>
      </c>
      <c r="F228" s="104" t="s">
        <v>132</v>
      </c>
    </row>
    <row r="229" spans="1:6" ht="23.1" customHeight="1" thickBot="1" x14ac:dyDescent="0.35">
      <c r="A229" s="56">
        <v>81.7</v>
      </c>
      <c r="B229" s="56">
        <v>83</v>
      </c>
      <c r="C229" s="106" t="s">
        <v>123</v>
      </c>
      <c r="D229" s="107"/>
      <c r="E229" s="105"/>
      <c r="F229" s="105"/>
    </row>
    <row r="230" spans="1:6" ht="38.1" customHeight="1" thickBot="1" x14ac:dyDescent="0.35">
      <c r="A230" s="57" t="s">
        <v>131</v>
      </c>
      <c r="B230" s="62">
        <v>150</v>
      </c>
      <c r="C230" s="62"/>
      <c r="D230" s="63"/>
      <c r="E230" s="60" t="s">
        <v>142</v>
      </c>
      <c r="F230" s="60" t="s">
        <v>155</v>
      </c>
    </row>
    <row r="231" spans="1:6" ht="38.1" customHeight="1" thickBot="1" x14ac:dyDescent="0.35">
      <c r="A231" s="58" t="s">
        <v>132</v>
      </c>
      <c r="B231" s="62">
        <v>100</v>
      </c>
      <c r="C231" s="62"/>
      <c r="D231" s="62"/>
      <c r="E231" s="60" t="s">
        <v>139</v>
      </c>
      <c r="F231" s="60" t="s">
        <v>152</v>
      </c>
    </row>
    <row r="232" spans="1:6" ht="38.1" customHeight="1" thickBot="1" x14ac:dyDescent="0.35">
      <c r="A232" s="59" t="s">
        <v>133</v>
      </c>
      <c r="B232" s="64">
        <v>230</v>
      </c>
      <c r="C232" s="64"/>
      <c r="D232" s="65"/>
      <c r="E232" s="61"/>
      <c r="F232" s="61" t="s">
        <v>153</v>
      </c>
    </row>
    <row r="233" spans="1:6" ht="12" customHeight="1" x14ac:dyDescent="0.3">
      <c r="A233" s="102" t="s">
        <v>124</v>
      </c>
      <c r="B233" s="103"/>
      <c r="C233" s="103"/>
      <c r="D233" s="114"/>
      <c r="E233" s="55" t="s">
        <v>125</v>
      </c>
      <c r="F233" s="55" t="s">
        <v>130</v>
      </c>
    </row>
    <row r="234" spans="1:6" ht="23.1" customHeight="1" thickBot="1" x14ac:dyDescent="0.35">
      <c r="A234" s="108" t="s">
        <v>98</v>
      </c>
      <c r="B234" s="109"/>
      <c r="C234" s="109"/>
      <c r="D234" s="110"/>
      <c r="E234" s="111" t="s">
        <v>94</v>
      </c>
      <c r="F234" s="111">
        <v>7</v>
      </c>
    </row>
    <row r="235" spans="1:6" ht="12" customHeight="1" thickBot="1" x14ac:dyDescent="0.35">
      <c r="A235" s="102" t="s">
        <v>126</v>
      </c>
      <c r="B235" s="103"/>
      <c r="C235" s="103"/>
      <c r="D235" s="114"/>
      <c r="E235" s="112"/>
      <c r="F235" s="112"/>
    </row>
    <row r="236" spans="1:6" ht="23.1" customHeight="1" thickBot="1" x14ac:dyDescent="0.35">
      <c r="A236" s="108" t="s">
        <v>10</v>
      </c>
      <c r="B236" s="109"/>
      <c r="C236" s="109"/>
      <c r="D236" s="110"/>
      <c r="E236" s="113"/>
      <c r="F236" s="113"/>
    </row>
    <row r="237" spans="1:6" ht="12" customHeight="1" thickBot="1" x14ac:dyDescent="0.35">
      <c r="A237" s="55" t="s">
        <v>128</v>
      </c>
      <c r="B237" s="55" t="s">
        <v>129</v>
      </c>
      <c r="C237" s="102" t="s">
        <v>127</v>
      </c>
      <c r="D237" s="103"/>
      <c r="E237" s="104" t="s">
        <v>131</v>
      </c>
      <c r="F237" s="104" t="s">
        <v>132</v>
      </c>
    </row>
    <row r="238" spans="1:6" ht="23.1" customHeight="1" thickBot="1" x14ac:dyDescent="0.35">
      <c r="A238" s="56">
        <v>92.5</v>
      </c>
      <c r="B238" s="56">
        <v>93</v>
      </c>
      <c r="C238" s="106" t="s">
        <v>99</v>
      </c>
      <c r="D238" s="107"/>
      <c r="E238" s="105"/>
      <c r="F238" s="105"/>
    </row>
    <row r="239" spans="1:6" ht="38.1" customHeight="1" thickBot="1" x14ac:dyDescent="0.35">
      <c r="A239" s="57" t="s">
        <v>131</v>
      </c>
      <c r="B239" s="62">
        <v>180</v>
      </c>
      <c r="C239" s="62"/>
      <c r="D239" s="63"/>
      <c r="E239" s="60" t="s">
        <v>142</v>
      </c>
      <c r="F239" s="60" t="s">
        <v>155</v>
      </c>
    </row>
    <row r="240" spans="1:6" ht="38.1" customHeight="1" thickBot="1" x14ac:dyDescent="0.35">
      <c r="A240" s="58" t="s">
        <v>132</v>
      </c>
      <c r="B240" s="62">
        <v>115</v>
      </c>
      <c r="C240" s="62"/>
      <c r="D240" s="62"/>
      <c r="E240" s="60" t="s">
        <v>139</v>
      </c>
      <c r="F240" s="60" t="s">
        <v>144</v>
      </c>
    </row>
    <row r="241" spans="1:6" ht="38.1" customHeight="1" thickBot="1" x14ac:dyDescent="0.35">
      <c r="A241" s="59" t="s">
        <v>133</v>
      </c>
      <c r="B241" s="64">
        <v>220</v>
      </c>
      <c r="C241" s="64"/>
      <c r="D241" s="65"/>
      <c r="E241" s="61"/>
      <c r="F241" s="61" t="s">
        <v>140</v>
      </c>
    </row>
    <row r="242" spans="1:6" ht="50.1" customHeight="1" thickBot="1" x14ac:dyDescent="0.35"/>
    <row r="243" spans="1:6" ht="12" customHeight="1" x14ac:dyDescent="0.3">
      <c r="A243" s="102" t="s">
        <v>124</v>
      </c>
      <c r="B243" s="103"/>
      <c r="C243" s="103"/>
      <c r="D243" s="114"/>
      <c r="E243" s="55" t="s">
        <v>125</v>
      </c>
      <c r="F243" s="55" t="s">
        <v>130</v>
      </c>
    </row>
    <row r="244" spans="1:6" ht="23.1" customHeight="1" thickBot="1" x14ac:dyDescent="0.35">
      <c r="A244" s="108" t="s">
        <v>117</v>
      </c>
      <c r="B244" s="109"/>
      <c r="C244" s="109"/>
      <c r="D244" s="110"/>
      <c r="E244" s="111" t="s">
        <v>94</v>
      </c>
      <c r="F244" s="111">
        <v>8</v>
      </c>
    </row>
    <row r="245" spans="1:6" ht="12" customHeight="1" thickBot="1" x14ac:dyDescent="0.35">
      <c r="A245" s="102" t="s">
        <v>126</v>
      </c>
      <c r="B245" s="103"/>
      <c r="C245" s="103"/>
      <c r="D245" s="114"/>
      <c r="E245" s="112"/>
      <c r="F245" s="112"/>
    </row>
    <row r="246" spans="1:6" ht="23.1" customHeight="1" thickBot="1" x14ac:dyDescent="0.35">
      <c r="A246" s="108" t="s">
        <v>12</v>
      </c>
      <c r="B246" s="109"/>
      <c r="C246" s="109"/>
      <c r="D246" s="110"/>
      <c r="E246" s="113"/>
      <c r="F246" s="113"/>
    </row>
    <row r="247" spans="1:6" ht="12" customHeight="1" thickBot="1" x14ac:dyDescent="0.35">
      <c r="A247" s="55" t="s">
        <v>128</v>
      </c>
      <c r="B247" s="55" t="s">
        <v>129</v>
      </c>
      <c r="C247" s="102" t="s">
        <v>127</v>
      </c>
      <c r="D247" s="103"/>
      <c r="E247" s="104" t="s">
        <v>131</v>
      </c>
      <c r="F247" s="104" t="s">
        <v>132</v>
      </c>
    </row>
    <row r="248" spans="1:6" ht="23.1" customHeight="1" thickBot="1" x14ac:dyDescent="0.35">
      <c r="A248" s="56">
        <v>73.2</v>
      </c>
      <c r="B248" s="56">
        <v>74</v>
      </c>
      <c r="C248" s="106" t="s">
        <v>118</v>
      </c>
      <c r="D248" s="107"/>
      <c r="E248" s="105"/>
      <c r="F248" s="105"/>
    </row>
    <row r="249" spans="1:6" ht="38.1" customHeight="1" thickBot="1" x14ac:dyDescent="0.35">
      <c r="A249" s="57" t="s">
        <v>131</v>
      </c>
      <c r="B249" s="62">
        <v>175</v>
      </c>
      <c r="C249" s="62"/>
      <c r="D249" s="63"/>
      <c r="E249" s="60" t="s">
        <v>142</v>
      </c>
      <c r="F249" s="60" t="s">
        <v>150</v>
      </c>
    </row>
    <row r="250" spans="1:6" ht="38.1" customHeight="1" thickBot="1" x14ac:dyDescent="0.35">
      <c r="A250" s="58" t="s">
        <v>132</v>
      </c>
      <c r="B250" s="62">
        <v>117.5</v>
      </c>
      <c r="C250" s="62"/>
      <c r="D250" s="62"/>
      <c r="E250" s="60" t="s">
        <v>139</v>
      </c>
      <c r="F250" s="60" t="s">
        <v>152</v>
      </c>
    </row>
    <row r="251" spans="1:6" ht="38.1" customHeight="1" thickBot="1" x14ac:dyDescent="0.35">
      <c r="A251" s="59" t="s">
        <v>133</v>
      </c>
      <c r="B251" s="64">
        <v>202.5</v>
      </c>
      <c r="C251" s="64"/>
      <c r="D251" s="65"/>
      <c r="E251" s="61"/>
      <c r="F251" s="61" t="s">
        <v>140</v>
      </c>
    </row>
    <row r="252" spans="1:6" ht="50.1" customHeight="1" thickBot="1" x14ac:dyDescent="0.35"/>
    <row r="253" spans="1:6" ht="12" customHeight="1" x14ac:dyDescent="0.3">
      <c r="A253" s="102" t="s">
        <v>124</v>
      </c>
      <c r="B253" s="103"/>
      <c r="C253" s="103"/>
      <c r="D253" s="114"/>
      <c r="E253" s="55" t="s">
        <v>125</v>
      </c>
      <c r="F253" s="55" t="s">
        <v>130</v>
      </c>
    </row>
    <row r="254" spans="1:6" ht="23.1" customHeight="1" thickBot="1" x14ac:dyDescent="0.35">
      <c r="A254" s="108" t="s">
        <v>101</v>
      </c>
      <c r="B254" s="109"/>
      <c r="C254" s="109"/>
      <c r="D254" s="110"/>
      <c r="E254" s="111" t="s">
        <v>94</v>
      </c>
      <c r="F254" s="111">
        <v>9</v>
      </c>
    </row>
    <row r="255" spans="1:6" ht="12" customHeight="1" thickBot="1" x14ac:dyDescent="0.35">
      <c r="A255" s="102" t="s">
        <v>126</v>
      </c>
      <c r="B255" s="103"/>
      <c r="C255" s="103"/>
      <c r="D255" s="114"/>
      <c r="E255" s="112"/>
      <c r="F255" s="112"/>
    </row>
    <row r="256" spans="1:6" ht="23.1" customHeight="1" thickBot="1" x14ac:dyDescent="0.35">
      <c r="A256" s="108" t="s">
        <v>12</v>
      </c>
      <c r="B256" s="109"/>
      <c r="C256" s="109"/>
      <c r="D256" s="110"/>
      <c r="E256" s="113"/>
      <c r="F256" s="113"/>
    </row>
    <row r="257" spans="1:6" ht="12" customHeight="1" thickBot="1" x14ac:dyDescent="0.35">
      <c r="A257" s="55" t="s">
        <v>128</v>
      </c>
      <c r="B257" s="55" t="s">
        <v>129</v>
      </c>
      <c r="C257" s="102" t="s">
        <v>127</v>
      </c>
      <c r="D257" s="103"/>
      <c r="E257" s="104" t="s">
        <v>131</v>
      </c>
      <c r="F257" s="104" t="s">
        <v>132</v>
      </c>
    </row>
    <row r="258" spans="1:6" ht="23.1" customHeight="1" thickBot="1" x14ac:dyDescent="0.35">
      <c r="A258" s="56">
        <v>75.599999999999994</v>
      </c>
      <c r="B258" s="56">
        <v>83</v>
      </c>
      <c r="C258" s="106" t="s">
        <v>102</v>
      </c>
      <c r="D258" s="107"/>
      <c r="E258" s="105"/>
      <c r="F258" s="105"/>
    </row>
    <row r="259" spans="1:6" ht="38.1" customHeight="1" thickBot="1" x14ac:dyDescent="0.35">
      <c r="A259" s="57" t="s">
        <v>131</v>
      </c>
      <c r="B259" s="62">
        <v>147.5</v>
      </c>
      <c r="C259" s="62"/>
      <c r="D259" s="63"/>
      <c r="E259" s="60" t="s">
        <v>142</v>
      </c>
      <c r="F259" s="60" t="s">
        <v>150</v>
      </c>
    </row>
    <row r="260" spans="1:6" ht="38.1" customHeight="1" thickBot="1" x14ac:dyDescent="0.35">
      <c r="A260" s="58" t="s">
        <v>132</v>
      </c>
      <c r="B260" s="62">
        <v>95</v>
      </c>
      <c r="C260" s="62"/>
      <c r="D260" s="62"/>
      <c r="E260" s="60" t="s">
        <v>139</v>
      </c>
      <c r="F260" s="60" t="s">
        <v>144</v>
      </c>
    </row>
    <row r="261" spans="1:6" ht="38.1" customHeight="1" thickBot="1" x14ac:dyDescent="0.35">
      <c r="A261" s="59" t="s">
        <v>133</v>
      </c>
      <c r="B261" s="64">
        <v>187.5</v>
      </c>
      <c r="C261" s="64"/>
      <c r="D261" s="65"/>
      <c r="E261" s="61"/>
      <c r="F261" s="61" t="s">
        <v>140</v>
      </c>
    </row>
    <row r="262" spans="1:6" ht="12" customHeight="1" x14ac:dyDescent="0.3">
      <c r="A262" s="102" t="s">
        <v>124</v>
      </c>
      <c r="B262" s="103"/>
      <c r="C262" s="103"/>
      <c r="D262" s="114"/>
      <c r="E262" s="55" t="s">
        <v>125</v>
      </c>
      <c r="F262" s="55" t="s">
        <v>130</v>
      </c>
    </row>
    <row r="263" spans="1:6" ht="23.1" customHeight="1" thickBot="1" x14ac:dyDescent="0.35">
      <c r="A263" s="108" t="s">
        <v>103</v>
      </c>
      <c r="B263" s="109"/>
      <c r="C263" s="109"/>
      <c r="D263" s="110"/>
      <c r="E263" s="111" t="s">
        <v>94</v>
      </c>
      <c r="F263" s="111">
        <v>10</v>
      </c>
    </row>
    <row r="264" spans="1:6" ht="12" customHeight="1" thickBot="1" x14ac:dyDescent="0.35">
      <c r="A264" s="102" t="s">
        <v>126</v>
      </c>
      <c r="B264" s="103"/>
      <c r="C264" s="103"/>
      <c r="D264" s="114"/>
      <c r="E264" s="112"/>
      <c r="F264" s="112"/>
    </row>
    <row r="265" spans="1:6" ht="23.1" customHeight="1" thickBot="1" x14ac:dyDescent="0.35">
      <c r="A265" s="108" t="s">
        <v>25</v>
      </c>
      <c r="B265" s="109"/>
      <c r="C265" s="109"/>
      <c r="D265" s="110"/>
      <c r="E265" s="113"/>
      <c r="F265" s="113"/>
    </row>
    <row r="266" spans="1:6" ht="12" customHeight="1" thickBot="1" x14ac:dyDescent="0.35">
      <c r="A266" s="55" t="s">
        <v>128</v>
      </c>
      <c r="B266" s="55" t="s">
        <v>129</v>
      </c>
      <c r="C266" s="102" t="s">
        <v>127</v>
      </c>
      <c r="D266" s="103"/>
      <c r="E266" s="104" t="s">
        <v>131</v>
      </c>
      <c r="F266" s="104" t="s">
        <v>132</v>
      </c>
    </row>
    <row r="267" spans="1:6" ht="23.1" customHeight="1" thickBot="1" x14ac:dyDescent="0.35">
      <c r="A267" s="56">
        <v>142.69999999999999</v>
      </c>
      <c r="B267" s="56" t="s">
        <v>156</v>
      </c>
      <c r="C267" s="106" t="s">
        <v>104</v>
      </c>
      <c r="D267" s="107"/>
      <c r="E267" s="105"/>
      <c r="F267" s="105"/>
    </row>
    <row r="268" spans="1:6" ht="38.1" customHeight="1" thickBot="1" x14ac:dyDescent="0.35">
      <c r="A268" s="57" t="s">
        <v>131</v>
      </c>
      <c r="B268" s="62">
        <v>280</v>
      </c>
      <c r="C268" s="62"/>
      <c r="D268" s="63"/>
      <c r="E268" s="60" t="s">
        <v>142</v>
      </c>
      <c r="F268" s="60" t="s">
        <v>155</v>
      </c>
    </row>
    <row r="269" spans="1:6" ht="38.1" customHeight="1" thickBot="1" x14ac:dyDescent="0.35">
      <c r="A269" s="58" t="s">
        <v>132</v>
      </c>
      <c r="B269" s="62">
        <v>180</v>
      </c>
      <c r="C269" s="62"/>
      <c r="D269" s="62"/>
      <c r="E269" s="60" t="s">
        <v>139</v>
      </c>
      <c r="F269" s="60" t="s">
        <v>152</v>
      </c>
    </row>
    <row r="270" spans="1:6" ht="38.1" customHeight="1" thickBot="1" x14ac:dyDescent="0.35">
      <c r="A270" s="59" t="s">
        <v>133</v>
      </c>
      <c r="B270" s="64">
        <v>280</v>
      </c>
      <c r="C270" s="64"/>
      <c r="D270" s="65"/>
      <c r="E270" s="61"/>
      <c r="F270" s="61" t="s">
        <v>153</v>
      </c>
    </row>
    <row r="271" spans="1:6" ht="50.1" customHeight="1" thickBot="1" x14ac:dyDescent="0.35"/>
    <row r="272" spans="1:6" ht="12" customHeight="1" x14ac:dyDescent="0.3">
      <c r="A272" s="102" t="s">
        <v>124</v>
      </c>
      <c r="B272" s="103"/>
      <c r="C272" s="103"/>
      <c r="D272" s="114"/>
      <c r="E272" s="55" t="s">
        <v>125</v>
      </c>
      <c r="F272" s="55" t="s">
        <v>130</v>
      </c>
    </row>
    <row r="273" spans="1:6" ht="23.1" customHeight="1" thickBot="1" x14ac:dyDescent="0.35">
      <c r="A273" s="108" t="s">
        <v>107</v>
      </c>
      <c r="B273" s="109"/>
      <c r="C273" s="109"/>
      <c r="D273" s="110"/>
      <c r="E273" s="111" t="s">
        <v>94</v>
      </c>
      <c r="F273" s="111">
        <v>11</v>
      </c>
    </row>
    <row r="274" spans="1:6" ht="12" customHeight="1" thickBot="1" x14ac:dyDescent="0.35">
      <c r="A274" s="102" t="s">
        <v>126</v>
      </c>
      <c r="B274" s="103"/>
      <c r="C274" s="103"/>
      <c r="D274" s="114"/>
      <c r="E274" s="112"/>
      <c r="F274" s="112"/>
    </row>
    <row r="275" spans="1:6" ht="23.1" customHeight="1" thickBot="1" x14ac:dyDescent="0.35">
      <c r="A275" s="108" t="s">
        <v>12</v>
      </c>
      <c r="B275" s="109"/>
      <c r="C275" s="109"/>
      <c r="D275" s="110"/>
      <c r="E275" s="113"/>
      <c r="F275" s="113"/>
    </row>
    <row r="276" spans="1:6" ht="12" customHeight="1" thickBot="1" x14ac:dyDescent="0.35">
      <c r="A276" s="55" t="s">
        <v>128</v>
      </c>
      <c r="B276" s="55" t="s">
        <v>129</v>
      </c>
      <c r="C276" s="102" t="s">
        <v>127</v>
      </c>
      <c r="D276" s="103"/>
      <c r="E276" s="104" t="s">
        <v>131</v>
      </c>
      <c r="F276" s="104" t="s">
        <v>132</v>
      </c>
    </row>
    <row r="277" spans="1:6" ht="23.1" customHeight="1" thickBot="1" x14ac:dyDescent="0.35">
      <c r="A277" s="56">
        <v>115.15</v>
      </c>
      <c r="B277" s="56">
        <v>120</v>
      </c>
      <c r="C277" s="106" t="s">
        <v>108</v>
      </c>
      <c r="D277" s="107"/>
      <c r="E277" s="105"/>
      <c r="F277" s="105"/>
    </row>
    <row r="278" spans="1:6" ht="38.1" customHeight="1" thickBot="1" x14ac:dyDescent="0.35">
      <c r="A278" s="57" t="s">
        <v>131</v>
      </c>
      <c r="B278" s="62">
        <v>190</v>
      </c>
      <c r="C278" s="62"/>
      <c r="D278" s="63"/>
      <c r="E278" s="60" t="s">
        <v>142</v>
      </c>
      <c r="F278" s="60" t="s">
        <v>157</v>
      </c>
    </row>
    <row r="279" spans="1:6" ht="38.1" customHeight="1" thickBot="1" x14ac:dyDescent="0.35">
      <c r="A279" s="58" t="s">
        <v>132</v>
      </c>
      <c r="B279" s="62">
        <v>155</v>
      </c>
      <c r="C279" s="62"/>
      <c r="D279" s="62"/>
      <c r="E279" s="60" t="s">
        <v>139</v>
      </c>
      <c r="F279" s="60" t="s">
        <v>158</v>
      </c>
    </row>
    <row r="280" spans="1:6" ht="38.1" customHeight="1" thickBot="1" x14ac:dyDescent="0.35">
      <c r="A280" s="59" t="s">
        <v>133</v>
      </c>
      <c r="B280" s="64">
        <v>240</v>
      </c>
      <c r="C280" s="64"/>
      <c r="D280" s="65"/>
      <c r="E280" s="61"/>
      <c r="F280" s="61" t="s">
        <v>153</v>
      </c>
    </row>
    <row r="281" spans="1:6" ht="50.1" customHeight="1" thickBot="1" x14ac:dyDescent="0.35"/>
    <row r="282" spans="1:6" ht="12" customHeight="1" x14ac:dyDescent="0.3">
      <c r="A282" s="102" t="s">
        <v>124</v>
      </c>
      <c r="B282" s="103"/>
      <c r="C282" s="103"/>
      <c r="D282" s="114"/>
      <c r="E282" s="55" t="s">
        <v>125</v>
      </c>
      <c r="F282" s="55" t="s">
        <v>130</v>
      </c>
    </row>
    <row r="283" spans="1:6" ht="23.1" customHeight="1" thickBot="1" x14ac:dyDescent="0.35">
      <c r="A283" s="108" t="s">
        <v>112</v>
      </c>
      <c r="B283" s="109"/>
      <c r="C283" s="109"/>
      <c r="D283" s="110"/>
      <c r="E283" s="111" t="s">
        <v>94</v>
      </c>
      <c r="F283" s="111">
        <v>12</v>
      </c>
    </row>
    <row r="284" spans="1:6" ht="12" customHeight="1" thickBot="1" x14ac:dyDescent="0.35">
      <c r="A284" s="102" t="s">
        <v>126</v>
      </c>
      <c r="B284" s="103"/>
      <c r="C284" s="103"/>
      <c r="D284" s="114"/>
      <c r="E284" s="112"/>
      <c r="F284" s="112"/>
    </row>
    <row r="285" spans="1:6" ht="23.1" customHeight="1" thickBot="1" x14ac:dyDescent="0.35">
      <c r="A285" s="108" t="s">
        <v>10</v>
      </c>
      <c r="B285" s="109"/>
      <c r="C285" s="109"/>
      <c r="D285" s="110"/>
      <c r="E285" s="113"/>
      <c r="F285" s="113"/>
    </row>
    <row r="286" spans="1:6" ht="12" customHeight="1" thickBot="1" x14ac:dyDescent="0.35">
      <c r="A286" s="55" t="s">
        <v>128</v>
      </c>
      <c r="B286" s="55" t="s">
        <v>129</v>
      </c>
      <c r="C286" s="102" t="s">
        <v>127</v>
      </c>
      <c r="D286" s="103"/>
      <c r="E286" s="104" t="s">
        <v>131</v>
      </c>
      <c r="F286" s="104" t="s">
        <v>132</v>
      </c>
    </row>
    <row r="287" spans="1:6" ht="23.1" customHeight="1" thickBot="1" x14ac:dyDescent="0.35">
      <c r="A287" s="56">
        <v>104.85</v>
      </c>
      <c r="B287" s="56">
        <v>105</v>
      </c>
      <c r="C287" s="106" t="s">
        <v>113</v>
      </c>
      <c r="D287" s="107"/>
      <c r="E287" s="105"/>
      <c r="F287" s="105"/>
    </row>
    <row r="288" spans="1:6" ht="38.1" customHeight="1" thickBot="1" x14ac:dyDescent="0.35">
      <c r="A288" s="57" t="s">
        <v>131</v>
      </c>
      <c r="B288" s="62">
        <v>220</v>
      </c>
      <c r="C288" s="62"/>
      <c r="D288" s="63"/>
      <c r="E288" s="60" t="s">
        <v>142</v>
      </c>
      <c r="F288" s="60" t="s">
        <v>159</v>
      </c>
    </row>
    <row r="289" spans="1:6" ht="38.1" customHeight="1" thickBot="1" x14ac:dyDescent="0.35">
      <c r="A289" s="58" t="s">
        <v>132</v>
      </c>
      <c r="B289" s="62">
        <v>155</v>
      </c>
      <c r="C289" s="62"/>
      <c r="D289" s="62"/>
      <c r="E289" s="60" t="s">
        <v>139</v>
      </c>
      <c r="F289" s="60" t="s">
        <v>146</v>
      </c>
    </row>
    <row r="290" spans="1:6" ht="38.1" customHeight="1" thickBot="1" x14ac:dyDescent="0.35">
      <c r="A290" s="59" t="s">
        <v>133</v>
      </c>
      <c r="B290" s="64">
        <v>240</v>
      </c>
      <c r="C290" s="64"/>
      <c r="D290" s="65"/>
      <c r="E290" s="61"/>
      <c r="F290" s="61" t="s">
        <v>140</v>
      </c>
    </row>
    <row r="291" spans="1:6" ht="50.1" customHeight="1" x14ac:dyDescent="0.3"/>
  </sheetData>
  <mergeCells count="300">
    <mergeCell ref="C15:D15"/>
    <mergeCell ref="A21:D21"/>
    <mergeCell ref="A22:D22"/>
    <mergeCell ref="E22:E24"/>
    <mergeCell ref="F22:F24"/>
    <mergeCell ref="A23:D23"/>
    <mergeCell ref="A24:D24"/>
    <mergeCell ref="C5:D5"/>
    <mergeCell ref="E5:E6"/>
    <mergeCell ref="F5:F6"/>
    <mergeCell ref="C6:D6"/>
    <mergeCell ref="A1:D1"/>
    <mergeCell ref="A2:D2"/>
    <mergeCell ref="E2:E4"/>
    <mergeCell ref="F2:F4"/>
    <mergeCell ref="A3:D3"/>
    <mergeCell ref="A4:D4"/>
    <mergeCell ref="C34:D34"/>
    <mergeCell ref="E34:E35"/>
    <mergeCell ref="F34:F35"/>
    <mergeCell ref="C35:D35"/>
    <mergeCell ref="A40:D40"/>
    <mergeCell ref="A11:D11"/>
    <mergeCell ref="A30:D30"/>
    <mergeCell ref="A31:D31"/>
    <mergeCell ref="E31:E33"/>
    <mergeCell ref="F31:F33"/>
    <mergeCell ref="A32:D32"/>
    <mergeCell ref="A33:D33"/>
    <mergeCell ref="A12:D12"/>
    <mergeCell ref="E12:E14"/>
    <mergeCell ref="F12:F14"/>
    <mergeCell ref="A13:D13"/>
    <mergeCell ref="A14:D14"/>
    <mergeCell ref="C25:D25"/>
    <mergeCell ref="E25:E26"/>
    <mergeCell ref="F25:F26"/>
    <mergeCell ref="C26:D26"/>
    <mergeCell ref="E15:E16"/>
    <mergeCell ref="F15:F16"/>
    <mergeCell ref="C16:D16"/>
    <mergeCell ref="C44:D44"/>
    <mergeCell ref="E44:E45"/>
    <mergeCell ref="F44:F45"/>
    <mergeCell ref="C45:D45"/>
    <mergeCell ref="A50:D50"/>
    <mergeCell ref="A41:D41"/>
    <mergeCell ref="E41:E43"/>
    <mergeCell ref="F41:F43"/>
    <mergeCell ref="A42:D42"/>
    <mergeCell ref="A43:D43"/>
    <mergeCell ref="C54:D54"/>
    <mergeCell ref="E54:E55"/>
    <mergeCell ref="F54:F55"/>
    <mergeCell ref="C55:D55"/>
    <mergeCell ref="A59:D59"/>
    <mergeCell ref="A51:D51"/>
    <mergeCell ref="E51:E53"/>
    <mergeCell ref="F51:F53"/>
    <mergeCell ref="A52:D52"/>
    <mergeCell ref="A53:D53"/>
    <mergeCell ref="C63:D63"/>
    <mergeCell ref="E63:E64"/>
    <mergeCell ref="F63:F64"/>
    <mergeCell ref="C64:D64"/>
    <mergeCell ref="A69:D69"/>
    <mergeCell ref="A60:D60"/>
    <mergeCell ref="E60:E62"/>
    <mergeCell ref="F60:F62"/>
    <mergeCell ref="A61:D61"/>
    <mergeCell ref="A62:D62"/>
    <mergeCell ref="C73:D73"/>
    <mergeCell ref="E73:E74"/>
    <mergeCell ref="F73:F74"/>
    <mergeCell ref="C74:D74"/>
    <mergeCell ref="A79:D79"/>
    <mergeCell ref="A70:D70"/>
    <mergeCell ref="E70:E72"/>
    <mergeCell ref="F70:F72"/>
    <mergeCell ref="A71:D71"/>
    <mergeCell ref="A72:D72"/>
    <mergeCell ref="C83:D83"/>
    <mergeCell ref="E83:E84"/>
    <mergeCell ref="F83:F84"/>
    <mergeCell ref="C84:D84"/>
    <mergeCell ref="A88:D88"/>
    <mergeCell ref="A80:D80"/>
    <mergeCell ref="E80:E82"/>
    <mergeCell ref="F80:F82"/>
    <mergeCell ref="A81:D81"/>
    <mergeCell ref="A82:D82"/>
    <mergeCell ref="C92:D92"/>
    <mergeCell ref="E92:E93"/>
    <mergeCell ref="F92:F93"/>
    <mergeCell ref="C93:D93"/>
    <mergeCell ref="A98:D98"/>
    <mergeCell ref="A89:D89"/>
    <mergeCell ref="E89:E91"/>
    <mergeCell ref="F89:F91"/>
    <mergeCell ref="A90:D90"/>
    <mergeCell ref="A91:D91"/>
    <mergeCell ref="C102:D102"/>
    <mergeCell ref="E102:E103"/>
    <mergeCell ref="F102:F103"/>
    <mergeCell ref="C103:D103"/>
    <mergeCell ref="A108:D108"/>
    <mergeCell ref="A99:D99"/>
    <mergeCell ref="E99:E101"/>
    <mergeCell ref="F99:F101"/>
    <mergeCell ref="A100:D100"/>
    <mergeCell ref="A101:D101"/>
    <mergeCell ref="C112:D112"/>
    <mergeCell ref="E112:E113"/>
    <mergeCell ref="F112:F113"/>
    <mergeCell ref="C113:D113"/>
    <mergeCell ref="A117:D117"/>
    <mergeCell ref="A109:D109"/>
    <mergeCell ref="E109:E111"/>
    <mergeCell ref="F109:F111"/>
    <mergeCell ref="A110:D110"/>
    <mergeCell ref="A111:D111"/>
    <mergeCell ref="C121:D121"/>
    <mergeCell ref="E121:E122"/>
    <mergeCell ref="F121:F122"/>
    <mergeCell ref="C122:D122"/>
    <mergeCell ref="A127:D127"/>
    <mergeCell ref="A118:D118"/>
    <mergeCell ref="E118:E120"/>
    <mergeCell ref="F118:F120"/>
    <mergeCell ref="A119:D119"/>
    <mergeCell ref="A120:D120"/>
    <mergeCell ref="C131:D131"/>
    <mergeCell ref="E131:E132"/>
    <mergeCell ref="F131:F132"/>
    <mergeCell ref="C132:D132"/>
    <mergeCell ref="A137:D137"/>
    <mergeCell ref="A128:D128"/>
    <mergeCell ref="E128:E130"/>
    <mergeCell ref="F128:F130"/>
    <mergeCell ref="A129:D129"/>
    <mergeCell ref="A130:D130"/>
    <mergeCell ref="C141:D141"/>
    <mergeCell ref="E141:E142"/>
    <mergeCell ref="F141:F142"/>
    <mergeCell ref="C142:D142"/>
    <mergeCell ref="A146:D146"/>
    <mergeCell ref="A138:D138"/>
    <mergeCell ref="E138:E140"/>
    <mergeCell ref="F138:F140"/>
    <mergeCell ref="A139:D139"/>
    <mergeCell ref="A140:D140"/>
    <mergeCell ref="C150:D150"/>
    <mergeCell ref="E150:E151"/>
    <mergeCell ref="F150:F151"/>
    <mergeCell ref="C151:D151"/>
    <mergeCell ref="A156:D156"/>
    <mergeCell ref="A147:D147"/>
    <mergeCell ref="E147:E149"/>
    <mergeCell ref="F147:F149"/>
    <mergeCell ref="A148:D148"/>
    <mergeCell ref="A149:D149"/>
    <mergeCell ref="C160:D160"/>
    <mergeCell ref="E160:E161"/>
    <mergeCell ref="F160:F161"/>
    <mergeCell ref="C161:D161"/>
    <mergeCell ref="A166:D166"/>
    <mergeCell ref="A157:D157"/>
    <mergeCell ref="E157:E159"/>
    <mergeCell ref="F157:F159"/>
    <mergeCell ref="A158:D158"/>
    <mergeCell ref="A159:D159"/>
    <mergeCell ref="C170:D170"/>
    <mergeCell ref="E170:E171"/>
    <mergeCell ref="F170:F171"/>
    <mergeCell ref="C171:D171"/>
    <mergeCell ref="A175:D175"/>
    <mergeCell ref="A167:D167"/>
    <mergeCell ref="E167:E169"/>
    <mergeCell ref="F167:F169"/>
    <mergeCell ref="A168:D168"/>
    <mergeCell ref="A169:D169"/>
    <mergeCell ref="C179:D179"/>
    <mergeCell ref="E179:E180"/>
    <mergeCell ref="F179:F180"/>
    <mergeCell ref="C180:D180"/>
    <mergeCell ref="A185:D185"/>
    <mergeCell ref="A176:D176"/>
    <mergeCell ref="E176:E178"/>
    <mergeCell ref="F176:F178"/>
    <mergeCell ref="A177:D177"/>
    <mergeCell ref="A178:D178"/>
    <mergeCell ref="C189:D189"/>
    <mergeCell ref="E189:E190"/>
    <mergeCell ref="F189:F190"/>
    <mergeCell ref="C190:D190"/>
    <mergeCell ref="A195:D195"/>
    <mergeCell ref="A186:D186"/>
    <mergeCell ref="E186:E188"/>
    <mergeCell ref="F186:F188"/>
    <mergeCell ref="A187:D187"/>
    <mergeCell ref="A188:D188"/>
    <mergeCell ref="C199:D199"/>
    <mergeCell ref="E199:E200"/>
    <mergeCell ref="F199:F200"/>
    <mergeCell ref="C200:D200"/>
    <mergeCell ref="A204:D204"/>
    <mergeCell ref="A196:D196"/>
    <mergeCell ref="E196:E198"/>
    <mergeCell ref="F196:F198"/>
    <mergeCell ref="A197:D197"/>
    <mergeCell ref="A198:D198"/>
    <mergeCell ref="C208:D208"/>
    <mergeCell ref="E208:E209"/>
    <mergeCell ref="F208:F209"/>
    <mergeCell ref="C209:D209"/>
    <mergeCell ref="A214:D214"/>
    <mergeCell ref="A205:D205"/>
    <mergeCell ref="E205:E207"/>
    <mergeCell ref="F205:F207"/>
    <mergeCell ref="A206:D206"/>
    <mergeCell ref="A207:D207"/>
    <mergeCell ref="C218:D218"/>
    <mergeCell ref="E218:E219"/>
    <mergeCell ref="F218:F219"/>
    <mergeCell ref="C219:D219"/>
    <mergeCell ref="A224:D224"/>
    <mergeCell ref="A215:D215"/>
    <mergeCell ref="E215:E217"/>
    <mergeCell ref="F215:F217"/>
    <mergeCell ref="A216:D216"/>
    <mergeCell ref="A217:D217"/>
    <mergeCell ref="C228:D228"/>
    <mergeCell ref="E228:E229"/>
    <mergeCell ref="F228:F229"/>
    <mergeCell ref="C229:D229"/>
    <mergeCell ref="A233:D233"/>
    <mergeCell ref="A225:D225"/>
    <mergeCell ref="E225:E227"/>
    <mergeCell ref="F225:F227"/>
    <mergeCell ref="A226:D226"/>
    <mergeCell ref="A227:D227"/>
    <mergeCell ref="C237:D237"/>
    <mergeCell ref="E237:E238"/>
    <mergeCell ref="F237:F238"/>
    <mergeCell ref="C238:D238"/>
    <mergeCell ref="A243:D243"/>
    <mergeCell ref="A234:D234"/>
    <mergeCell ref="E234:E236"/>
    <mergeCell ref="F234:F236"/>
    <mergeCell ref="A235:D235"/>
    <mergeCell ref="A236:D236"/>
    <mergeCell ref="C247:D247"/>
    <mergeCell ref="E247:E248"/>
    <mergeCell ref="F247:F248"/>
    <mergeCell ref="C248:D248"/>
    <mergeCell ref="A253:D253"/>
    <mergeCell ref="A244:D244"/>
    <mergeCell ref="E244:E246"/>
    <mergeCell ref="F244:F246"/>
    <mergeCell ref="A245:D245"/>
    <mergeCell ref="A246:D246"/>
    <mergeCell ref="C257:D257"/>
    <mergeCell ref="E257:E258"/>
    <mergeCell ref="F257:F258"/>
    <mergeCell ref="C258:D258"/>
    <mergeCell ref="A262:D262"/>
    <mergeCell ref="A254:D254"/>
    <mergeCell ref="E254:E256"/>
    <mergeCell ref="F254:F256"/>
    <mergeCell ref="A255:D255"/>
    <mergeCell ref="A256:D256"/>
    <mergeCell ref="C266:D266"/>
    <mergeCell ref="E266:E267"/>
    <mergeCell ref="F266:F267"/>
    <mergeCell ref="C267:D267"/>
    <mergeCell ref="A272:D272"/>
    <mergeCell ref="A263:D263"/>
    <mergeCell ref="E263:E265"/>
    <mergeCell ref="F263:F265"/>
    <mergeCell ref="A264:D264"/>
    <mergeCell ref="A265:D265"/>
    <mergeCell ref="C276:D276"/>
    <mergeCell ref="E276:E277"/>
    <mergeCell ref="F276:F277"/>
    <mergeCell ref="C277:D277"/>
    <mergeCell ref="A282:D282"/>
    <mergeCell ref="A273:D273"/>
    <mergeCell ref="E273:E275"/>
    <mergeCell ref="F273:F275"/>
    <mergeCell ref="A274:D274"/>
    <mergeCell ref="A275:D275"/>
    <mergeCell ref="C286:D286"/>
    <mergeCell ref="E286:E287"/>
    <mergeCell ref="F286:F287"/>
    <mergeCell ref="C287:D287"/>
    <mergeCell ref="A283:D283"/>
    <mergeCell ref="E283:E285"/>
    <mergeCell ref="F283:F285"/>
    <mergeCell ref="A284:D284"/>
    <mergeCell ref="A285:D285"/>
  </mergeCells>
  <printOptions horizontalCentered="1" verticalCentered="1"/>
  <pageMargins left="0.70866141732283472" right="0.70866141732283472" top="0.47244094488188981" bottom="0.47244094488188981" header="0.31496062992125984" footer="0.31496062992125984"/>
  <pageSetup paperSize="9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Setup</vt:lpstr>
      <vt:lpstr>Weigh-In</vt:lpstr>
      <vt:lpstr>Start</vt:lpstr>
      <vt:lpstr>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tianfu</dc:creator>
  <cp:lastModifiedBy>Tianfu Yun</cp:lastModifiedBy>
  <cp:lastPrinted>2018-08-31T17:47:26Z</cp:lastPrinted>
  <dcterms:created xsi:type="dcterms:W3CDTF">2018-03-08T14:24:31Z</dcterms:created>
  <dcterms:modified xsi:type="dcterms:W3CDTF">2018-08-31T17:47:30Z</dcterms:modified>
</cp:coreProperties>
</file>