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5300" windowHeight="6870" activeTab="1"/>
  </bookViews>
  <sheets>
    <sheet name="Setup" sheetId="10" r:id="rId1"/>
    <sheet name="Weigh-In" sheetId="5" r:id="rId2"/>
    <sheet name="Start" sheetId="6" r:id="rId3"/>
    <sheet name="Cards" sheetId="8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5" l="1"/>
  <c r="S2" i="5" l="1"/>
  <c r="N2" i="5"/>
</calcChain>
</file>

<file path=xl/sharedStrings.xml><?xml version="1.0" encoding="utf-8"?>
<sst xmlns="http://schemas.openxmlformats.org/spreadsheetml/2006/main" count="1137" uniqueCount="163">
  <si>
    <t>Teams</t>
  </si>
  <si>
    <t>Abrev</t>
  </si>
  <si>
    <t>Team Name</t>
  </si>
  <si>
    <t>VAIS</t>
  </si>
  <si>
    <t>Vedum AIS</t>
  </si>
  <si>
    <t>BAK</t>
  </si>
  <si>
    <t>Borås AK</t>
  </si>
  <si>
    <t>PP</t>
  </si>
  <si>
    <t>Föreningen Pure Power</t>
  </si>
  <si>
    <t>SKS</t>
  </si>
  <si>
    <t>Sommarhemmets KS</t>
  </si>
  <si>
    <t>GKK</t>
  </si>
  <si>
    <t>Göteborg KK</t>
  </si>
  <si>
    <t>M/F-Div</t>
  </si>
  <si>
    <t>Description</t>
  </si>
  <si>
    <t>Pl Code</t>
  </si>
  <si>
    <t>SKK</t>
  </si>
  <si>
    <t>Skövde KK</t>
  </si>
  <si>
    <t>M-BL</t>
  </si>
  <si>
    <t>Best Lifter Men</t>
  </si>
  <si>
    <t>FTK</t>
  </si>
  <si>
    <t>Falköpings TK</t>
  </si>
  <si>
    <t>F-BL</t>
  </si>
  <si>
    <t>Best Lifter Women</t>
  </si>
  <si>
    <t>MAK</t>
  </si>
  <si>
    <t>Muskel AK</t>
  </si>
  <si>
    <t>M-EQ</t>
  </si>
  <si>
    <t>Equipped Men</t>
  </si>
  <si>
    <t>FAK</t>
  </si>
  <si>
    <t>Fysiken AK</t>
  </si>
  <si>
    <t>VSK</t>
  </si>
  <si>
    <t>Vagnhallen SK</t>
  </si>
  <si>
    <t>Grp</t>
  </si>
  <si>
    <t>Name</t>
  </si>
  <si>
    <t>Team</t>
  </si>
  <si>
    <t>Div</t>
  </si>
  <si>
    <t>Bwt (kg)</t>
  </si>
  <si>
    <t>lot#</t>
  </si>
  <si>
    <t>yyyy-mm-dd</t>
  </si>
  <si>
    <t>SQ rack</t>
  </si>
  <si>
    <t>SQ-1 (kg)</t>
  </si>
  <si>
    <t>BP rack</t>
  </si>
  <si>
    <t>BP-1 (kg)</t>
  </si>
  <si>
    <t>DL-1 (kg)</t>
  </si>
  <si>
    <t>Events Entered</t>
  </si>
  <si>
    <t>A</t>
  </si>
  <si>
    <t>Sandra Eisenberg</t>
  </si>
  <si>
    <t>6/6</t>
  </si>
  <si>
    <t>BP</t>
  </si>
  <si>
    <t>Lisa Heller</t>
  </si>
  <si>
    <t>7/7</t>
  </si>
  <si>
    <t>Ellen Kerkelä</t>
  </si>
  <si>
    <t>6/7</t>
  </si>
  <si>
    <t>Johanna Jilsén</t>
  </si>
  <si>
    <t>7/6</t>
  </si>
  <si>
    <t>Sandra Jakobsson</t>
  </si>
  <si>
    <t>1981-07-06</t>
  </si>
  <si>
    <t>5/6</t>
  </si>
  <si>
    <t>Beatrice Berthner</t>
  </si>
  <si>
    <t>1968-08-30</t>
  </si>
  <si>
    <t>4/3a</t>
  </si>
  <si>
    <t>Victor Eryd</t>
  </si>
  <si>
    <t>1993-06-10</t>
  </si>
  <si>
    <t>10/7</t>
  </si>
  <si>
    <t>Pelle Arve</t>
  </si>
  <si>
    <t>1983-09-20</t>
  </si>
  <si>
    <t>10/4</t>
  </si>
  <si>
    <t>B</t>
  </si>
  <si>
    <t>Nathalie Pahlenstam</t>
  </si>
  <si>
    <t>1995-04-06</t>
  </si>
  <si>
    <t>6/3a</t>
  </si>
  <si>
    <t>PL</t>
  </si>
  <si>
    <t>Johanna Wallberg</t>
  </si>
  <si>
    <t>Frida Gustavsson</t>
  </si>
  <si>
    <t>1993-09-30</t>
  </si>
  <si>
    <t>10/6</t>
  </si>
  <si>
    <t>Ronja Andersson</t>
  </si>
  <si>
    <t>1997-01-24</t>
  </si>
  <si>
    <t>Elsa Karlsson</t>
  </si>
  <si>
    <t>7/5a</t>
  </si>
  <si>
    <t>Caroline Sandberg</t>
  </si>
  <si>
    <t>1994-05-25</t>
  </si>
  <si>
    <t>7/6a</t>
  </si>
  <si>
    <t>Isabelle Karlsson</t>
  </si>
  <si>
    <t>1991-11-22</t>
  </si>
  <si>
    <t>7/4</t>
  </si>
  <si>
    <t>Jenny Bohlin</t>
  </si>
  <si>
    <t>1992-11-30</t>
  </si>
  <si>
    <t>Cecilia Thulin</t>
  </si>
  <si>
    <t>1988-01-23</t>
  </si>
  <si>
    <t>7/5</t>
  </si>
  <si>
    <t>9/3a</t>
  </si>
  <si>
    <t>Simon Andersson</t>
  </si>
  <si>
    <t>1999-05-25</t>
  </si>
  <si>
    <t>C</t>
  </si>
  <si>
    <t>Klaes Petersson</t>
  </si>
  <si>
    <t>1988-11-04</t>
  </si>
  <si>
    <t>12/8a</t>
  </si>
  <si>
    <t>Victor Ståhl</t>
  </si>
  <si>
    <t>1993-05-06</t>
  </si>
  <si>
    <t>9/6</t>
  </si>
  <si>
    <t>Viktor Mattsson</t>
  </si>
  <si>
    <t>1985-11-18</t>
  </si>
  <si>
    <t>Kenny Johansson</t>
  </si>
  <si>
    <t>1989-08-23</t>
  </si>
  <si>
    <t>Calle Öberg</t>
  </si>
  <si>
    <t>1993-06-03</t>
  </si>
  <si>
    <t>Björn Bondemark</t>
  </si>
  <si>
    <t>1992-06-05</t>
  </si>
  <si>
    <t>8/7</t>
  </si>
  <si>
    <t>Henrik Hermansson</t>
  </si>
  <si>
    <t>1984-01-30</t>
  </si>
  <si>
    <t>Valentino Almhage</t>
  </si>
  <si>
    <t>1989-03-30</t>
  </si>
  <si>
    <t>8/4</t>
  </si>
  <si>
    <t>Martin Krisell</t>
  </si>
  <si>
    <t>1987-08-19</t>
  </si>
  <si>
    <t>Albin Björkman</t>
  </si>
  <si>
    <t>1996-11-01</t>
  </si>
  <si>
    <t>7/3</t>
  </si>
  <si>
    <t>Philip Torgersson</t>
  </si>
  <si>
    <t>1995-05-02</t>
  </si>
  <si>
    <t>Kennedy Wandera</t>
  </si>
  <si>
    <t>1982-01-26</t>
  </si>
  <si>
    <t>Namn</t>
  </si>
  <si>
    <t>Grupp</t>
  </si>
  <si>
    <t>Sign</t>
  </si>
  <si>
    <t>Klubb</t>
  </si>
  <si>
    <t>Personnummer</t>
  </si>
  <si>
    <t>Höjdinställningar</t>
  </si>
  <si>
    <t>Kroppsvikt</t>
  </si>
  <si>
    <t>Klass</t>
  </si>
  <si>
    <t>Lott</t>
  </si>
  <si>
    <t>Resultat</t>
  </si>
  <si>
    <t>Knäböj</t>
  </si>
  <si>
    <t>Ställningshöjd</t>
  </si>
  <si>
    <t>Bänkpress</t>
  </si>
  <si>
    <t>Marklyft</t>
  </si>
  <si>
    <t>Safetyrack</t>
  </si>
  <si>
    <t>Total</t>
  </si>
  <si>
    <t>Invägning:</t>
  </si>
  <si>
    <t>Start:</t>
  </si>
  <si>
    <t>Grupp B</t>
  </si>
  <si>
    <t>Grupp A</t>
  </si>
  <si>
    <t>Grupp C</t>
  </si>
  <si>
    <t>Utrustat?</t>
  </si>
  <si>
    <t>Infällt?</t>
  </si>
  <si>
    <t>Avlyft?</t>
  </si>
  <si>
    <t>15i</t>
  </si>
  <si>
    <t>4</t>
  </si>
  <si>
    <t>Avlyft?     JA</t>
  </si>
  <si>
    <t>7</t>
  </si>
  <si>
    <t>Utrustat?     JA</t>
  </si>
  <si>
    <t>Infällt?     JA</t>
  </si>
  <si>
    <t>5</t>
  </si>
  <si>
    <t>6</t>
  </si>
  <si>
    <t>10</t>
  </si>
  <si>
    <t>9</t>
  </si>
  <si>
    <t>12</t>
  </si>
  <si>
    <t>8</t>
  </si>
  <si>
    <t>84+</t>
  </si>
  <si>
    <t>120+</t>
  </si>
  <si>
    <t>Divisions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</si>
</sst>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hh]:mm:ss.00"/>
  </numFmts>
  <fonts count="15" x14ac:knownFonts="1">
    <font>
      <sz val="11"/>
      <color theme="1"/>
      <name val="Calibri"/>
      <family val="2"/>
      <scheme val="minor"/>
    </font>
    <font>
      <sz val="10"/>
      <name val="Arial"/>
    </font>
    <font>
      <sz val="2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8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name val="Calibri"/>
      <family val="2"/>
    </font>
    <font>
      <sz val="2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E5DFE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46">
    <xf numFmtId="0" fontId="0" fillId="0" borderId="0" xfId="0"/>
    <xf numFmtId="164" fontId="1" fillId="0" borderId="0" xfId="1" applyNumberFormat="1" applyFill="1"/>
    <xf numFmtId="0" fontId="1" fillId="0" borderId="0" xfId="1" applyFill="1"/>
    <xf numFmtId="0" fontId="1" fillId="0" borderId="0" xfId="1" applyFill="1" applyAlignment="1">
      <alignment horizontal="center"/>
    </xf>
    <xf numFmtId="0" fontId="1" fillId="2" borderId="8" xfId="1" applyFill="1" applyBorder="1" applyAlignment="1">
      <alignment horizontal="center"/>
    </xf>
    <xf numFmtId="0" fontId="1" fillId="0" borderId="9" xfId="1" applyFill="1" applyBorder="1" applyAlignment="1" applyProtection="1">
      <alignment horizontal="center"/>
      <protection locked="0"/>
    </xf>
    <xf numFmtId="0" fontId="3" fillId="0" borderId="9" xfId="1" applyFont="1" applyFill="1" applyBorder="1" applyAlignment="1" applyProtection="1">
      <alignment horizontal="center"/>
      <protection locked="0"/>
    </xf>
    <xf numFmtId="0" fontId="1" fillId="2" borderId="13" xfId="1" applyFill="1" applyBorder="1" applyAlignment="1">
      <alignment horizontal="center"/>
    </xf>
    <xf numFmtId="0" fontId="1" fillId="2" borderId="17" xfId="1" applyFill="1" applyBorder="1" applyAlignment="1">
      <alignment horizontal="center"/>
    </xf>
    <xf numFmtId="0" fontId="4" fillId="0" borderId="9" xfId="1" applyFont="1" applyFill="1" applyBorder="1" applyAlignment="1" applyProtection="1">
      <alignment horizontal="center"/>
      <protection locked="0"/>
    </xf>
    <xf numFmtId="0" fontId="4" fillId="0" borderId="19" xfId="1" applyFont="1" applyFill="1" applyBorder="1" applyAlignment="1" applyProtection="1">
      <alignment horizontal="center"/>
      <protection locked="0"/>
    </xf>
    <xf numFmtId="0" fontId="1" fillId="0" borderId="9" xfId="1" applyFill="1" applyBorder="1" applyAlignment="1">
      <alignment horizontal="center"/>
    </xf>
    <xf numFmtId="0" fontId="1" fillId="0" borderId="0" xfId="1" applyFill="1" applyProtection="1"/>
    <xf numFmtId="0" fontId="1" fillId="0" borderId="0" xfId="1" applyFill="1" applyAlignment="1" applyProtection="1">
      <alignment horizontal="right"/>
    </xf>
    <xf numFmtId="0" fontId="1" fillId="0" borderId="20" xfId="1" applyFill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2" fontId="3" fillId="0" borderId="0" xfId="0" applyNumberFormat="1" applyFont="1" applyBorder="1" applyAlignment="1" applyProtection="1">
      <alignment horizontal="center"/>
      <protection locked="0"/>
    </xf>
    <xf numFmtId="14" fontId="3" fillId="0" borderId="0" xfId="0" applyNumberFormat="1" applyFont="1" applyBorder="1" applyAlignment="1" applyProtection="1">
      <alignment horizontal="center"/>
      <protection locked="0"/>
    </xf>
    <xf numFmtId="49" fontId="3" fillId="0" borderId="0" xfId="0" applyNumberFormat="1" applyFont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</xf>
    <xf numFmtId="0" fontId="3" fillId="0" borderId="0" xfId="0" applyFont="1" applyFill="1" applyBorder="1" applyProtection="1"/>
    <xf numFmtId="0" fontId="3" fillId="0" borderId="0" xfId="1" applyFont="1" applyProtection="1"/>
    <xf numFmtId="0" fontId="5" fillId="2" borderId="1" xfId="0" applyFont="1" applyFill="1" applyBorder="1" applyAlignment="1" applyProtection="1">
      <alignment horizontal="center" wrapText="1"/>
      <protection locked="0"/>
    </xf>
    <xf numFmtId="0" fontId="5" fillId="0" borderId="0" xfId="0" applyFont="1" applyFill="1" applyBorder="1" applyAlignment="1" applyProtection="1">
      <alignment vertical="center" wrapText="1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0" xfId="1" applyFont="1" applyFill="1" applyBorder="1" applyAlignment="1" applyProtection="1">
      <alignment vertical="center" wrapText="1"/>
    </xf>
    <xf numFmtId="0" fontId="3" fillId="0" borderId="1" xfId="0" applyFont="1" applyBorder="1" applyAlignment="1" applyProtection="1">
      <alignment horizontal="center"/>
      <protection locked="0"/>
    </xf>
    <xf numFmtId="49" fontId="3" fillId="0" borderId="1" xfId="0" applyNumberFormat="1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3" fillId="0" borderId="0" xfId="1" applyFont="1" applyProtection="1">
      <protection locked="0"/>
    </xf>
    <xf numFmtId="2" fontId="3" fillId="0" borderId="10" xfId="0" applyNumberFormat="1" applyFont="1" applyBorder="1" applyAlignment="1" applyProtection="1">
      <alignment horizontal="center"/>
      <protection locked="0"/>
    </xf>
    <xf numFmtId="14" fontId="3" fillId="0" borderId="18" xfId="0" applyNumberFormat="1" applyFont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49" fontId="5" fillId="2" borderId="1" xfId="0" applyNumberFormat="1" applyFont="1" applyFill="1" applyBorder="1" applyAlignment="1" applyProtection="1">
      <alignment horizontal="center" wrapText="1"/>
      <protection locked="0"/>
    </xf>
    <xf numFmtId="2" fontId="5" fillId="2" borderId="10" xfId="0" applyNumberFormat="1" applyFont="1" applyFill="1" applyBorder="1" applyAlignment="1" applyProtection="1">
      <alignment horizontal="center"/>
      <protection locked="0"/>
    </xf>
    <xf numFmtId="14" fontId="5" fillId="2" borderId="18" xfId="0" applyNumberFormat="1" applyFont="1" applyFill="1" applyBorder="1" applyAlignment="1" applyProtection="1">
      <alignment horizontal="center" wrapText="1"/>
      <protection locked="0"/>
    </xf>
    <xf numFmtId="0" fontId="6" fillId="0" borderId="0" xfId="0" applyFont="1"/>
    <xf numFmtId="0" fontId="8" fillId="4" borderId="7" xfId="0" applyFont="1" applyFill="1" applyBorder="1" applyAlignment="1">
      <alignment horizontal="left" vertical="center" wrapText="1"/>
    </xf>
    <xf numFmtId="0" fontId="8" fillId="0" borderId="24" xfId="0" applyFont="1" applyBorder="1" applyAlignment="1">
      <alignment horizontal="center" vertical="center" wrapText="1"/>
    </xf>
    <xf numFmtId="0" fontId="9" fillId="0" borderId="0" xfId="0" applyFont="1"/>
    <xf numFmtId="0" fontId="10" fillId="0" borderId="0" xfId="0" applyFont="1"/>
    <xf numFmtId="20" fontId="10" fillId="0" borderId="0" xfId="0" applyNumberFormat="1" applyFont="1" applyAlignment="1">
      <alignment horizontal="left"/>
    </xf>
    <xf numFmtId="0" fontId="11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11" fillId="0" borderId="1" xfId="0" applyFont="1" applyBorder="1"/>
    <xf numFmtId="0" fontId="11" fillId="0" borderId="1" xfId="0" applyFont="1" applyBorder="1" applyAlignment="1">
      <alignment horizontal="center"/>
    </xf>
    <xf numFmtId="0" fontId="11" fillId="0" borderId="1" xfId="0" applyFont="1" applyBorder="1" applyAlignment="1">
      <alignment horizontal="left"/>
    </xf>
    <xf numFmtId="0" fontId="11" fillId="5" borderId="1" xfId="0" applyFont="1" applyFill="1" applyBorder="1" applyAlignment="1">
      <alignment horizontal="center"/>
    </xf>
    <xf numFmtId="0" fontId="11" fillId="5" borderId="1" xfId="0" applyFont="1" applyFill="1" applyBorder="1" applyAlignment="1">
      <alignment horizontal="left"/>
    </xf>
    <xf numFmtId="0" fontId="11" fillId="5" borderId="1" xfId="0" applyFont="1" applyFill="1" applyBorder="1"/>
    <xf numFmtId="0" fontId="13" fillId="4" borderId="28" xfId="0" applyFont="1" applyFill="1" applyBorder="1" applyAlignment="1">
      <alignment horizontal="center" vertical="center" wrapText="1"/>
    </xf>
    <xf numFmtId="49" fontId="13" fillId="4" borderId="28" xfId="0" applyNumberFormat="1" applyFont="1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left" vertical="center" wrapText="1"/>
    </xf>
    <xf numFmtId="0" fontId="7" fillId="4" borderId="27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8" fillId="0" borderId="28" xfId="0" applyFont="1" applyBorder="1" applyAlignment="1">
      <alignment horizontal="left" vertical="center" wrapText="1"/>
    </xf>
    <xf numFmtId="0" fontId="13" fillId="0" borderId="26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8" fillId="0" borderId="28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center" vertical="center" wrapText="1"/>
    </xf>
    <xf numFmtId="0" fontId="4" fillId="0" borderId="10" xfId="1" applyFont="1" applyFill="1" applyBorder="1" applyAlignment="1" applyProtection="1">
      <alignment horizontal="center" vertical="center"/>
      <protection locked="0"/>
    </xf>
    <xf numFmtId="0" fontId="4" fillId="0" borderId="11" xfId="1" applyFont="1" applyFill="1" applyBorder="1" applyAlignment="1" applyProtection="1">
      <alignment horizontal="center" vertical="center"/>
      <protection locked="0"/>
    </xf>
    <xf numFmtId="0" fontId="4" fillId="0" borderId="18" xfId="1" applyFont="1" applyFill="1" applyBorder="1" applyAlignment="1" applyProtection="1">
      <alignment horizontal="center" vertical="center"/>
      <protection locked="0"/>
    </xf>
    <xf numFmtId="0" fontId="1" fillId="0" borderId="10" xfId="1" applyFill="1" applyBorder="1" applyAlignment="1" applyProtection="1">
      <alignment horizontal="center"/>
      <protection locked="0"/>
    </xf>
    <xf numFmtId="0" fontId="1" fillId="0" borderId="11" xfId="1" applyFill="1" applyBorder="1" applyAlignment="1" applyProtection="1">
      <alignment horizontal="center"/>
      <protection locked="0"/>
    </xf>
    <xf numFmtId="0" fontId="1" fillId="0" borderId="12" xfId="1" applyFill="1" applyBorder="1" applyAlignment="1" applyProtection="1">
      <alignment horizontal="center"/>
      <protection locked="0"/>
    </xf>
    <xf numFmtId="0" fontId="1" fillId="0" borderId="21" xfId="1" applyFill="1" applyBorder="1" applyAlignment="1" applyProtection="1">
      <alignment horizontal="center"/>
      <protection locked="0"/>
    </xf>
    <xf numFmtId="0" fontId="1" fillId="0" borderId="22" xfId="1" applyFill="1" applyBorder="1" applyAlignment="1" applyProtection="1">
      <alignment horizontal="center"/>
      <protection locked="0"/>
    </xf>
    <xf numFmtId="0" fontId="1" fillId="0" borderId="23" xfId="1" applyFill="1" applyBorder="1" applyAlignment="1" applyProtection="1">
      <alignment horizontal="center"/>
      <protection locked="0"/>
    </xf>
    <xf numFmtId="0" fontId="3" fillId="0" borderId="10" xfId="1" applyFont="1" applyFill="1" applyBorder="1" applyAlignment="1" applyProtection="1">
      <alignment horizontal="center"/>
      <protection locked="0"/>
    </xf>
    <xf numFmtId="0" fontId="3" fillId="0" borderId="11" xfId="1" applyFont="1" applyFill="1" applyBorder="1" applyAlignment="1" applyProtection="1">
      <alignment horizontal="center"/>
      <protection locked="0"/>
    </xf>
    <xf numFmtId="0" fontId="3" fillId="0" borderId="12" xfId="1" applyFont="1" applyFill="1" applyBorder="1" applyAlignment="1" applyProtection="1">
      <alignment horizontal="center"/>
      <protection locked="0"/>
    </xf>
    <xf numFmtId="0" fontId="1" fillId="0" borderId="10" xfId="1" applyFill="1" applyBorder="1" applyAlignment="1">
      <alignment horizontal="center"/>
    </xf>
    <xf numFmtId="0" fontId="1" fillId="0" borderId="11" xfId="1" applyFill="1" applyBorder="1" applyAlignment="1">
      <alignment horizontal="center"/>
    </xf>
    <xf numFmtId="0" fontId="1" fillId="0" borderId="12" xfId="1" applyFill="1" applyBorder="1" applyAlignment="1">
      <alignment horizontal="center"/>
    </xf>
    <xf numFmtId="0" fontId="1" fillId="2" borderId="14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6" xfId="1" applyFill="1" applyBorder="1" applyAlignment="1">
      <alignment horizontal="center"/>
    </xf>
    <xf numFmtId="0" fontId="2" fillId="2" borderId="2" xfId="1" applyFont="1" applyFill="1" applyBorder="1" applyAlignment="1">
      <alignment horizontal="center" vertical="center"/>
    </xf>
    <xf numFmtId="0" fontId="2" fillId="2" borderId="3" xfId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0" fontId="2" fillId="2" borderId="6" xfId="1" applyFont="1" applyFill="1" applyBorder="1" applyAlignment="1">
      <alignment horizontal="center" vertical="center"/>
    </xf>
    <xf numFmtId="0" fontId="2" fillId="2" borderId="7" xfId="1" applyFont="1" applyFill="1" applyBorder="1" applyAlignment="1">
      <alignment horizontal="center" vertical="center"/>
    </xf>
    <xf numFmtId="0" fontId="1" fillId="2" borderId="31" xfId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 applyBorder="1" applyAlignment="1">
      <alignment horizontal="left"/>
    </xf>
    <xf numFmtId="0" fontId="7" fillId="0" borderId="2" xfId="0" quotePrefix="1" applyFont="1" applyBorder="1" applyAlignment="1">
      <alignment horizontal="left" vertical="center" wrapText="1"/>
    </xf>
    <xf numFmtId="0" fontId="7" fillId="0" borderId="3" xfId="0" applyFont="1" applyBorder="1" applyAlignment="1">
      <alignment horizontal="left" vertical="center" wrapText="1"/>
    </xf>
    <xf numFmtId="0" fontId="7" fillId="0" borderId="2" xfId="0" applyFont="1" applyBorder="1" applyAlignment="1">
      <alignment horizontal="left" vertical="center" wrapText="1"/>
    </xf>
    <xf numFmtId="0" fontId="7" fillId="0" borderId="4" xfId="0" applyFont="1" applyBorder="1" applyAlignment="1">
      <alignment horizontal="left" vertical="center" wrapText="1"/>
    </xf>
    <xf numFmtId="0" fontId="13" fillId="0" borderId="29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8" fillId="0" borderId="24" xfId="0" applyFont="1" applyBorder="1" applyAlignment="1">
      <alignment horizontal="left" vertical="center" wrapText="1"/>
    </xf>
    <xf numFmtId="0" fontId="8" fillId="0" borderId="26" xfId="0" applyFont="1" applyBorder="1" applyAlignment="1">
      <alignment horizontal="left" vertical="center" wrapText="1"/>
    </xf>
    <xf numFmtId="0" fontId="13" fillId="0" borderId="25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8" fillId="4" borderId="29" xfId="0" applyFont="1" applyFill="1" applyBorder="1" applyAlignment="1">
      <alignment horizontal="center" vertical="center" wrapText="1"/>
    </xf>
    <xf numFmtId="0" fontId="8" fillId="4" borderId="30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8" fillId="0" borderId="29" xfId="0" applyFont="1" applyBorder="1" applyAlignment="1">
      <alignment horizontal="left" vertical="center" wrapText="1"/>
    </xf>
    <xf numFmtId="0" fontId="8" fillId="0" borderId="28" xfId="0" applyFont="1" applyBorder="1" applyAlignment="1">
      <alignment horizontal="left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 wrapText="1"/>
    </xf>
    <xf numFmtId="0" fontId="8" fillId="0" borderId="28" xfId="0" applyFont="1" applyBorder="1" applyAlignment="1">
      <alignment horizontal="center" vertical="center" wrapText="1"/>
    </xf>
    <xf numFmtId="0" fontId="12" fillId="0" borderId="32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left" vertical="center" wrapText="1"/>
    </xf>
    <xf numFmtId="0" fontId="7" fillId="0" borderId="27" xfId="0" applyFont="1" applyBorder="1" applyAlignment="1">
      <alignment horizontal="left" vertical="center" wrapText="1"/>
    </xf>
    <xf numFmtId="0" fontId="8" fillId="3" borderId="29" xfId="0" applyFont="1" applyFill="1" applyBorder="1" applyAlignment="1">
      <alignment horizontal="center" vertical="center" wrapText="1"/>
    </xf>
    <xf numFmtId="0" fontId="8" fillId="3" borderId="30" xfId="0" applyFont="1" applyFill="1" applyBorder="1" applyAlignment="1">
      <alignment horizontal="center" vertical="center" wrapText="1"/>
    </xf>
    <xf numFmtId="0" fontId="8" fillId="3" borderId="28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32" xfId="0" applyFont="1" applyFill="1" applyBorder="1" applyAlignment="1">
      <alignment horizontal="center" vertical="center" wrapText="1"/>
    </xf>
    <xf numFmtId="0" fontId="8" fillId="4" borderId="27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7" xfId="0" applyFont="1" applyFill="1" applyBorder="1" applyAlignment="1">
      <alignment horizontal="center" vertical="center" wrapText="1"/>
    </xf>
    <xf numFmtId="0" fontId="13" fillId="0" borderId="3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 wrapText="1"/>
    </xf>
    <xf numFmtId="14" fontId="13" fillId="0" borderId="32" xfId="0" applyNumberFormat="1" applyFont="1" applyBorder="1" applyAlignment="1">
      <alignment horizontal="center" vertical="center" wrapText="1"/>
    </xf>
    <xf numFmtId="14" fontId="13" fillId="0" borderId="27" xfId="0" applyNumberFormat="1" applyFont="1" applyBorder="1" applyAlignment="1">
      <alignment horizontal="center" vertical="center" wrapText="1"/>
    </xf>
    <xf numFmtId="0" fontId="1" fillId="0" borderId="27" xfId="1" applyFill="1" applyBorder="1"/>
    <xf numFmtId="0" fontId="14" fillId="6" borderId="2" xfId="0" applyFont="1" applyFill="1" applyBorder="1" applyAlignment="1">
      <alignment horizontal="center" vertical="center"/>
    </xf>
    <xf numFmtId="0" fontId="14" fillId="6" borderId="3" xfId="0" applyFont="1" applyFill="1" applyBorder="1" applyAlignment="1">
      <alignment horizontal="center" vertical="center"/>
    </xf>
    <xf numFmtId="0" fontId="14" fillId="6" borderId="4" xfId="0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4" fillId="0" borderId="33" xfId="1" applyFont="1" applyFill="1" applyBorder="1" applyAlignment="1" applyProtection="1">
      <alignment horizontal="center"/>
      <protection locked="0"/>
    </xf>
    <xf numFmtId="0" fontId="1" fillId="0" borderId="3" xfId="1" applyFill="1" applyBorder="1"/>
    <xf numFmtId="0" fontId="1" fillId="0" borderId="3" xfId="1" applyFill="1" applyBorder="1" applyAlignment="1">
      <alignment horizontal="center"/>
    </xf>
    <xf numFmtId="0" fontId="4" fillId="0" borderId="34" xfId="1" applyFont="1" applyFill="1" applyBorder="1" applyAlignment="1" applyProtection="1">
      <alignment horizontal="center"/>
      <protection locked="0"/>
    </xf>
    <xf numFmtId="0" fontId="4" fillId="0" borderId="21" xfId="1" applyFont="1" applyFill="1" applyBorder="1" applyAlignment="1" applyProtection="1">
      <alignment horizontal="center" vertical="center"/>
      <protection locked="0"/>
    </xf>
    <xf numFmtId="0" fontId="4" fillId="0" borderId="22" xfId="1" applyFont="1" applyFill="1" applyBorder="1" applyAlignment="1" applyProtection="1">
      <alignment horizontal="center" vertical="center"/>
      <protection locked="0"/>
    </xf>
    <xf numFmtId="0" fontId="4" fillId="0" borderId="35" xfId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/>
  </cellStyles>
  <dxfs count="2"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0</xdr:row>
      <xdr:rowOff>95250</xdr:rowOff>
    </xdr:from>
    <xdr:to>
      <xdr:col>1</xdr:col>
      <xdr:colOff>1638300</xdr:colOff>
      <xdr:row>0</xdr:row>
      <xdr:rowOff>361950</xdr:rowOff>
    </xdr:to>
    <xdr:sp macro="[0]!DrawLots" textlink="">
      <xdr:nvSpPr>
        <xdr:cNvPr id="2" name="Rectangle 1">
          <a:extLst>
            <a:ext uri="{FF2B5EF4-FFF2-40B4-BE49-F238E27FC236}">
              <a16:creationId xmlns:a16="http://schemas.microsoft.com/office/drawing/2014/main" id="{7DEAF8C6-050D-4CC6-BA8A-C0AFC88E932E}"/>
            </a:ext>
          </a:extLst>
        </xdr:cNvPr>
        <xdr:cNvSpPr/>
      </xdr:nvSpPr>
      <xdr:spPr>
        <a:xfrm>
          <a:off x="666750" y="95250"/>
          <a:ext cx="1371600" cy="2667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100" b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Draw Lots</a:t>
          </a:r>
        </a:p>
      </xdr:txBody>
    </xdr:sp>
    <xdr:clientData/>
  </xdr:twoCellAnchor>
  <xdr:twoCellAnchor>
    <xdr:from>
      <xdr:col>2</xdr:col>
      <xdr:colOff>95250</xdr:colOff>
      <xdr:row>0</xdr:row>
      <xdr:rowOff>85725</xdr:rowOff>
    </xdr:from>
    <xdr:to>
      <xdr:col>4</xdr:col>
      <xdr:colOff>438150</xdr:colOff>
      <xdr:row>0</xdr:row>
      <xdr:rowOff>361950</xdr:rowOff>
    </xdr:to>
    <xdr:sp macro="[0]!generatestartlist" textlink="">
      <xdr:nvSpPr>
        <xdr:cNvPr id="3" name="Rectangle 2">
          <a:extLst>
            <a:ext uri="{FF2B5EF4-FFF2-40B4-BE49-F238E27FC236}">
              <a16:creationId xmlns:a16="http://schemas.microsoft.com/office/drawing/2014/main" id="{38EB88F7-EB85-44E0-8C48-ED125A0C2BDC}"/>
            </a:ext>
          </a:extLst>
        </xdr:cNvPr>
        <xdr:cNvSpPr/>
      </xdr:nvSpPr>
      <xdr:spPr>
        <a:xfrm>
          <a:off x="2324100" y="85725"/>
          <a:ext cx="1438275" cy="276225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Generate Start List</a:t>
          </a:r>
        </a:p>
      </xdr:txBody>
    </xdr:sp>
    <xdr:clientData/>
  </xdr:twoCellAnchor>
  <xdr:twoCellAnchor>
    <xdr:from>
      <xdr:col>5</xdr:col>
      <xdr:colOff>95250</xdr:colOff>
      <xdr:row>0</xdr:row>
      <xdr:rowOff>85725</xdr:rowOff>
    </xdr:from>
    <xdr:to>
      <xdr:col>7</xdr:col>
      <xdr:colOff>247650</xdr:colOff>
      <xdr:row>0</xdr:row>
      <xdr:rowOff>361950</xdr:rowOff>
    </xdr:to>
    <xdr:sp macro="[0]!generatecards" textlink="">
      <xdr:nvSpPr>
        <xdr:cNvPr id="4" name="CardShape">
          <a:extLst>
            <a:ext uri="{FF2B5EF4-FFF2-40B4-BE49-F238E27FC236}">
              <a16:creationId xmlns:a16="http://schemas.microsoft.com/office/drawing/2014/main" id="{F781EBB3-2622-4761-A4D8-629757A6E493}"/>
            </a:ext>
          </a:extLst>
        </xdr:cNvPr>
        <xdr:cNvSpPr/>
      </xdr:nvSpPr>
      <xdr:spPr>
        <a:xfrm>
          <a:off x="4038600" y="85725"/>
          <a:ext cx="1438275" cy="276225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Generate Cards</a:t>
          </a:r>
        </a:p>
      </xdr:txBody>
    </xdr:sp>
    <xdr:clientData/>
  </xdr:twoCellAnchor>
  <xdr:twoCellAnchor>
    <xdr:from>
      <xdr:col>8</xdr:col>
      <xdr:colOff>95250</xdr:colOff>
      <xdr:row>0</xdr:row>
      <xdr:rowOff>85725</xdr:rowOff>
    </xdr:from>
    <xdr:to>
      <xdr:col>10</xdr:col>
      <xdr:colOff>533400</xdr:colOff>
      <xdr:row>0</xdr:row>
      <xdr:rowOff>361950</xdr:rowOff>
    </xdr:to>
    <xdr:sp macro="[0]!clearcards" textlink="">
      <xdr:nvSpPr>
        <xdr:cNvPr id="5" name="ClearCardShape">
          <a:extLst>
            <a:ext uri="{FF2B5EF4-FFF2-40B4-BE49-F238E27FC236}">
              <a16:creationId xmlns:a16="http://schemas.microsoft.com/office/drawing/2014/main" id="{F204B4B9-D4D5-4B02-8E51-71EF14FD4198}"/>
            </a:ext>
          </a:extLst>
        </xdr:cNvPr>
        <xdr:cNvSpPr/>
      </xdr:nvSpPr>
      <xdr:spPr>
        <a:xfrm>
          <a:off x="5715000" y="85725"/>
          <a:ext cx="1438275" cy="276225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r>
            <a:rPr lang="sv-SE" sz="11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Cards</a:t>
          </a:r>
        </a:p>
      </xdr:txBody>
    </xdr:sp>
    <xdr:clientData/>
  </xdr:twoCellAnchor>
  <xdr:twoCellAnchor>
    <xdr:from>
      <xdr:col>11</xdr:col>
      <xdr:colOff>76200</xdr:colOff>
      <xdr:row>0</xdr:row>
      <xdr:rowOff>85725</xdr:rowOff>
    </xdr:from>
    <xdr:to>
      <xdr:col>12</xdr:col>
      <xdr:colOff>695325</xdr:colOff>
      <xdr:row>0</xdr:row>
      <xdr:rowOff>361950</xdr:rowOff>
    </xdr:to>
    <xdr:sp macro="[0]!clearall" textlink="">
      <xdr:nvSpPr>
        <xdr:cNvPr id="7" name="CardShape">
          <a:extLst>
            <a:ext uri="{FF2B5EF4-FFF2-40B4-BE49-F238E27FC236}">
              <a16:creationId xmlns:a16="http://schemas.microsoft.com/office/drawing/2014/main" id="{AB0581CE-074B-4375-836E-D64F3B7FEC06}"/>
            </a:ext>
          </a:extLst>
        </xdr:cNvPr>
        <xdr:cNvSpPr/>
      </xdr:nvSpPr>
      <xdr:spPr>
        <a:xfrm>
          <a:off x="7305675" y="85725"/>
          <a:ext cx="1228725" cy="276225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Clear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30"/>
  <sheetViews>
    <sheetView workbookViewId="0">
      <selection activeCell="H16" sqref="H16"/>
    </sheetView>
  </sheetViews>
  <sheetFormatPr defaultRowHeight="15" x14ac:dyDescent="0.25"/>
  <cols>
    <col min="1" max="1" width="3.140625" style="2" customWidth="1"/>
    <col min="2" max="2" width="9.140625" style="2"/>
    <col min="3" max="3" width="6.5703125" style="3" customWidth="1"/>
    <col min="4" max="4" width="7.140625" style="3" customWidth="1"/>
    <col min="5" max="5" width="6.42578125" style="3" customWidth="1"/>
    <col min="6" max="6" width="9.140625" style="2"/>
    <col min="7" max="7" width="3.7109375" style="2" customWidth="1"/>
    <col min="8" max="8" width="9.140625" style="3"/>
    <col min="9" max="9" width="9.140625" style="2" customWidth="1"/>
    <col min="10" max="11" width="9.140625" style="2"/>
    <col min="12" max="17" width="9.140625" style="2" customWidth="1"/>
    <col min="18" max="25" width="9.140625" customWidth="1"/>
  </cols>
  <sheetData>
    <row r="1" spans="1:11" x14ac:dyDescent="0.25">
      <c r="A1" s="1"/>
      <c r="B1"/>
      <c r="C1"/>
      <c r="D1"/>
      <c r="E1"/>
      <c r="F1"/>
    </row>
    <row r="2" spans="1:11" ht="15.75" thickBot="1" x14ac:dyDescent="0.3">
      <c r="B2"/>
      <c r="C2"/>
      <c r="D2"/>
      <c r="E2"/>
      <c r="F2"/>
    </row>
    <row r="3" spans="1:11" ht="15" customHeight="1" x14ac:dyDescent="0.25">
      <c r="B3" s="133" t="s">
        <v>162</v>
      </c>
      <c r="C3" s="134"/>
      <c r="D3" s="134"/>
      <c r="E3" s="134"/>
      <c r="F3" s="135"/>
      <c r="G3" s="132"/>
      <c r="H3" s="83" t="s">
        <v>0</v>
      </c>
      <c r="I3" s="84"/>
      <c r="J3" s="84"/>
      <c r="K3" s="85"/>
    </row>
    <row r="4" spans="1:11" ht="15.75" customHeight="1" thickBot="1" x14ac:dyDescent="0.3">
      <c r="B4" s="136"/>
      <c r="C4" s="137"/>
      <c r="D4" s="137"/>
      <c r="E4" s="137"/>
      <c r="F4" s="138"/>
      <c r="H4" s="86"/>
      <c r="I4" s="87"/>
      <c r="J4" s="87"/>
      <c r="K4" s="88"/>
    </row>
    <row r="5" spans="1:11" x14ac:dyDescent="0.25">
      <c r="B5" s="7" t="s">
        <v>13</v>
      </c>
      <c r="C5" s="80" t="s">
        <v>14</v>
      </c>
      <c r="D5" s="81"/>
      <c r="E5" s="82"/>
      <c r="F5" s="8" t="s">
        <v>15</v>
      </c>
      <c r="H5" s="4" t="s">
        <v>1</v>
      </c>
      <c r="I5" s="80" t="s">
        <v>2</v>
      </c>
      <c r="J5" s="81"/>
      <c r="K5" s="89"/>
    </row>
    <row r="6" spans="1:11" x14ac:dyDescent="0.25">
      <c r="B6" s="9" t="s">
        <v>18</v>
      </c>
      <c r="C6" s="65" t="s">
        <v>19</v>
      </c>
      <c r="D6" s="66"/>
      <c r="E6" s="67"/>
      <c r="F6" s="10">
        <v>2</v>
      </c>
      <c r="H6" s="5" t="s">
        <v>3</v>
      </c>
      <c r="I6" s="68" t="s">
        <v>4</v>
      </c>
      <c r="J6" s="69"/>
      <c r="K6" s="70"/>
    </row>
    <row r="7" spans="1:11" x14ac:dyDescent="0.25">
      <c r="B7" s="9" t="s">
        <v>22</v>
      </c>
      <c r="C7" s="65" t="s">
        <v>23</v>
      </c>
      <c r="D7" s="66"/>
      <c r="E7" s="67"/>
      <c r="F7" s="10">
        <v>2</v>
      </c>
      <c r="H7" s="5" t="s">
        <v>5</v>
      </c>
      <c r="I7" s="74" t="s">
        <v>6</v>
      </c>
      <c r="J7" s="75"/>
      <c r="K7" s="76"/>
    </row>
    <row r="8" spans="1:11" x14ac:dyDescent="0.25">
      <c r="B8" s="9" t="s">
        <v>26</v>
      </c>
      <c r="C8" s="65" t="s">
        <v>27</v>
      </c>
      <c r="D8" s="66"/>
      <c r="E8" s="67"/>
      <c r="F8" s="10">
        <v>2</v>
      </c>
      <c r="H8" s="6" t="s">
        <v>7</v>
      </c>
      <c r="I8" s="74" t="s">
        <v>8</v>
      </c>
      <c r="J8" s="75"/>
      <c r="K8" s="76"/>
    </row>
    <row r="9" spans="1:11" x14ac:dyDescent="0.25">
      <c r="B9" s="9"/>
      <c r="C9" s="65"/>
      <c r="D9" s="66"/>
      <c r="E9" s="67"/>
      <c r="F9" s="10"/>
      <c r="H9" s="6" t="s">
        <v>9</v>
      </c>
      <c r="I9" s="74" t="s">
        <v>10</v>
      </c>
      <c r="J9" s="75"/>
      <c r="K9" s="76"/>
    </row>
    <row r="10" spans="1:11" x14ac:dyDescent="0.25">
      <c r="B10" s="9"/>
      <c r="C10" s="65"/>
      <c r="D10" s="66"/>
      <c r="E10" s="67"/>
      <c r="F10" s="10"/>
      <c r="H10" s="6" t="s">
        <v>11</v>
      </c>
      <c r="I10" s="74" t="s">
        <v>12</v>
      </c>
      <c r="J10" s="75"/>
      <c r="K10" s="76"/>
    </row>
    <row r="11" spans="1:11" x14ac:dyDescent="0.25">
      <c r="B11" s="9"/>
      <c r="C11" s="65"/>
      <c r="D11" s="66"/>
      <c r="E11" s="67"/>
      <c r="F11" s="10"/>
      <c r="H11" s="6" t="s">
        <v>16</v>
      </c>
      <c r="I11" s="74" t="s">
        <v>17</v>
      </c>
      <c r="J11" s="75"/>
      <c r="K11" s="76"/>
    </row>
    <row r="12" spans="1:11" x14ac:dyDescent="0.25">
      <c r="B12" s="9"/>
      <c r="C12" s="65"/>
      <c r="D12" s="66"/>
      <c r="E12" s="67"/>
      <c r="F12" s="10"/>
      <c r="H12" s="6" t="s">
        <v>20</v>
      </c>
      <c r="I12" s="74" t="s">
        <v>21</v>
      </c>
      <c r="J12" s="75"/>
      <c r="K12" s="76"/>
    </row>
    <row r="13" spans="1:11" x14ac:dyDescent="0.25">
      <c r="B13" s="9"/>
      <c r="C13" s="65"/>
      <c r="D13" s="66"/>
      <c r="E13" s="67"/>
      <c r="F13" s="10"/>
      <c r="H13" s="11" t="s">
        <v>24</v>
      </c>
      <c r="I13" s="77" t="s">
        <v>25</v>
      </c>
      <c r="J13" s="78"/>
      <c r="K13" s="79"/>
    </row>
    <row r="14" spans="1:11" x14ac:dyDescent="0.25">
      <c r="B14" s="9"/>
      <c r="C14" s="65"/>
      <c r="D14" s="66"/>
      <c r="E14" s="67"/>
      <c r="F14" s="10"/>
      <c r="H14" s="6" t="s">
        <v>28</v>
      </c>
      <c r="I14" s="74" t="s">
        <v>29</v>
      </c>
      <c r="J14" s="75"/>
      <c r="K14" s="76"/>
    </row>
    <row r="15" spans="1:11" x14ac:dyDescent="0.25">
      <c r="B15" s="9"/>
      <c r="C15" s="65"/>
      <c r="D15" s="66"/>
      <c r="E15" s="67"/>
      <c r="F15" s="10"/>
      <c r="H15" s="6" t="s">
        <v>30</v>
      </c>
      <c r="I15" s="74" t="s">
        <v>31</v>
      </c>
      <c r="J15" s="75"/>
      <c r="K15" s="76"/>
    </row>
    <row r="16" spans="1:11" x14ac:dyDescent="0.25">
      <c r="B16" s="9"/>
      <c r="C16" s="65"/>
      <c r="D16" s="66"/>
      <c r="E16" s="67"/>
      <c r="F16" s="10"/>
      <c r="H16" s="6"/>
      <c r="I16" s="74"/>
      <c r="J16" s="75"/>
      <c r="K16" s="76"/>
    </row>
    <row r="17" spans="2:12" x14ac:dyDescent="0.25">
      <c r="B17" s="9"/>
      <c r="C17" s="65"/>
      <c r="D17" s="66"/>
      <c r="E17" s="67"/>
      <c r="F17" s="10"/>
      <c r="H17" s="6"/>
      <c r="I17" s="74"/>
      <c r="J17" s="75"/>
      <c r="K17" s="76"/>
    </row>
    <row r="18" spans="2:12" x14ac:dyDescent="0.25">
      <c r="B18" s="9"/>
      <c r="C18" s="65"/>
      <c r="D18" s="66"/>
      <c r="E18" s="67"/>
      <c r="F18" s="10"/>
      <c r="H18" s="6"/>
      <c r="I18" s="74"/>
      <c r="J18" s="75"/>
      <c r="K18" s="76"/>
    </row>
    <row r="19" spans="2:12" x14ac:dyDescent="0.25">
      <c r="B19" s="9"/>
      <c r="C19" s="65"/>
      <c r="D19" s="66"/>
      <c r="E19" s="67"/>
      <c r="F19" s="10"/>
      <c r="H19" s="6"/>
      <c r="I19" s="74"/>
      <c r="J19" s="75"/>
      <c r="K19" s="76"/>
    </row>
    <row r="20" spans="2:12" x14ac:dyDescent="0.25">
      <c r="B20" s="9"/>
      <c r="C20" s="65"/>
      <c r="D20" s="66"/>
      <c r="E20" s="67"/>
      <c r="F20" s="10"/>
      <c r="H20" s="5"/>
      <c r="I20" s="68"/>
      <c r="J20" s="69"/>
      <c r="K20" s="70"/>
    </row>
    <row r="21" spans="2:12" x14ac:dyDescent="0.25">
      <c r="B21" s="9"/>
      <c r="C21" s="65"/>
      <c r="D21" s="66"/>
      <c r="E21" s="67"/>
      <c r="F21" s="10"/>
      <c r="H21" s="5"/>
      <c r="I21" s="68"/>
      <c r="J21" s="69"/>
      <c r="K21" s="70"/>
    </row>
    <row r="22" spans="2:12" x14ac:dyDescent="0.25">
      <c r="B22" s="9"/>
      <c r="C22" s="65"/>
      <c r="D22" s="66"/>
      <c r="E22" s="67"/>
      <c r="F22" s="10"/>
      <c r="H22" s="5"/>
      <c r="I22" s="68"/>
      <c r="J22" s="69"/>
      <c r="K22" s="70"/>
    </row>
    <row r="23" spans="2:12" x14ac:dyDescent="0.25">
      <c r="B23" s="9"/>
      <c r="C23" s="65"/>
      <c r="D23" s="66"/>
      <c r="E23" s="67"/>
      <c r="F23" s="10"/>
      <c r="H23" s="5"/>
      <c r="I23" s="68"/>
      <c r="J23" s="69"/>
      <c r="K23" s="70"/>
    </row>
    <row r="24" spans="2:12" x14ac:dyDescent="0.25">
      <c r="B24" s="9"/>
      <c r="C24" s="65"/>
      <c r="D24" s="66"/>
      <c r="E24" s="67"/>
      <c r="F24" s="10"/>
      <c r="H24" s="5"/>
      <c r="I24" s="68"/>
      <c r="J24" s="69"/>
      <c r="K24" s="70"/>
    </row>
    <row r="25" spans="2:12" x14ac:dyDescent="0.25">
      <c r="B25" s="9"/>
      <c r="C25" s="65"/>
      <c r="D25" s="66"/>
      <c r="E25" s="67"/>
      <c r="F25" s="10"/>
      <c r="H25" s="5"/>
      <c r="I25" s="68"/>
      <c r="J25" s="69"/>
      <c r="K25" s="70"/>
      <c r="L25" s="12"/>
    </row>
    <row r="26" spans="2:12" x14ac:dyDescent="0.25">
      <c r="B26" s="9"/>
      <c r="C26" s="65"/>
      <c r="D26" s="66"/>
      <c r="E26" s="67"/>
      <c r="F26" s="10"/>
      <c r="G26" s="12"/>
      <c r="H26" s="5"/>
      <c r="I26" s="68"/>
      <c r="J26" s="69"/>
      <c r="K26" s="70"/>
      <c r="L26" s="12"/>
    </row>
    <row r="27" spans="2:12" x14ac:dyDescent="0.25">
      <c r="B27" s="9"/>
      <c r="C27" s="65"/>
      <c r="D27" s="66"/>
      <c r="E27" s="67"/>
      <c r="F27" s="10"/>
      <c r="G27" s="13"/>
      <c r="H27" s="5"/>
      <c r="I27" s="68"/>
      <c r="J27" s="69"/>
      <c r="K27" s="70"/>
      <c r="L27" s="12"/>
    </row>
    <row r="28" spans="2:12" x14ac:dyDescent="0.25">
      <c r="B28" s="9"/>
      <c r="C28" s="65"/>
      <c r="D28" s="66"/>
      <c r="E28" s="67"/>
      <c r="F28" s="10"/>
      <c r="G28" s="13"/>
      <c r="H28" s="5"/>
      <c r="I28" s="68"/>
      <c r="J28" s="69"/>
      <c r="K28" s="70"/>
      <c r="L28" s="12"/>
    </row>
    <row r="29" spans="2:12" ht="15.75" thickBot="1" x14ac:dyDescent="0.3">
      <c r="B29" s="142"/>
      <c r="C29" s="143"/>
      <c r="D29" s="144"/>
      <c r="E29" s="145"/>
      <c r="F29" s="139"/>
      <c r="G29" s="13"/>
      <c r="H29" s="14"/>
      <c r="I29" s="71"/>
      <c r="J29" s="72"/>
      <c r="K29" s="73"/>
      <c r="L29" s="12"/>
    </row>
    <row r="30" spans="2:12" x14ac:dyDescent="0.25">
      <c r="B30" s="140"/>
      <c r="C30" s="141"/>
      <c r="D30" s="141"/>
      <c r="E30" s="141"/>
      <c r="F30" s="140"/>
    </row>
  </sheetData>
  <mergeCells count="52">
    <mergeCell ref="C9:E9"/>
    <mergeCell ref="C10:E10"/>
    <mergeCell ref="C5:E5"/>
    <mergeCell ref="C12:E12"/>
    <mergeCell ref="C11:E11"/>
    <mergeCell ref="B3:F4"/>
    <mergeCell ref="H3:K4"/>
    <mergeCell ref="I5:K5"/>
    <mergeCell ref="I6:K6"/>
    <mergeCell ref="I7:K7"/>
    <mergeCell ref="I8:K8"/>
    <mergeCell ref="C6:E6"/>
    <mergeCell ref="C7:E7"/>
    <mergeCell ref="C8:E8"/>
    <mergeCell ref="I9:K9"/>
    <mergeCell ref="I10:K10"/>
    <mergeCell ref="I11:K11"/>
    <mergeCell ref="I12:K12"/>
    <mergeCell ref="C13:E13"/>
    <mergeCell ref="I13:K13"/>
    <mergeCell ref="C14:E14"/>
    <mergeCell ref="I14:K14"/>
    <mergeCell ref="C15:E15"/>
    <mergeCell ref="I15:K15"/>
    <mergeCell ref="C16:E16"/>
    <mergeCell ref="I16:K16"/>
    <mergeCell ref="C17:E17"/>
    <mergeCell ref="I17:K17"/>
    <mergeCell ref="C18:E18"/>
    <mergeCell ref="I18:K18"/>
    <mergeCell ref="C19:E19"/>
    <mergeCell ref="I19:K19"/>
    <mergeCell ref="C20:E20"/>
    <mergeCell ref="I20:K20"/>
    <mergeCell ref="C21:E21"/>
    <mergeCell ref="I21:K21"/>
    <mergeCell ref="C22:E22"/>
    <mergeCell ref="I22:K22"/>
    <mergeCell ref="C23:E23"/>
    <mergeCell ref="I23:K23"/>
    <mergeCell ref="C24:E24"/>
    <mergeCell ref="I24:K24"/>
    <mergeCell ref="C25:E25"/>
    <mergeCell ref="I25:K25"/>
    <mergeCell ref="C26:E26"/>
    <mergeCell ref="I26:K26"/>
    <mergeCell ref="C27:E27"/>
    <mergeCell ref="I27:K27"/>
    <mergeCell ref="C28:E28"/>
    <mergeCell ref="I28:K28"/>
    <mergeCell ref="C29:E29"/>
    <mergeCell ref="I29:K29"/>
  </mergeCells>
  <dataValidations count="3"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8:F29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6:F7">
      <formula1>"1,2,3"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6:B29">
      <formula1>OR(LEFT(B6,1)="M",LEFT(B6,1)="F")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100"/>
  <sheetViews>
    <sheetView tabSelected="1" workbookViewId="0"/>
  </sheetViews>
  <sheetFormatPr defaultRowHeight="15" x14ac:dyDescent="0.25"/>
  <cols>
    <col min="1" max="1" width="6" style="26" customWidth="1"/>
    <col min="2" max="2" width="27.42578125" style="26" customWidth="1"/>
    <col min="3" max="3" width="9.140625" style="26"/>
    <col min="4" max="4" width="7.28515625" style="26" customWidth="1"/>
    <col min="5" max="5" width="9.28515625" style="31" customWidth="1"/>
    <col min="6" max="6" width="7" style="26" customWidth="1"/>
    <col min="7" max="7" width="12.28515625" style="32" customWidth="1"/>
    <col min="8" max="8" width="5.85546875" style="26" customWidth="1"/>
    <col min="9" max="9" width="9.140625" style="26"/>
    <col min="10" max="10" width="5.85546875" style="27" customWidth="1"/>
    <col min="11" max="12" width="9.140625" style="26"/>
    <col min="13" max="13" width="12" style="26" customWidth="1"/>
    <col min="14" max="14" width="19.140625" style="28" hidden="1" customWidth="1"/>
    <col min="15" max="21" width="9.140625" style="29" hidden="1" customWidth="1"/>
    <col min="22" max="22" width="9.140625" style="28" hidden="1" customWidth="1"/>
    <col min="23" max="26" width="9.140625" style="29" hidden="1" customWidth="1"/>
    <col min="27" max="27" width="9.140625" style="30"/>
    <col min="28" max="28" width="9.140625" style="37"/>
  </cols>
  <sheetData>
    <row r="1" spans="1:28" ht="35.25" customHeight="1" x14ac:dyDescent="0.25">
      <c r="A1" s="15"/>
      <c r="B1" s="15"/>
      <c r="C1" s="15"/>
      <c r="D1" s="15"/>
      <c r="E1" s="16"/>
      <c r="F1" s="15"/>
      <c r="G1" s="17"/>
      <c r="H1" s="15"/>
      <c r="I1" s="15"/>
      <c r="J1" s="18"/>
      <c r="K1" s="15"/>
      <c r="L1" s="15"/>
      <c r="M1" s="15"/>
      <c r="O1" s="20"/>
      <c r="P1" s="20"/>
      <c r="Q1" s="20"/>
      <c r="R1" s="20"/>
      <c r="S1" s="20"/>
      <c r="T1" s="20"/>
      <c r="U1" s="20"/>
      <c r="V1" s="19"/>
      <c r="W1" s="20"/>
      <c r="X1" s="20"/>
      <c r="Y1" s="20"/>
      <c r="Z1" s="20">
        <v>2</v>
      </c>
      <c r="AA1" s="21"/>
    </row>
    <row r="2" spans="1:28" ht="26.25" x14ac:dyDescent="0.25">
      <c r="A2" s="33" t="s">
        <v>32</v>
      </c>
      <c r="B2" s="33" t="s">
        <v>33</v>
      </c>
      <c r="C2" s="33" t="s">
        <v>34</v>
      </c>
      <c r="D2" s="33" t="s">
        <v>35</v>
      </c>
      <c r="E2" s="35" t="s">
        <v>36</v>
      </c>
      <c r="F2" s="33" t="s">
        <v>37</v>
      </c>
      <c r="G2" s="36" t="s">
        <v>38</v>
      </c>
      <c r="H2" s="22" t="s">
        <v>39</v>
      </c>
      <c r="I2" s="22" t="s">
        <v>40</v>
      </c>
      <c r="J2" s="34" t="s">
        <v>41</v>
      </c>
      <c r="K2" s="22" t="s">
        <v>42</v>
      </c>
      <c r="L2" s="22" t="s">
        <v>43</v>
      </c>
      <c r="M2" s="22" t="s">
        <v>44</v>
      </c>
      <c r="N2" s="28" t="e">
        <f ca="1">INDIRECT(ADDRESS(MATCH($C2,INDIRECT($S$2),0)+5,9,,,"Setup"))</f>
        <v>#N/A</v>
      </c>
      <c r="O2" s="23"/>
      <c r="P2" s="24"/>
      <c r="Q2" s="24"/>
      <c r="R2" s="23" t="str">
        <f>CONCATENATE("Setup!B6:B",COUNTA(Setup!B:B)+3)</f>
        <v>Setup!B6:B8</v>
      </c>
      <c r="S2" s="23" t="str">
        <f>CONCATENATE("Setup!H6:H",COUNTA(Setup!H:H)+3)</f>
        <v>Setup!H6:H15</v>
      </c>
      <c r="T2" s="23"/>
      <c r="U2" s="23"/>
      <c r="V2" s="24"/>
      <c r="W2" s="23"/>
      <c r="X2" s="23"/>
      <c r="Y2" s="23"/>
      <c r="Z2" s="23">
        <v>14</v>
      </c>
      <c r="AA2" s="25"/>
    </row>
    <row r="3" spans="1:28" x14ac:dyDescent="0.25">
      <c r="A3" s="26" t="s">
        <v>45</v>
      </c>
      <c r="B3" s="26" t="s">
        <v>51</v>
      </c>
      <c r="C3" s="26" t="s">
        <v>11</v>
      </c>
      <c r="D3" s="26" t="s">
        <v>22</v>
      </c>
      <c r="E3" s="31">
        <v>63.3</v>
      </c>
      <c r="F3" s="26">
        <v>1</v>
      </c>
      <c r="G3" s="32">
        <v>31989</v>
      </c>
      <c r="J3" s="27" t="s">
        <v>52</v>
      </c>
      <c r="K3" s="26">
        <v>77.5</v>
      </c>
      <c r="M3" s="26" t="s">
        <v>48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</row>
    <row r="4" spans="1:28" x14ac:dyDescent="0.25">
      <c r="A4" s="26" t="s">
        <v>45</v>
      </c>
      <c r="B4" s="26" t="s">
        <v>55</v>
      </c>
      <c r="C4" s="26" t="s">
        <v>11</v>
      </c>
      <c r="D4" s="26" t="s">
        <v>22</v>
      </c>
      <c r="E4" s="31">
        <v>83.85</v>
      </c>
      <c r="F4" s="26">
        <v>2</v>
      </c>
      <c r="G4" s="32" t="s">
        <v>56</v>
      </c>
      <c r="J4" s="27" t="s">
        <v>57</v>
      </c>
      <c r="K4" s="26">
        <v>85</v>
      </c>
      <c r="M4" s="26" t="s">
        <v>48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</row>
    <row r="5" spans="1:28" x14ac:dyDescent="0.25">
      <c r="A5" s="26" t="s">
        <v>45</v>
      </c>
      <c r="B5" s="26" t="s">
        <v>64</v>
      </c>
      <c r="C5" s="26" t="s">
        <v>11</v>
      </c>
      <c r="D5" s="26" t="s">
        <v>18</v>
      </c>
      <c r="E5" s="31">
        <v>79.7</v>
      </c>
      <c r="F5" s="26">
        <v>3</v>
      </c>
      <c r="G5" s="32" t="s">
        <v>65</v>
      </c>
      <c r="J5" s="27" t="s">
        <v>66</v>
      </c>
      <c r="K5" s="26">
        <v>115</v>
      </c>
      <c r="M5" s="26" t="s">
        <v>48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</row>
    <row r="6" spans="1:28" x14ac:dyDescent="0.25">
      <c r="A6" s="26" t="s">
        <v>45</v>
      </c>
      <c r="B6" s="26" t="s">
        <v>61</v>
      </c>
      <c r="C6" s="26" t="s">
        <v>28</v>
      </c>
      <c r="D6" s="26" t="s">
        <v>18</v>
      </c>
      <c r="E6" s="31">
        <v>92.2</v>
      </c>
      <c r="F6" s="26">
        <v>4</v>
      </c>
      <c r="G6" s="32" t="s">
        <v>62</v>
      </c>
      <c r="J6" s="27" t="s">
        <v>63</v>
      </c>
      <c r="K6" s="26">
        <v>130</v>
      </c>
      <c r="M6" s="26" t="s">
        <v>48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</row>
    <row r="7" spans="1:28" x14ac:dyDescent="0.25">
      <c r="A7" s="26" t="s">
        <v>45</v>
      </c>
      <c r="B7" s="26" t="s">
        <v>46</v>
      </c>
      <c r="C7" s="26" t="s">
        <v>3</v>
      </c>
      <c r="D7" s="26" t="s">
        <v>22</v>
      </c>
      <c r="E7" s="31">
        <v>78.849999999999994</v>
      </c>
      <c r="F7" s="26">
        <v>5</v>
      </c>
      <c r="G7" s="32">
        <v>34974</v>
      </c>
      <c r="J7" s="27" t="s">
        <v>47</v>
      </c>
      <c r="K7" s="26">
        <v>85</v>
      </c>
      <c r="M7" s="26" t="s">
        <v>48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</row>
    <row r="8" spans="1:28" x14ac:dyDescent="0.25">
      <c r="A8" s="26" t="s">
        <v>45</v>
      </c>
      <c r="B8" s="26" t="s">
        <v>53</v>
      </c>
      <c r="C8" s="26" t="s">
        <v>11</v>
      </c>
      <c r="D8" s="26" t="s">
        <v>22</v>
      </c>
      <c r="E8" s="31">
        <v>85.4</v>
      </c>
      <c r="F8" s="26">
        <v>6</v>
      </c>
      <c r="G8" s="32">
        <v>31780</v>
      </c>
      <c r="J8" s="27" t="s">
        <v>54</v>
      </c>
      <c r="K8" s="26">
        <v>60</v>
      </c>
      <c r="M8" s="26" t="s">
        <v>48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</row>
    <row r="9" spans="1:28" x14ac:dyDescent="0.25">
      <c r="A9" s="26" t="s">
        <v>45</v>
      </c>
      <c r="B9" s="26" t="s">
        <v>49</v>
      </c>
      <c r="C9" s="26" t="s">
        <v>28</v>
      </c>
      <c r="D9" s="26" t="s">
        <v>22</v>
      </c>
      <c r="E9" s="31">
        <v>79.150000000000006</v>
      </c>
      <c r="F9" s="26">
        <v>7</v>
      </c>
      <c r="G9" s="32">
        <v>33618</v>
      </c>
      <c r="J9" s="27" t="s">
        <v>50</v>
      </c>
      <c r="K9" s="26">
        <v>85</v>
      </c>
      <c r="M9" s="26" t="s">
        <v>48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25">
      <c r="A10" s="26" t="s">
        <v>45</v>
      </c>
      <c r="B10" s="26" t="s">
        <v>58</v>
      </c>
      <c r="C10" s="26" t="s">
        <v>24</v>
      </c>
      <c r="D10" s="26" t="s">
        <v>22</v>
      </c>
      <c r="E10" s="31">
        <v>62.35</v>
      </c>
      <c r="F10" s="26">
        <v>8</v>
      </c>
      <c r="G10" s="32" t="s">
        <v>59</v>
      </c>
      <c r="J10" s="27" t="s">
        <v>60</v>
      </c>
      <c r="K10" s="26">
        <v>47.5</v>
      </c>
      <c r="M10" s="26" t="s">
        <v>48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x14ac:dyDescent="0.25">
      <c r="A11" s="26" t="s">
        <v>67</v>
      </c>
      <c r="B11" s="26" t="s">
        <v>72</v>
      </c>
      <c r="C11" s="26" t="s">
        <v>11</v>
      </c>
      <c r="D11" s="26" t="s">
        <v>22</v>
      </c>
      <c r="E11" s="31">
        <v>72.3</v>
      </c>
      <c r="F11" s="26">
        <v>1</v>
      </c>
      <c r="G11" s="32">
        <v>36581</v>
      </c>
      <c r="H11" s="26">
        <v>12</v>
      </c>
      <c r="I11" s="26">
        <v>130</v>
      </c>
      <c r="J11" s="27" t="s">
        <v>52</v>
      </c>
      <c r="K11" s="26">
        <v>60</v>
      </c>
      <c r="L11" s="26">
        <v>120</v>
      </c>
      <c r="M11" s="26" t="s">
        <v>71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x14ac:dyDescent="0.25">
      <c r="A12" s="26" t="s">
        <v>67</v>
      </c>
      <c r="B12" s="26" t="s">
        <v>78</v>
      </c>
      <c r="C12" s="26" t="s">
        <v>9</v>
      </c>
      <c r="D12" s="26" t="s">
        <v>22</v>
      </c>
      <c r="E12" s="31">
        <v>61.3</v>
      </c>
      <c r="F12" s="26">
        <v>2</v>
      </c>
      <c r="G12" s="32">
        <v>36753</v>
      </c>
      <c r="H12" s="26">
        <v>13</v>
      </c>
      <c r="I12" s="26">
        <v>80</v>
      </c>
      <c r="J12" s="27" t="s">
        <v>79</v>
      </c>
      <c r="K12" s="26">
        <v>75</v>
      </c>
      <c r="L12" s="26">
        <v>100</v>
      </c>
      <c r="M12" s="26" t="s">
        <v>71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x14ac:dyDescent="0.25">
      <c r="A13" s="26" t="s">
        <v>67</v>
      </c>
      <c r="B13" s="26" t="s">
        <v>68</v>
      </c>
      <c r="C13" s="26" t="s">
        <v>11</v>
      </c>
      <c r="D13" s="26" t="s">
        <v>22</v>
      </c>
      <c r="E13" s="31">
        <v>58.2</v>
      </c>
      <c r="F13" s="26">
        <v>3</v>
      </c>
      <c r="G13" s="32" t="s">
        <v>69</v>
      </c>
      <c r="H13" s="26">
        <v>10</v>
      </c>
      <c r="I13" s="26">
        <v>100</v>
      </c>
      <c r="J13" s="27" t="s">
        <v>70</v>
      </c>
      <c r="K13" s="26">
        <v>67.5</v>
      </c>
      <c r="L13" s="26">
        <v>130</v>
      </c>
      <c r="M13" s="26" t="s">
        <v>71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x14ac:dyDescent="0.25">
      <c r="A14" s="26" t="s">
        <v>67</v>
      </c>
      <c r="B14" s="26" t="s">
        <v>86</v>
      </c>
      <c r="C14" s="26" t="s">
        <v>24</v>
      </c>
      <c r="D14" s="26" t="s">
        <v>22</v>
      </c>
      <c r="E14" s="31">
        <v>75.599999999999994</v>
      </c>
      <c r="F14" s="26">
        <v>4</v>
      </c>
      <c r="G14" s="32" t="s">
        <v>87</v>
      </c>
      <c r="H14" s="26">
        <v>11</v>
      </c>
      <c r="I14" s="26">
        <v>160</v>
      </c>
      <c r="J14" s="27" t="s">
        <v>70</v>
      </c>
      <c r="K14" s="26">
        <v>60</v>
      </c>
      <c r="L14" s="26">
        <v>160</v>
      </c>
      <c r="M14" s="26" t="s">
        <v>71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x14ac:dyDescent="0.25">
      <c r="A15" s="26" t="s">
        <v>67</v>
      </c>
      <c r="B15" s="26" t="s">
        <v>76</v>
      </c>
      <c r="C15" s="26" t="s">
        <v>24</v>
      </c>
      <c r="D15" s="26" t="s">
        <v>22</v>
      </c>
      <c r="E15" s="31">
        <v>62.55</v>
      </c>
      <c r="F15" s="26">
        <v>5</v>
      </c>
      <c r="G15" s="32" t="s">
        <v>77</v>
      </c>
      <c r="H15" s="26">
        <v>10</v>
      </c>
      <c r="I15" s="26">
        <v>100</v>
      </c>
      <c r="J15" s="27" t="s">
        <v>60</v>
      </c>
      <c r="K15" s="26">
        <v>60</v>
      </c>
      <c r="L15" s="26">
        <v>120</v>
      </c>
      <c r="M15" s="26" t="s">
        <v>71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x14ac:dyDescent="0.25">
      <c r="A16" s="26" t="s">
        <v>67</v>
      </c>
      <c r="B16" s="26" t="s">
        <v>80</v>
      </c>
      <c r="C16" s="26" t="s">
        <v>11</v>
      </c>
      <c r="D16" s="26" t="s">
        <v>22</v>
      </c>
      <c r="E16" s="31">
        <v>70.55</v>
      </c>
      <c r="F16" s="26">
        <v>6</v>
      </c>
      <c r="G16" s="32" t="s">
        <v>81</v>
      </c>
      <c r="H16" s="26">
        <v>12</v>
      </c>
      <c r="I16" s="26">
        <v>125</v>
      </c>
      <c r="J16" s="27" t="s">
        <v>82</v>
      </c>
      <c r="K16" s="26">
        <v>70</v>
      </c>
      <c r="L16" s="26">
        <v>140</v>
      </c>
      <c r="M16" s="26" t="s">
        <v>71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x14ac:dyDescent="0.25">
      <c r="A17" s="26" t="s">
        <v>67</v>
      </c>
      <c r="B17" s="26" t="s">
        <v>83</v>
      </c>
      <c r="C17" s="26" t="s">
        <v>11</v>
      </c>
      <c r="D17" s="26" t="s">
        <v>22</v>
      </c>
      <c r="E17" s="31">
        <v>63</v>
      </c>
      <c r="F17" s="26">
        <v>7</v>
      </c>
      <c r="G17" s="32" t="s">
        <v>84</v>
      </c>
      <c r="H17" s="26">
        <v>12</v>
      </c>
      <c r="I17" s="26">
        <v>115</v>
      </c>
      <c r="J17" s="27" t="s">
        <v>85</v>
      </c>
      <c r="K17" s="26">
        <v>65</v>
      </c>
      <c r="L17" s="26">
        <v>150</v>
      </c>
      <c r="M17" s="26" t="s">
        <v>71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x14ac:dyDescent="0.25">
      <c r="A18" s="26" t="s">
        <v>67</v>
      </c>
      <c r="B18" s="26" t="s">
        <v>92</v>
      </c>
      <c r="C18" s="26" t="s">
        <v>24</v>
      </c>
      <c r="D18" s="26" t="s">
        <v>18</v>
      </c>
      <c r="E18" s="31">
        <v>81.7</v>
      </c>
      <c r="F18" s="26">
        <v>8</v>
      </c>
      <c r="G18" s="32" t="s">
        <v>93</v>
      </c>
      <c r="H18" s="26">
        <v>12</v>
      </c>
      <c r="I18" s="26">
        <v>110</v>
      </c>
      <c r="J18" s="27" t="s">
        <v>91</v>
      </c>
      <c r="K18" s="26">
        <v>100</v>
      </c>
      <c r="L18" s="26">
        <v>150</v>
      </c>
      <c r="M18" s="26" t="s">
        <v>71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x14ac:dyDescent="0.25">
      <c r="A19" s="26" t="s">
        <v>67</v>
      </c>
      <c r="B19" s="26" t="s">
        <v>88</v>
      </c>
      <c r="C19" s="26" t="s">
        <v>11</v>
      </c>
      <c r="D19" s="26" t="s">
        <v>22</v>
      </c>
      <c r="E19" s="31">
        <v>80.400000000000006</v>
      </c>
      <c r="F19" s="26">
        <v>9</v>
      </c>
      <c r="G19" s="32" t="s">
        <v>89</v>
      </c>
      <c r="H19" s="26">
        <v>13</v>
      </c>
      <c r="I19" s="26">
        <v>75</v>
      </c>
      <c r="J19" s="27" t="s">
        <v>90</v>
      </c>
      <c r="K19" s="26">
        <v>40</v>
      </c>
      <c r="L19" s="26">
        <v>90</v>
      </c>
      <c r="M19" s="26" t="s">
        <v>71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25">
      <c r="A20" s="26" t="s">
        <v>67</v>
      </c>
      <c r="B20" s="26" t="s">
        <v>73</v>
      </c>
      <c r="C20" s="26" t="s">
        <v>9</v>
      </c>
      <c r="D20" s="26" t="s">
        <v>22</v>
      </c>
      <c r="E20" s="31">
        <v>97.35</v>
      </c>
      <c r="F20" s="26">
        <v>10</v>
      </c>
      <c r="G20" s="32" t="s">
        <v>74</v>
      </c>
      <c r="H20" s="26">
        <v>15</v>
      </c>
      <c r="I20" s="26">
        <v>70</v>
      </c>
      <c r="J20" s="27" t="s">
        <v>75</v>
      </c>
      <c r="K20" s="26">
        <v>40</v>
      </c>
      <c r="L20" s="26">
        <v>80</v>
      </c>
      <c r="M20" s="26" t="s">
        <v>71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x14ac:dyDescent="0.25">
      <c r="A21" s="26" t="s">
        <v>94</v>
      </c>
      <c r="B21" s="26" t="s">
        <v>95</v>
      </c>
      <c r="C21" s="26" t="s">
        <v>11</v>
      </c>
      <c r="D21" s="26" t="s">
        <v>18</v>
      </c>
      <c r="E21" s="31">
        <v>127.25</v>
      </c>
      <c r="F21" s="26">
        <v>1</v>
      </c>
      <c r="G21" s="32" t="s">
        <v>96</v>
      </c>
      <c r="H21" s="26">
        <v>20</v>
      </c>
      <c r="I21" s="26">
        <v>230</v>
      </c>
      <c r="J21" s="27" t="s">
        <v>97</v>
      </c>
      <c r="K21" s="26">
        <v>150</v>
      </c>
      <c r="L21" s="26">
        <v>250</v>
      </c>
      <c r="M21" s="26" t="s">
        <v>71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x14ac:dyDescent="0.25">
      <c r="A22" s="26" t="s">
        <v>94</v>
      </c>
      <c r="B22" s="26" t="s">
        <v>110</v>
      </c>
      <c r="C22" s="26" t="s">
        <v>9</v>
      </c>
      <c r="D22" s="26" t="s">
        <v>18</v>
      </c>
      <c r="E22" s="31">
        <v>118.6</v>
      </c>
      <c r="F22" s="26">
        <v>2</v>
      </c>
      <c r="G22" s="32" t="s">
        <v>111</v>
      </c>
      <c r="H22" s="26">
        <v>18</v>
      </c>
      <c r="I22" s="26">
        <v>220</v>
      </c>
      <c r="J22" s="27" t="s">
        <v>109</v>
      </c>
      <c r="K22" s="26">
        <v>150</v>
      </c>
      <c r="L22" s="26">
        <v>240</v>
      </c>
      <c r="M22" s="26" t="s">
        <v>71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x14ac:dyDescent="0.25">
      <c r="A23" s="26" t="s">
        <v>94</v>
      </c>
      <c r="B23" s="26" t="s">
        <v>105</v>
      </c>
      <c r="C23" s="26" t="s">
        <v>11</v>
      </c>
      <c r="D23" s="26" t="s">
        <v>18</v>
      </c>
      <c r="E23" s="31">
        <v>73</v>
      </c>
      <c r="F23" s="26">
        <v>3</v>
      </c>
      <c r="G23" s="32" t="s">
        <v>106</v>
      </c>
      <c r="H23" s="26">
        <v>14</v>
      </c>
      <c r="I23" s="26">
        <v>170</v>
      </c>
      <c r="J23" s="27" t="s">
        <v>100</v>
      </c>
      <c r="K23" s="26">
        <v>117.5</v>
      </c>
      <c r="L23" s="26">
        <v>215</v>
      </c>
      <c r="M23" s="26" t="s">
        <v>71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x14ac:dyDescent="0.25">
      <c r="A24" s="26" t="s">
        <v>94</v>
      </c>
      <c r="B24" s="26" t="s">
        <v>120</v>
      </c>
      <c r="C24" s="26" t="s">
        <v>24</v>
      </c>
      <c r="D24" s="26" t="s">
        <v>26</v>
      </c>
      <c r="E24" s="31">
        <v>96.05</v>
      </c>
      <c r="F24" s="26">
        <v>4</v>
      </c>
      <c r="G24" s="32" t="s">
        <v>121</v>
      </c>
      <c r="H24" s="26" t="s">
        <v>148</v>
      </c>
      <c r="I24" s="26">
        <v>145</v>
      </c>
      <c r="J24" s="27" t="s">
        <v>91</v>
      </c>
      <c r="K24" s="26">
        <v>120</v>
      </c>
      <c r="L24" s="26">
        <v>190</v>
      </c>
      <c r="M24" s="26" t="s">
        <v>71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x14ac:dyDescent="0.25">
      <c r="A25" s="26" t="s">
        <v>94</v>
      </c>
      <c r="B25" s="26" t="s">
        <v>115</v>
      </c>
      <c r="C25" s="26" t="s">
        <v>11</v>
      </c>
      <c r="D25" s="26" t="s">
        <v>18</v>
      </c>
      <c r="E25" s="31">
        <v>73.2</v>
      </c>
      <c r="F25" s="26">
        <v>5</v>
      </c>
      <c r="G25" s="32" t="s">
        <v>116</v>
      </c>
      <c r="H25" s="26">
        <v>13</v>
      </c>
      <c r="I25" s="26">
        <v>185</v>
      </c>
      <c r="J25" s="27" t="s">
        <v>54</v>
      </c>
      <c r="K25" s="26">
        <v>122.5</v>
      </c>
      <c r="L25" s="26">
        <v>205</v>
      </c>
      <c r="M25" s="26" t="s">
        <v>71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x14ac:dyDescent="0.25">
      <c r="A26" s="26" t="s">
        <v>94</v>
      </c>
      <c r="B26" s="26" t="s">
        <v>122</v>
      </c>
      <c r="C26" s="26" t="s">
        <v>11</v>
      </c>
      <c r="D26" s="26" t="s">
        <v>18</v>
      </c>
      <c r="E26" s="31">
        <v>81.7</v>
      </c>
      <c r="F26" s="26">
        <v>6</v>
      </c>
      <c r="G26" s="32" t="s">
        <v>123</v>
      </c>
      <c r="H26" s="26">
        <v>15</v>
      </c>
      <c r="I26" s="26">
        <v>150</v>
      </c>
      <c r="J26" s="27" t="s">
        <v>91</v>
      </c>
      <c r="K26" s="26">
        <v>100</v>
      </c>
      <c r="L26" s="26">
        <v>230</v>
      </c>
      <c r="M26" s="26" t="s">
        <v>71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x14ac:dyDescent="0.25">
      <c r="A27" s="26" t="s">
        <v>94</v>
      </c>
      <c r="B27" s="26" t="s">
        <v>98</v>
      </c>
      <c r="C27" s="26" t="s">
        <v>9</v>
      </c>
      <c r="D27" s="26" t="s">
        <v>18</v>
      </c>
      <c r="E27" s="31">
        <v>92.5</v>
      </c>
      <c r="F27" s="26">
        <v>7</v>
      </c>
      <c r="G27" s="32" t="s">
        <v>99</v>
      </c>
      <c r="H27" s="26">
        <v>13</v>
      </c>
      <c r="I27" s="26">
        <v>180</v>
      </c>
      <c r="J27" s="27" t="s">
        <v>100</v>
      </c>
      <c r="K27" s="26">
        <v>115</v>
      </c>
      <c r="L27" s="26">
        <v>220</v>
      </c>
      <c r="M27" s="26" t="s">
        <v>71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x14ac:dyDescent="0.25">
      <c r="A28" s="26" t="s">
        <v>94</v>
      </c>
      <c r="B28" s="26" t="s">
        <v>117</v>
      </c>
      <c r="C28" s="26" t="s">
        <v>11</v>
      </c>
      <c r="D28" s="26" t="s">
        <v>18</v>
      </c>
      <c r="E28" s="31">
        <v>73.2</v>
      </c>
      <c r="F28" s="26">
        <v>8</v>
      </c>
      <c r="G28" s="32" t="s">
        <v>118</v>
      </c>
      <c r="H28" s="26">
        <v>13</v>
      </c>
      <c r="I28" s="26">
        <v>175</v>
      </c>
      <c r="J28" s="27" t="s">
        <v>119</v>
      </c>
      <c r="K28" s="26">
        <v>117.5</v>
      </c>
      <c r="L28" s="26">
        <v>202.5</v>
      </c>
      <c r="M28" s="26" t="s">
        <v>71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x14ac:dyDescent="0.25">
      <c r="A29" s="26" t="s">
        <v>94</v>
      </c>
      <c r="B29" s="26" t="s">
        <v>101</v>
      </c>
      <c r="C29" s="26" t="s">
        <v>11</v>
      </c>
      <c r="D29" s="26" t="s">
        <v>18</v>
      </c>
      <c r="E29" s="31">
        <v>75.599999999999994</v>
      </c>
      <c r="F29" s="26">
        <v>9</v>
      </c>
      <c r="G29" s="32" t="s">
        <v>102</v>
      </c>
      <c r="H29" s="26">
        <v>13</v>
      </c>
      <c r="I29" s="26">
        <v>147.5</v>
      </c>
      <c r="J29" s="27" t="s">
        <v>54</v>
      </c>
      <c r="K29" s="26">
        <v>95</v>
      </c>
      <c r="L29" s="26">
        <v>187.5</v>
      </c>
      <c r="M29" s="26" t="s">
        <v>71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x14ac:dyDescent="0.25">
      <c r="A30" s="26" t="s">
        <v>94</v>
      </c>
      <c r="B30" s="26" t="s">
        <v>103</v>
      </c>
      <c r="C30" s="26" t="s">
        <v>24</v>
      </c>
      <c r="D30" s="26" t="s">
        <v>18</v>
      </c>
      <c r="E30" s="31">
        <v>142.69999999999999</v>
      </c>
      <c r="F30" s="26">
        <v>10</v>
      </c>
      <c r="G30" s="32" t="s">
        <v>104</v>
      </c>
      <c r="H30" s="26">
        <v>15</v>
      </c>
      <c r="I30" s="26">
        <v>280</v>
      </c>
      <c r="J30" s="27" t="s">
        <v>91</v>
      </c>
      <c r="K30" s="26">
        <v>180</v>
      </c>
      <c r="L30" s="26">
        <v>280</v>
      </c>
      <c r="M30" s="26" t="s">
        <v>71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x14ac:dyDescent="0.25">
      <c r="A31" s="26" t="s">
        <v>94</v>
      </c>
      <c r="B31" s="26" t="s">
        <v>107</v>
      </c>
      <c r="C31" s="26" t="s">
        <v>11</v>
      </c>
      <c r="D31" s="26" t="s">
        <v>18</v>
      </c>
      <c r="E31" s="31">
        <v>115.15</v>
      </c>
      <c r="F31" s="26">
        <v>11</v>
      </c>
      <c r="G31" s="32" t="s">
        <v>108</v>
      </c>
      <c r="H31" s="26">
        <v>21</v>
      </c>
      <c r="I31" s="26">
        <v>190</v>
      </c>
      <c r="J31" s="27" t="s">
        <v>97</v>
      </c>
      <c r="K31" s="26">
        <v>155</v>
      </c>
      <c r="L31" s="26">
        <v>240</v>
      </c>
      <c r="M31" s="26" t="s">
        <v>71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x14ac:dyDescent="0.25">
      <c r="A32" s="26" t="s">
        <v>94</v>
      </c>
      <c r="B32" s="26" t="s">
        <v>112</v>
      </c>
      <c r="C32" s="26" t="s">
        <v>9</v>
      </c>
      <c r="D32" s="26" t="s">
        <v>18</v>
      </c>
      <c r="E32" s="31">
        <v>104.85</v>
      </c>
      <c r="F32" s="26">
        <v>12</v>
      </c>
      <c r="G32" s="32" t="s">
        <v>113</v>
      </c>
      <c r="H32" s="26">
        <v>15</v>
      </c>
      <c r="I32" s="26">
        <v>220</v>
      </c>
      <c r="J32" s="27" t="s">
        <v>114</v>
      </c>
      <c r="K32" s="26">
        <v>155</v>
      </c>
      <c r="L32" s="26">
        <v>240</v>
      </c>
      <c r="M32" s="26" t="s">
        <v>71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4:28" x14ac:dyDescent="0.25">
      <c r="N33" s="29"/>
      <c r="U33" s="28"/>
      <c r="V33" s="29"/>
      <c r="Z33" s="30"/>
      <c r="AA33" s="37"/>
      <c r="AB33"/>
    </row>
    <row r="34" spans="14:28" x14ac:dyDescent="0.25">
      <c r="N34" s="29"/>
      <c r="U34" s="28"/>
      <c r="V34" s="29"/>
      <c r="Z34" s="30"/>
      <c r="AA34" s="37"/>
      <c r="AB34"/>
    </row>
    <row r="35" spans="14:28" x14ac:dyDescent="0.25">
      <c r="N35" s="29"/>
      <c r="U35" s="28"/>
      <c r="V35" s="29"/>
      <c r="Z35" s="30"/>
      <c r="AA35" s="37"/>
      <c r="AB35"/>
    </row>
    <row r="36" spans="14:28" x14ac:dyDescent="0.25">
      <c r="N36" s="29"/>
      <c r="U36" s="28"/>
      <c r="V36" s="29"/>
      <c r="Z36" s="30"/>
      <c r="AA36" s="37"/>
      <c r="AB36"/>
    </row>
    <row r="37" spans="14:28" x14ac:dyDescent="0.25">
      <c r="N37" s="29"/>
      <c r="U37" s="28"/>
      <c r="V37" s="29"/>
      <c r="Z37" s="30"/>
      <c r="AA37" s="37"/>
      <c r="AB37"/>
    </row>
    <row r="38" spans="14:28" x14ac:dyDescent="0.25">
      <c r="N38" s="29"/>
      <c r="U38" s="28"/>
      <c r="V38" s="29"/>
      <c r="Z38" s="30"/>
      <c r="AA38" s="37"/>
      <c r="AB38"/>
    </row>
    <row r="39" spans="14:28" x14ac:dyDescent="0.25">
      <c r="N39" s="29"/>
      <c r="U39" s="28"/>
      <c r="V39" s="29"/>
      <c r="Z39" s="30"/>
      <c r="AA39" s="37"/>
      <c r="AB39"/>
    </row>
    <row r="40" spans="14:28" x14ac:dyDescent="0.25">
      <c r="N40" s="29"/>
      <c r="U40" s="28"/>
      <c r="V40" s="29"/>
      <c r="Z40" s="30"/>
      <c r="AA40" s="37"/>
      <c r="AB40"/>
    </row>
    <row r="41" spans="14:28" x14ac:dyDescent="0.25">
      <c r="N41" s="29"/>
      <c r="U41" s="28"/>
      <c r="V41" s="29"/>
      <c r="Z41" s="30"/>
      <c r="AA41" s="37"/>
      <c r="AB41"/>
    </row>
    <row r="42" spans="14:28" x14ac:dyDescent="0.25">
      <c r="N42" s="29"/>
      <c r="U42" s="28"/>
      <c r="V42" s="29"/>
      <c r="Z42" s="30"/>
      <c r="AA42" s="37"/>
      <c r="AB42"/>
    </row>
    <row r="43" spans="14:28" x14ac:dyDescent="0.25">
      <c r="N43" s="29"/>
      <c r="U43" s="28"/>
      <c r="V43" s="29"/>
      <c r="Z43" s="30"/>
      <c r="AA43" s="37"/>
      <c r="AB43"/>
    </row>
    <row r="44" spans="14:28" x14ac:dyDescent="0.25">
      <c r="N44" s="29"/>
      <c r="U44" s="28"/>
      <c r="V44" s="29"/>
      <c r="Z44" s="30"/>
      <c r="AA44" s="37"/>
      <c r="AB44"/>
    </row>
    <row r="45" spans="14:28" x14ac:dyDescent="0.25">
      <c r="N45" s="29"/>
      <c r="U45" s="28"/>
      <c r="V45" s="29"/>
      <c r="Z45" s="30"/>
      <c r="AA45" s="37"/>
      <c r="AB45"/>
    </row>
    <row r="46" spans="14:28" x14ac:dyDescent="0.25">
      <c r="N46" s="29"/>
      <c r="U46" s="28"/>
      <c r="V46" s="29"/>
      <c r="Z46" s="30"/>
      <c r="AA46" s="37"/>
      <c r="AB46"/>
    </row>
    <row r="47" spans="14:28" x14ac:dyDescent="0.25">
      <c r="N47" s="29"/>
      <c r="U47" s="28"/>
      <c r="V47" s="29"/>
      <c r="Z47" s="30"/>
      <c r="AA47" s="37"/>
      <c r="AB47"/>
    </row>
    <row r="48" spans="14:28" x14ac:dyDescent="0.25">
      <c r="N48" s="29"/>
      <c r="U48" s="28"/>
      <c r="V48" s="29"/>
      <c r="Z48" s="30"/>
      <c r="AA48" s="37"/>
      <c r="AB48"/>
    </row>
    <row r="49" spans="14:28" x14ac:dyDescent="0.25">
      <c r="N49" s="29"/>
      <c r="U49" s="28"/>
      <c r="V49" s="29"/>
      <c r="Z49" s="30"/>
      <c r="AA49" s="37"/>
      <c r="AB49"/>
    </row>
    <row r="50" spans="14:28" x14ac:dyDescent="0.25">
      <c r="N50" s="29"/>
      <c r="U50" s="28"/>
      <c r="V50" s="29"/>
      <c r="Z50" s="30"/>
      <c r="AA50" s="37"/>
      <c r="AB50"/>
    </row>
    <row r="51" spans="14:28" x14ac:dyDescent="0.25">
      <c r="N51" s="29"/>
      <c r="U51" s="28"/>
      <c r="V51" s="29"/>
      <c r="Z51" s="30"/>
      <c r="AA51" s="37"/>
      <c r="AB51"/>
    </row>
    <row r="52" spans="14:28" x14ac:dyDescent="0.25">
      <c r="N52" s="29"/>
      <c r="U52" s="28"/>
      <c r="V52" s="29"/>
      <c r="Z52" s="30"/>
      <c r="AA52" s="37"/>
      <c r="AB52"/>
    </row>
    <row r="53" spans="14:28" x14ac:dyDescent="0.25">
      <c r="N53" s="29"/>
      <c r="U53" s="28"/>
      <c r="V53" s="29"/>
      <c r="Z53" s="30"/>
      <c r="AA53" s="37"/>
      <c r="AB53"/>
    </row>
    <row r="54" spans="14:28" x14ac:dyDescent="0.25">
      <c r="N54" s="29"/>
      <c r="U54" s="28"/>
      <c r="V54" s="29"/>
      <c r="Z54" s="30"/>
      <c r="AA54" s="37"/>
      <c r="AB54"/>
    </row>
    <row r="55" spans="14:28" x14ac:dyDescent="0.25">
      <c r="N55" s="29"/>
      <c r="U55" s="28"/>
      <c r="V55" s="29"/>
      <c r="Z55" s="30"/>
      <c r="AA55" s="37"/>
      <c r="AB55"/>
    </row>
    <row r="56" spans="14:28" x14ac:dyDescent="0.25">
      <c r="N56" s="29"/>
      <c r="U56" s="28"/>
      <c r="V56" s="29"/>
      <c r="Z56" s="30"/>
      <c r="AA56" s="37"/>
      <c r="AB56"/>
    </row>
    <row r="57" spans="14:28" x14ac:dyDescent="0.25">
      <c r="N57" s="29"/>
      <c r="U57" s="28"/>
      <c r="V57" s="29"/>
      <c r="Z57" s="30"/>
      <c r="AA57" s="37"/>
      <c r="AB57"/>
    </row>
    <row r="58" spans="14:28" x14ac:dyDescent="0.25">
      <c r="N58" s="29"/>
      <c r="U58" s="28"/>
      <c r="V58" s="29"/>
      <c r="Z58" s="30"/>
      <c r="AA58" s="37"/>
      <c r="AB58"/>
    </row>
    <row r="59" spans="14:28" x14ac:dyDescent="0.25">
      <c r="N59" s="29"/>
      <c r="U59" s="28"/>
      <c r="V59" s="29"/>
      <c r="Z59" s="30"/>
      <c r="AA59" s="37"/>
      <c r="AB59"/>
    </row>
    <row r="60" spans="14:28" x14ac:dyDescent="0.25">
      <c r="N60" s="29"/>
      <c r="U60" s="28"/>
      <c r="V60" s="29"/>
      <c r="Z60" s="30"/>
      <c r="AA60" s="37"/>
      <c r="AB60"/>
    </row>
    <row r="61" spans="14:28" x14ac:dyDescent="0.25">
      <c r="N61" s="29"/>
      <c r="U61" s="28"/>
      <c r="V61" s="29"/>
      <c r="Z61" s="30"/>
      <c r="AA61" s="37"/>
      <c r="AB61"/>
    </row>
    <row r="62" spans="14:28" x14ac:dyDescent="0.25">
      <c r="N62" s="29"/>
      <c r="U62" s="28"/>
      <c r="V62" s="29"/>
      <c r="Z62" s="30"/>
      <c r="AA62" s="37"/>
      <c r="AB62"/>
    </row>
    <row r="63" spans="14:28" x14ac:dyDescent="0.25">
      <c r="N63" s="29"/>
      <c r="U63" s="28"/>
      <c r="V63" s="29"/>
      <c r="Z63" s="30"/>
      <c r="AA63" s="37"/>
      <c r="AB63"/>
    </row>
    <row r="64" spans="14:28" x14ac:dyDescent="0.25">
      <c r="N64" s="29"/>
      <c r="U64" s="28"/>
      <c r="V64" s="29"/>
      <c r="Z64" s="30"/>
      <c r="AA64" s="37"/>
      <c r="AB64"/>
    </row>
    <row r="65" spans="14:28" x14ac:dyDescent="0.25">
      <c r="N65" s="29"/>
      <c r="U65" s="28"/>
      <c r="V65" s="29"/>
      <c r="Z65" s="30"/>
      <c r="AA65" s="37"/>
      <c r="AB65"/>
    </row>
    <row r="66" spans="14:28" x14ac:dyDescent="0.25">
      <c r="N66" s="29"/>
      <c r="U66" s="28"/>
      <c r="V66" s="29"/>
      <c r="Z66" s="30"/>
      <c r="AA66" s="37"/>
      <c r="AB66"/>
    </row>
    <row r="67" spans="14:28" x14ac:dyDescent="0.25">
      <c r="N67" s="29"/>
      <c r="U67" s="28"/>
      <c r="V67" s="29"/>
      <c r="Z67" s="30"/>
      <c r="AA67" s="37"/>
      <c r="AB67"/>
    </row>
    <row r="68" spans="14:28" x14ac:dyDescent="0.25">
      <c r="N68" s="29"/>
      <c r="U68" s="28"/>
      <c r="V68" s="29"/>
      <c r="Z68" s="30"/>
      <c r="AA68" s="37"/>
      <c r="AB68"/>
    </row>
    <row r="69" spans="14:28" x14ac:dyDescent="0.25">
      <c r="N69" s="29"/>
      <c r="U69" s="28"/>
      <c r="V69" s="29"/>
      <c r="Z69" s="30"/>
      <c r="AA69" s="37"/>
      <c r="AB69"/>
    </row>
    <row r="70" spans="14:28" x14ac:dyDescent="0.25">
      <c r="N70" s="29"/>
      <c r="U70" s="28"/>
      <c r="V70" s="29"/>
      <c r="Z70" s="30"/>
      <c r="AA70" s="37"/>
      <c r="AB70"/>
    </row>
    <row r="71" spans="14:28" x14ac:dyDescent="0.25">
      <c r="N71" s="29"/>
      <c r="U71" s="28"/>
      <c r="V71" s="29"/>
      <c r="Z71" s="30"/>
      <c r="AA71" s="37"/>
      <c r="AB71"/>
    </row>
    <row r="72" spans="14:28" x14ac:dyDescent="0.25">
      <c r="N72" s="29"/>
      <c r="U72" s="28"/>
      <c r="V72" s="29"/>
      <c r="Z72" s="30"/>
      <c r="AA72" s="37"/>
      <c r="AB72"/>
    </row>
    <row r="73" spans="14:28" x14ac:dyDescent="0.25">
      <c r="N73" s="29"/>
      <c r="U73" s="28"/>
      <c r="V73" s="29"/>
      <c r="Z73" s="30"/>
      <c r="AA73" s="37"/>
      <c r="AB73"/>
    </row>
    <row r="74" spans="14:28" x14ac:dyDescent="0.25">
      <c r="N74" s="29"/>
      <c r="U74" s="28"/>
      <c r="V74" s="29"/>
      <c r="Z74" s="30"/>
      <c r="AA74" s="37"/>
      <c r="AB74"/>
    </row>
    <row r="75" spans="14:28" x14ac:dyDescent="0.25">
      <c r="N75" s="29"/>
      <c r="U75" s="28"/>
      <c r="V75" s="29"/>
      <c r="Z75" s="30"/>
      <c r="AA75" s="37"/>
      <c r="AB75"/>
    </row>
    <row r="76" spans="14:28" x14ac:dyDescent="0.25">
      <c r="N76" s="29"/>
      <c r="U76" s="28"/>
      <c r="V76" s="29"/>
      <c r="Z76" s="30"/>
      <c r="AA76" s="37"/>
      <c r="AB76"/>
    </row>
    <row r="77" spans="14:28" x14ac:dyDescent="0.25">
      <c r="N77" s="29"/>
      <c r="U77" s="28"/>
      <c r="V77" s="29"/>
      <c r="Z77" s="30"/>
      <c r="AA77" s="37"/>
      <c r="AB77"/>
    </row>
    <row r="78" spans="14:28" x14ac:dyDescent="0.25">
      <c r="N78" s="29"/>
      <c r="U78" s="28"/>
      <c r="V78" s="29"/>
      <c r="Z78" s="30"/>
      <c r="AA78" s="37"/>
      <c r="AB78"/>
    </row>
    <row r="79" spans="14:28" x14ac:dyDescent="0.25">
      <c r="N79" s="29"/>
      <c r="U79" s="28"/>
      <c r="V79" s="29"/>
      <c r="Z79" s="30"/>
      <c r="AA79" s="37"/>
      <c r="AB79"/>
    </row>
    <row r="80" spans="14:28" x14ac:dyDescent="0.25">
      <c r="N80" s="29"/>
      <c r="U80" s="28"/>
      <c r="V80" s="29"/>
      <c r="Z80" s="30"/>
      <c r="AA80" s="37"/>
      <c r="AB80"/>
    </row>
    <row r="81" spans="14:28" x14ac:dyDescent="0.25">
      <c r="N81" s="29"/>
      <c r="U81" s="28"/>
      <c r="V81" s="29"/>
      <c r="Z81" s="30"/>
      <c r="AA81" s="37"/>
      <c r="AB81"/>
    </row>
    <row r="82" spans="14:28" x14ac:dyDescent="0.25">
      <c r="N82" s="29"/>
      <c r="U82" s="28"/>
      <c r="V82" s="29"/>
      <c r="Z82" s="30"/>
      <c r="AA82" s="37"/>
      <c r="AB82"/>
    </row>
    <row r="83" spans="14:28" x14ac:dyDescent="0.25">
      <c r="N83" s="29"/>
      <c r="U83" s="28"/>
      <c r="V83" s="29"/>
      <c r="Z83" s="30"/>
      <c r="AA83" s="37"/>
      <c r="AB83"/>
    </row>
    <row r="84" spans="14:28" x14ac:dyDescent="0.25">
      <c r="N84" s="29"/>
      <c r="U84" s="28"/>
      <c r="V84" s="29"/>
      <c r="Z84" s="30"/>
      <c r="AA84" s="37"/>
      <c r="AB84"/>
    </row>
    <row r="85" spans="14:28" x14ac:dyDescent="0.25">
      <c r="N85" s="29"/>
      <c r="U85" s="28"/>
      <c r="V85" s="29"/>
      <c r="Z85" s="30"/>
      <c r="AA85" s="37"/>
      <c r="AB85"/>
    </row>
    <row r="86" spans="14:28" x14ac:dyDescent="0.25">
      <c r="N86" s="29"/>
      <c r="U86" s="28"/>
      <c r="V86" s="29"/>
      <c r="Z86" s="30"/>
      <c r="AA86" s="37"/>
      <c r="AB86"/>
    </row>
    <row r="87" spans="14:28" x14ac:dyDescent="0.25">
      <c r="N87" s="29"/>
      <c r="U87" s="28"/>
      <c r="V87" s="29"/>
      <c r="Z87" s="30"/>
      <c r="AA87" s="37"/>
      <c r="AB87"/>
    </row>
    <row r="88" spans="14:28" x14ac:dyDescent="0.25">
      <c r="N88" s="29"/>
      <c r="U88" s="28"/>
      <c r="V88" s="29"/>
      <c r="Z88" s="30"/>
      <c r="AA88" s="37"/>
      <c r="AB88"/>
    </row>
    <row r="89" spans="14:28" x14ac:dyDescent="0.25">
      <c r="N89" s="29"/>
      <c r="U89" s="28"/>
      <c r="V89" s="29"/>
      <c r="Z89" s="30"/>
      <c r="AA89" s="37"/>
      <c r="AB89"/>
    </row>
    <row r="90" spans="14:28" x14ac:dyDescent="0.25">
      <c r="N90" s="29"/>
      <c r="U90" s="28"/>
      <c r="V90" s="29"/>
      <c r="Z90" s="30"/>
      <c r="AA90" s="37"/>
      <c r="AB90"/>
    </row>
    <row r="91" spans="14:28" x14ac:dyDescent="0.25">
      <c r="N91" s="29"/>
      <c r="U91" s="28"/>
      <c r="V91" s="29"/>
      <c r="Z91" s="30"/>
      <c r="AA91" s="37"/>
      <c r="AB91"/>
    </row>
    <row r="92" spans="14:28" x14ac:dyDescent="0.25">
      <c r="N92" s="29"/>
      <c r="U92" s="28"/>
      <c r="V92" s="29"/>
      <c r="Z92" s="30"/>
      <c r="AA92" s="37"/>
      <c r="AB92"/>
    </row>
    <row r="93" spans="14:28" x14ac:dyDescent="0.25">
      <c r="N93" s="29"/>
      <c r="U93" s="28"/>
      <c r="V93" s="29"/>
      <c r="Z93" s="30"/>
      <c r="AA93" s="37"/>
      <c r="AB93"/>
    </row>
    <row r="94" spans="14:28" x14ac:dyDescent="0.25">
      <c r="N94" s="29"/>
      <c r="U94" s="28"/>
      <c r="V94" s="29"/>
      <c r="Z94" s="30"/>
      <c r="AA94" s="37"/>
      <c r="AB94"/>
    </row>
    <row r="95" spans="14:28" x14ac:dyDescent="0.25">
      <c r="N95" s="29"/>
      <c r="U95" s="28"/>
      <c r="V95" s="29"/>
      <c r="Z95" s="30"/>
      <c r="AA95" s="37"/>
      <c r="AB95"/>
    </row>
    <row r="96" spans="14:28" x14ac:dyDescent="0.25">
      <c r="N96" s="29"/>
      <c r="U96" s="28"/>
      <c r="V96" s="29"/>
      <c r="Z96" s="30"/>
      <c r="AA96" s="37"/>
      <c r="AB96"/>
    </row>
    <row r="97" spans="14:28" x14ac:dyDescent="0.25">
      <c r="N97" s="29"/>
      <c r="U97" s="28"/>
      <c r="V97" s="29"/>
      <c r="Z97" s="30"/>
      <c r="AA97" s="37"/>
      <c r="AB97"/>
    </row>
    <row r="98" spans="14:28" x14ac:dyDescent="0.25">
      <c r="N98" s="29"/>
      <c r="U98" s="28"/>
      <c r="V98" s="29"/>
      <c r="Z98" s="30"/>
      <c r="AA98" s="37"/>
      <c r="AB98"/>
    </row>
    <row r="99" spans="14:28" x14ac:dyDescent="0.25">
      <c r="N99" s="29"/>
      <c r="U99" s="28"/>
      <c r="V99" s="29"/>
      <c r="Z99" s="30"/>
      <c r="AA99" s="37"/>
      <c r="AB99"/>
    </row>
    <row r="100" spans="14:28" x14ac:dyDescent="0.25">
      <c r="N100" s="29"/>
      <c r="U100" s="28"/>
      <c r="V100" s="29"/>
      <c r="Z100" s="30"/>
      <c r="AA100" s="37"/>
      <c r="AB100"/>
    </row>
  </sheetData>
  <sortState ref="A3:M32">
    <sortCondition ref="A3"/>
    <sortCondition ref="F3"/>
  </sortState>
  <conditionalFormatting sqref="A2:M65352">
    <cfRule type="expression" dxfId="1" priority="1" stopIfTrue="1">
      <formula>AND(ROW(A2)=$Z$1,COLUMN(A2)=$Z$2)</formula>
    </cfRule>
    <cfRule type="expression" dxfId="0" priority="2" stopIfTrue="1">
      <formula>OR(AND(ROW(A2)=$Z$1,COLUMN(A2)&lt;$Z$2),AND(ROW(A2)&lt;$Z$1,COLUMN(A2)=$Z$2))</formula>
    </cfRule>
  </conditionalFormatting>
  <dataValidations count="9">
    <dataValidation allowBlank="1" showInputMessage="1" showErrorMessage="1" prompt="Ange höjden på formen höjd/safety. T.ex. 7/6_x000a__x000a_Lägg till ett a för avlyft. T.ex. 9/7a" sqref="J3:J1048576"/>
    <dataValidation allowBlank="1" showInputMessage="1" showErrorMessage="1" prompt="Lägg till ett i för infällt. T.ex. 13i" sqref="H3:H1048576"/>
    <dataValidation type="list" allowBlank="1" showInputMessage="1" showErrorMessage="1" prompt="1st Character must be M or F to designate male/female to compute Wilks Coef.  Examples:  _x000a_M-O = open male_x000a_F-M1 = female master" sqref="D3:D1048576">
      <formula1>INDIRECT($R$2)</formula1>
    </dataValidation>
    <dataValidation type="list" allowBlank="1" showInputMessage="1" showErrorMessage="1" sqref="C3:C65352">
      <formula1>INDIRECT($S$2)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I3:I65352 K3:L65352">
      <formula1>MOD(I3,2.5)=0</formula1>
    </dataValidation>
    <dataValidation type="list" allowBlank="1" showInputMessage="1" showErrorMessage="1" sqref="A3:A65352">
      <formula1>"A,B,C,D,E,F,G,H"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352"/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1:N65352"/>
    <dataValidation type="decimal" errorStyle="warning" allowBlank="1" showInputMessage="1" showErrorMessage="1" errorTitle="Invalid data" error="Make sure to use the correct decimal mark, point (.) or comma (,), based on your regional settings." sqref="E1:E1048576">
      <formula1>1</formula1>
      <formula2>1000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1"/>
  <sheetViews>
    <sheetView showGridLines="0" workbookViewId="0">
      <selection sqref="A1:B1"/>
    </sheetView>
  </sheetViews>
  <sheetFormatPr defaultRowHeight="21" x14ac:dyDescent="0.35"/>
  <cols>
    <col min="1" max="1" width="7.140625" style="43" bestFit="1" customWidth="1"/>
    <col min="2" max="2" width="35.28515625" style="45" customWidth="1"/>
    <col min="3" max="3" width="34.7109375" style="44" customWidth="1"/>
  </cols>
  <sheetData>
    <row r="1" spans="1:4" s="40" customFormat="1" x14ac:dyDescent="0.35">
      <c r="A1" s="90" t="s">
        <v>143</v>
      </c>
      <c r="B1" s="90"/>
      <c r="C1" s="41"/>
    </row>
    <row r="2" spans="1:4" s="40" customFormat="1" x14ac:dyDescent="0.35">
      <c r="A2" s="91" t="s">
        <v>140</v>
      </c>
      <c r="B2" s="91"/>
      <c r="C2" s="42" t="s">
        <v>141</v>
      </c>
    </row>
    <row r="3" spans="1:4" x14ac:dyDescent="0.35">
      <c r="A3" s="49" t="s">
        <v>132</v>
      </c>
      <c r="B3" s="50" t="s">
        <v>124</v>
      </c>
      <c r="C3" s="51" t="s">
        <v>127</v>
      </c>
    </row>
    <row r="4" spans="1:4" x14ac:dyDescent="0.35">
      <c r="A4" s="47">
        <v>1</v>
      </c>
      <c r="B4" s="48" t="s">
        <v>51</v>
      </c>
      <c r="C4" s="46" t="s">
        <v>12</v>
      </c>
    </row>
    <row r="5" spans="1:4" x14ac:dyDescent="0.35">
      <c r="A5" s="47">
        <v>2</v>
      </c>
      <c r="B5" s="48" t="s">
        <v>55</v>
      </c>
      <c r="C5" s="46" t="s">
        <v>12</v>
      </c>
    </row>
    <row r="6" spans="1:4" x14ac:dyDescent="0.35">
      <c r="A6" s="47">
        <v>3</v>
      </c>
      <c r="B6" s="48" t="s">
        <v>64</v>
      </c>
      <c r="C6" s="46" t="s">
        <v>12</v>
      </c>
    </row>
    <row r="7" spans="1:4" x14ac:dyDescent="0.35">
      <c r="A7" s="47">
        <v>4</v>
      </c>
      <c r="B7" s="48" t="s">
        <v>61</v>
      </c>
      <c r="C7" s="46" t="s">
        <v>29</v>
      </c>
    </row>
    <row r="8" spans="1:4" x14ac:dyDescent="0.35">
      <c r="A8" s="47">
        <v>5</v>
      </c>
      <c r="B8" s="48" t="s">
        <v>46</v>
      </c>
      <c r="C8" s="46" t="s">
        <v>4</v>
      </c>
    </row>
    <row r="9" spans="1:4" x14ac:dyDescent="0.35">
      <c r="A9" s="47">
        <v>6</v>
      </c>
      <c r="B9" s="48" t="s">
        <v>53</v>
      </c>
      <c r="C9" s="46" t="s">
        <v>12</v>
      </c>
    </row>
    <row r="10" spans="1:4" x14ac:dyDescent="0.35">
      <c r="A10" s="47">
        <v>7</v>
      </c>
      <c r="B10" s="48" t="s">
        <v>49</v>
      </c>
      <c r="C10" s="46" t="s">
        <v>29</v>
      </c>
    </row>
    <row r="11" spans="1:4" x14ac:dyDescent="0.35">
      <c r="A11" s="47">
        <v>8</v>
      </c>
      <c r="B11" s="48" t="s">
        <v>58</v>
      </c>
      <c r="C11" s="46" t="s">
        <v>25</v>
      </c>
    </row>
    <row r="12" spans="1:4" ht="15" x14ac:dyDescent="0.25">
      <c r="A12"/>
      <c r="B12"/>
      <c r="C12"/>
    </row>
    <row r="13" spans="1:4" x14ac:dyDescent="0.35">
      <c r="A13" s="90" t="s">
        <v>142</v>
      </c>
      <c r="B13" s="90"/>
      <c r="C13" s="41"/>
      <c r="D13" s="40"/>
    </row>
    <row r="14" spans="1:4" x14ac:dyDescent="0.35">
      <c r="A14" s="91" t="s">
        <v>140</v>
      </c>
      <c r="B14" s="91"/>
      <c r="C14" s="42" t="s">
        <v>141</v>
      </c>
      <c r="D14" s="40"/>
    </row>
    <row r="15" spans="1:4" x14ac:dyDescent="0.35">
      <c r="A15" s="49" t="s">
        <v>132</v>
      </c>
      <c r="B15" s="50" t="s">
        <v>124</v>
      </c>
      <c r="C15" s="51" t="s">
        <v>127</v>
      </c>
    </row>
    <row r="16" spans="1:4" x14ac:dyDescent="0.35">
      <c r="A16" s="47">
        <v>1</v>
      </c>
      <c r="B16" s="48" t="s">
        <v>72</v>
      </c>
      <c r="C16" s="46" t="s">
        <v>12</v>
      </c>
    </row>
    <row r="17" spans="1:4" x14ac:dyDescent="0.35">
      <c r="A17" s="47">
        <v>2</v>
      </c>
      <c r="B17" s="48" t="s">
        <v>78</v>
      </c>
      <c r="C17" s="46" t="s">
        <v>10</v>
      </c>
    </row>
    <row r="18" spans="1:4" x14ac:dyDescent="0.35">
      <c r="A18" s="47">
        <v>3</v>
      </c>
      <c r="B18" s="48" t="s">
        <v>68</v>
      </c>
      <c r="C18" s="46" t="s">
        <v>12</v>
      </c>
    </row>
    <row r="19" spans="1:4" x14ac:dyDescent="0.35">
      <c r="A19" s="47">
        <v>4</v>
      </c>
      <c r="B19" s="48" t="s">
        <v>86</v>
      </c>
      <c r="C19" s="46" t="s">
        <v>25</v>
      </c>
    </row>
    <row r="20" spans="1:4" x14ac:dyDescent="0.35">
      <c r="A20" s="47">
        <v>5</v>
      </c>
      <c r="B20" s="48" t="s">
        <v>76</v>
      </c>
      <c r="C20" s="46" t="s">
        <v>25</v>
      </c>
    </row>
    <row r="21" spans="1:4" x14ac:dyDescent="0.35">
      <c r="A21" s="47">
        <v>6</v>
      </c>
      <c r="B21" s="48" t="s">
        <v>80</v>
      </c>
      <c r="C21" s="46" t="s">
        <v>12</v>
      </c>
    </row>
    <row r="22" spans="1:4" x14ac:dyDescent="0.35">
      <c r="A22" s="47">
        <v>7</v>
      </c>
      <c r="B22" s="48" t="s">
        <v>83</v>
      </c>
      <c r="C22" s="46" t="s">
        <v>12</v>
      </c>
    </row>
    <row r="23" spans="1:4" x14ac:dyDescent="0.35">
      <c r="A23" s="47">
        <v>8</v>
      </c>
      <c r="B23" s="48" t="s">
        <v>92</v>
      </c>
      <c r="C23" s="46" t="s">
        <v>25</v>
      </c>
    </row>
    <row r="24" spans="1:4" x14ac:dyDescent="0.35">
      <c r="A24" s="47">
        <v>9</v>
      </c>
      <c r="B24" s="48" t="s">
        <v>88</v>
      </c>
      <c r="C24" s="46" t="s">
        <v>12</v>
      </c>
    </row>
    <row r="25" spans="1:4" x14ac:dyDescent="0.35">
      <c r="A25" s="47">
        <v>10</v>
      </c>
      <c r="B25" s="48" t="s">
        <v>73</v>
      </c>
      <c r="C25" s="46" t="s">
        <v>10</v>
      </c>
    </row>
    <row r="26" spans="1:4" ht="15" x14ac:dyDescent="0.25">
      <c r="A26"/>
      <c r="B26"/>
      <c r="C26"/>
    </row>
    <row r="27" spans="1:4" x14ac:dyDescent="0.35">
      <c r="A27" s="90" t="s">
        <v>144</v>
      </c>
      <c r="B27" s="90"/>
      <c r="C27" s="41"/>
      <c r="D27" s="40"/>
    </row>
    <row r="28" spans="1:4" x14ac:dyDescent="0.35">
      <c r="A28" s="91" t="s">
        <v>140</v>
      </c>
      <c r="B28" s="91"/>
      <c r="C28" s="42" t="s">
        <v>141</v>
      </c>
      <c r="D28" s="40"/>
    </row>
    <row r="29" spans="1:4" x14ac:dyDescent="0.35">
      <c r="A29" s="49" t="s">
        <v>132</v>
      </c>
      <c r="B29" s="50" t="s">
        <v>124</v>
      </c>
      <c r="C29" s="51" t="s">
        <v>127</v>
      </c>
    </row>
    <row r="30" spans="1:4" x14ac:dyDescent="0.35">
      <c r="A30" s="47">
        <v>1</v>
      </c>
      <c r="B30" s="48" t="s">
        <v>95</v>
      </c>
      <c r="C30" s="46" t="s">
        <v>12</v>
      </c>
    </row>
    <row r="31" spans="1:4" x14ac:dyDescent="0.35">
      <c r="A31" s="47">
        <v>2</v>
      </c>
      <c r="B31" s="48" t="s">
        <v>110</v>
      </c>
      <c r="C31" s="46" t="s">
        <v>10</v>
      </c>
    </row>
    <row r="32" spans="1:4" x14ac:dyDescent="0.35">
      <c r="A32" s="47">
        <v>3</v>
      </c>
      <c r="B32" s="48" t="s">
        <v>105</v>
      </c>
      <c r="C32" s="46" t="s">
        <v>12</v>
      </c>
    </row>
    <row r="33" spans="1:3" x14ac:dyDescent="0.35">
      <c r="A33" s="47">
        <v>4</v>
      </c>
      <c r="B33" s="48" t="s">
        <v>120</v>
      </c>
      <c r="C33" s="46" t="s">
        <v>25</v>
      </c>
    </row>
    <row r="34" spans="1:3" x14ac:dyDescent="0.35">
      <c r="A34" s="47">
        <v>5</v>
      </c>
      <c r="B34" s="48" t="s">
        <v>115</v>
      </c>
      <c r="C34" s="46" t="s">
        <v>12</v>
      </c>
    </row>
    <row r="35" spans="1:3" x14ac:dyDescent="0.35">
      <c r="A35" s="47">
        <v>6</v>
      </c>
      <c r="B35" s="48" t="s">
        <v>122</v>
      </c>
      <c r="C35" s="46" t="s">
        <v>12</v>
      </c>
    </row>
    <row r="36" spans="1:3" x14ac:dyDescent="0.35">
      <c r="A36" s="47">
        <v>7</v>
      </c>
      <c r="B36" s="48" t="s">
        <v>98</v>
      </c>
      <c r="C36" s="46" t="s">
        <v>10</v>
      </c>
    </row>
    <row r="37" spans="1:3" x14ac:dyDescent="0.35">
      <c r="A37" s="47">
        <v>8</v>
      </c>
      <c r="B37" s="48" t="s">
        <v>117</v>
      </c>
      <c r="C37" s="46" t="s">
        <v>12</v>
      </c>
    </row>
    <row r="38" spans="1:3" x14ac:dyDescent="0.35">
      <c r="A38" s="47">
        <v>9</v>
      </c>
      <c r="B38" s="48" t="s">
        <v>101</v>
      </c>
      <c r="C38" s="46" t="s">
        <v>12</v>
      </c>
    </row>
    <row r="39" spans="1:3" x14ac:dyDescent="0.35">
      <c r="A39" s="47">
        <v>10</v>
      </c>
      <c r="B39" s="48" t="s">
        <v>103</v>
      </c>
      <c r="C39" s="46" t="s">
        <v>25</v>
      </c>
    </row>
    <row r="40" spans="1:3" x14ac:dyDescent="0.35">
      <c r="A40" s="47">
        <v>11</v>
      </c>
      <c r="B40" s="48" t="s">
        <v>107</v>
      </c>
      <c r="C40" s="46" t="s">
        <v>12</v>
      </c>
    </row>
    <row r="41" spans="1:3" x14ac:dyDescent="0.35">
      <c r="A41" s="47">
        <v>12</v>
      </c>
      <c r="B41" s="48" t="s">
        <v>112</v>
      </c>
      <c r="C41" s="46" t="s">
        <v>10</v>
      </c>
    </row>
  </sheetData>
  <sortState ref="A4:D41">
    <sortCondition ref="A4"/>
    <sortCondition ref="D4"/>
  </sortState>
  <mergeCells count="6">
    <mergeCell ref="A28:B28"/>
    <mergeCell ref="A13:B13"/>
    <mergeCell ref="A14:B14"/>
    <mergeCell ref="A1:B1"/>
    <mergeCell ref="A2:B2"/>
    <mergeCell ref="A27:B27"/>
  </mergeCells>
  <pageMargins left="0.7" right="0.7" top="0.75" bottom="0.75" header="0.3" footer="0.3"/>
  <pageSetup paperSize="9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H462"/>
  <sheetViews>
    <sheetView workbookViewId="0">
      <selection sqref="A1:C1"/>
    </sheetView>
  </sheetViews>
  <sheetFormatPr defaultRowHeight="15" x14ac:dyDescent="0.25"/>
  <cols>
    <col min="1" max="1" width="12.7109375" customWidth="1"/>
    <col min="2" max="7" width="10.7109375" customWidth="1"/>
    <col min="8" max="8" width="32.7109375" customWidth="1"/>
    <col min="9" max="9" width="10.7109375" customWidth="1"/>
    <col min="257" max="257" width="12.7109375" customWidth="1"/>
    <col min="258" max="263" width="10.7109375" customWidth="1"/>
    <col min="264" max="264" width="32.7109375" customWidth="1"/>
    <col min="265" max="265" width="10.7109375" customWidth="1"/>
    <col min="513" max="513" width="12.7109375" customWidth="1"/>
    <col min="514" max="519" width="10.7109375" customWidth="1"/>
    <col min="520" max="520" width="32.7109375" customWidth="1"/>
    <col min="521" max="521" width="10.7109375" customWidth="1"/>
    <col min="769" max="769" width="12.7109375" customWidth="1"/>
    <col min="770" max="775" width="10.7109375" customWidth="1"/>
    <col min="776" max="776" width="32.7109375" customWidth="1"/>
    <col min="777" max="777" width="10.7109375" customWidth="1"/>
    <col min="1025" max="1025" width="12.7109375" customWidth="1"/>
    <col min="1026" max="1031" width="10.7109375" customWidth="1"/>
    <col min="1032" max="1032" width="32.7109375" customWidth="1"/>
    <col min="1033" max="1033" width="10.7109375" customWidth="1"/>
    <col min="1281" max="1281" width="12.7109375" customWidth="1"/>
    <col min="1282" max="1287" width="10.7109375" customWidth="1"/>
    <col min="1288" max="1288" width="32.7109375" customWidth="1"/>
    <col min="1289" max="1289" width="10.7109375" customWidth="1"/>
    <col min="1537" max="1537" width="12.7109375" customWidth="1"/>
    <col min="1538" max="1543" width="10.7109375" customWidth="1"/>
    <col min="1544" max="1544" width="32.7109375" customWidth="1"/>
    <col min="1545" max="1545" width="10.7109375" customWidth="1"/>
    <col min="1793" max="1793" width="12.7109375" customWidth="1"/>
    <col min="1794" max="1799" width="10.7109375" customWidth="1"/>
    <col min="1800" max="1800" width="32.7109375" customWidth="1"/>
    <col min="1801" max="1801" width="10.7109375" customWidth="1"/>
    <col min="2049" max="2049" width="12.7109375" customWidth="1"/>
    <col min="2050" max="2055" width="10.7109375" customWidth="1"/>
    <col min="2056" max="2056" width="32.7109375" customWidth="1"/>
    <col min="2057" max="2057" width="10.7109375" customWidth="1"/>
    <col min="2305" max="2305" width="12.7109375" customWidth="1"/>
    <col min="2306" max="2311" width="10.7109375" customWidth="1"/>
    <col min="2312" max="2312" width="32.7109375" customWidth="1"/>
    <col min="2313" max="2313" width="10.7109375" customWidth="1"/>
    <col min="2561" max="2561" width="12.7109375" customWidth="1"/>
    <col min="2562" max="2567" width="10.7109375" customWidth="1"/>
    <col min="2568" max="2568" width="32.7109375" customWidth="1"/>
    <col min="2569" max="2569" width="10.7109375" customWidth="1"/>
    <col min="2817" max="2817" width="12.7109375" customWidth="1"/>
    <col min="2818" max="2823" width="10.7109375" customWidth="1"/>
    <col min="2824" max="2824" width="32.7109375" customWidth="1"/>
    <col min="2825" max="2825" width="10.7109375" customWidth="1"/>
    <col min="3073" max="3073" width="12.7109375" customWidth="1"/>
    <col min="3074" max="3079" width="10.7109375" customWidth="1"/>
    <col min="3080" max="3080" width="32.7109375" customWidth="1"/>
    <col min="3081" max="3081" width="10.7109375" customWidth="1"/>
    <col min="3329" max="3329" width="12.7109375" customWidth="1"/>
    <col min="3330" max="3335" width="10.7109375" customWidth="1"/>
    <col min="3336" max="3336" width="32.7109375" customWidth="1"/>
    <col min="3337" max="3337" width="10.7109375" customWidth="1"/>
    <col min="3585" max="3585" width="12.7109375" customWidth="1"/>
    <col min="3586" max="3591" width="10.7109375" customWidth="1"/>
    <col min="3592" max="3592" width="32.7109375" customWidth="1"/>
    <col min="3593" max="3593" width="10.7109375" customWidth="1"/>
    <col min="3841" max="3841" width="12.7109375" customWidth="1"/>
    <col min="3842" max="3847" width="10.7109375" customWidth="1"/>
    <col min="3848" max="3848" width="32.7109375" customWidth="1"/>
    <col min="3849" max="3849" width="10.7109375" customWidth="1"/>
    <col min="4097" max="4097" width="12.7109375" customWidth="1"/>
    <col min="4098" max="4103" width="10.7109375" customWidth="1"/>
    <col min="4104" max="4104" width="32.7109375" customWidth="1"/>
    <col min="4105" max="4105" width="10.7109375" customWidth="1"/>
    <col min="4353" max="4353" width="12.7109375" customWidth="1"/>
    <col min="4354" max="4359" width="10.7109375" customWidth="1"/>
    <col min="4360" max="4360" width="32.7109375" customWidth="1"/>
    <col min="4361" max="4361" width="10.7109375" customWidth="1"/>
    <col min="4609" max="4609" width="12.7109375" customWidth="1"/>
    <col min="4610" max="4615" width="10.7109375" customWidth="1"/>
    <col min="4616" max="4616" width="32.7109375" customWidth="1"/>
    <col min="4617" max="4617" width="10.7109375" customWidth="1"/>
    <col min="4865" max="4865" width="12.7109375" customWidth="1"/>
    <col min="4866" max="4871" width="10.7109375" customWidth="1"/>
    <col min="4872" max="4872" width="32.7109375" customWidth="1"/>
    <col min="4873" max="4873" width="10.7109375" customWidth="1"/>
    <col min="5121" max="5121" width="12.7109375" customWidth="1"/>
    <col min="5122" max="5127" width="10.7109375" customWidth="1"/>
    <col min="5128" max="5128" width="32.7109375" customWidth="1"/>
    <col min="5129" max="5129" width="10.7109375" customWidth="1"/>
    <col min="5377" max="5377" width="12.7109375" customWidth="1"/>
    <col min="5378" max="5383" width="10.7109375" customWidth="1"/>
    <col min="5384" max="5384" width="32.7109375" customWidth="1"/>
    <col min="5385" max="5385" width="10.7109375" customWidth="1"/>
    <col min="5633" max="5633" width="12.7109375" customWidth="1"/>
    <col min="5634" max="5639" width="10.7109375" customWidth="1"/>
    <col min="5640" max="5640" width="32.7109375" customWidth="1"/>
    <col min="5641" max="5641" width="10.7109375" customWidth="1"/>
    <col min="5889" max="5889" width="12.7109375" customWidth="1"/>
    <col min="5890" max="5895" width="10.7109375" customWidth="1"/>
    <col min="5896" max="5896" width="32.7109375" customWidth="1"/>
    <col min="5897" max="5897" width="10.7109375" customWidth="1"/>
    <col min="6145" max="6145" width="12.7109375" customWidth="1"/>
    <col min="6146" max="6151" width="10.7109375" customWidth="1"/>
    <col min="6152" max="6152" width="32.7109375" customWidth="1"/>
    <col min="6153" max="6153" width="10.7109375" customWidth="1"/>
    <col min="6401" max="6401" width="12.7109375" customWidth="1"/>
    <col min="6402" max="6407" width="10.7109375" customWidth="1"/>
    <col min="6408" max="6408" width="32.7109375" customWidth="1"/>
    <col min="6409" max="6409" width="10.7109375" customWidth="1"/>
    <col min="6657" max="6657" width="12.7109375" customWidth="1"/>
    <col min="6658" max="6663" width="10.7109375" customWidth="1"/>
    <col min="6664" max="6664" width="32.7109375" customWidth="1"/>
    <col min="6665" max="6665" width="10.7109375" customWidth="1"/>
    <col min="6913" max="6913" width="12.7109375" customWidth="1"/>
    <col min="6914" max="6919" width="10.7109375" customWidth="1"/>
    <col min="6920" max="6920" width="32.7109375" customWidth="1"/>
    <col min="6921" max="6921" width="10.7109375" customWidth="1"/>
    <col min="7169" max="7169" width="12.7109375" customWidth="1"/>
    <col min="7170" max="7175" width="10.7109375" customWidth="1"/>
    <col min="7176" max="7176" width="32.7109375" customWidth="1"/>
    <col min="7177" max="7177" width="10.7109375" customWidth="1"/>
    <col min="7425" max="7425" width="12.7109375" customWidth="1"/>
    <col min="7426" max="7431" width="10.7109375" customWidth="1"/>
    <col min="7432" max="7432" width="32.7109375" customWidth="1"/>
    <col min="7433" max="7433" width="10.7109375" customWidth="1"/>
    <col min="7681" max="7681" width="12.7109375" customWidth="1"/>
    <col min="7682" max="7687" width="10.7109375" customWidth="1"/>
    <col min="7688" max="7688" width="32.7109375" customWidth="1"/>
    <col min="7689" max="7689" width="10.7109375" customWidth="1"/>
    <col min="7937" max="7937" width="12.7109375" customWidth="1"/>
    <col min="7938" max="7943" width="10.7109375" customWidth="1"/>
    <col min="7944" max="7944" width="32.7109375" customWidth="1"/>
    <col min="7945" max="7945" width="10.7109375" customWidth="1"/>
    <col min="8193" max="8193" width="12.7109375" customWidth="1"/>
    <col min="8194" max="8199" width="10.7109375" customWidth="1"/>
    <col min="8200" max="8200" width="32.7109375" customWidth="1"/>
    <col min="8201" max="8201" width="10.7109375" customWidth="1"/>
    <col min="8449" max="8449" width="12.7109375" customWidth="1"/>
    <col min="8450" max="8455" width="10.7109375" customWidth="1"/>
    <col min="8456" max="8456" width="32.7109375" customWidth="1"/>
    <col min="8457" max="8457" width="10.7109375" customWidth="1"/>
    <col min="8705" max="8705" width="12.7109375" customWidth="1"/>
    <col min="8706" max="8711" width="10.7109375" customWidth="1"/>
    <col min="8712" max="8712" width="32.7109375" customWidth="1"/>
    <col min="8713" max="8713" width="10.7109375" customWidth="1"/>
    <col min="8961" max="8961" width="12.7109375" customWidth="1"/>
    <col min="8962" max="8967" width="10.7109375" customWidth="1"/>
    <col min="8968" max="8968" width="32.7109375" customWidth="1"/>
    <col min="8969" max="8969" width="10.7109375" customWidth="1"/>
    <col min="9217" max="9217" width="12.7109375" customWidth="1"/>
    <col min="9218" max="9223" width="10.7109375" customWidth="1"/>
    <col min="9224" max="9224" width="32.7109375" customWidth="1"/>
    <col min="9225" max="9225" width="10.7109375" customWidth="1"/>
    <col min="9473" max="9473" width="12.7109375" customWidth="1"/>
    <col min="9474" max="9479" width="10.7109375" customWidth="1"/>
    <col min="9480" max="9480" width="32.7109375" customWidth="1"/>
    <col min="9481" max="9481" width="10.7109375" customWidth="1"/>
    <col min="9729" max="9729" width="12.7109375" customWidth="1"/>
    <col min="9730" max="9735" width="10.7109375" customWidth="1"/>
    <col min="9736" max="9736" width="32.7109375" customWidth="1"/>
    <col min="9737" max="9737" width="10.7109375" customWidth="1"/>
    <col min="9985" max="9985" width="12.7109375" customWidth="1"/>
    <col min="9986" max="9991" width="10.7109375" customWidth="1"/>
    <col min="9992" max="9992" width="32.7109375" customWidth="1"/>
    <col min="9993" max="9993" width="10.7109375" customWidth="1"/>
    <col min="10241" max="10241" width="12.7109375" customWidth="1"/>
    <col min="10242" max="10247" width="10.7109375" customWidth="1"/>
    <col min="10248" max="10248" width="32.7109375" customWidth="1"/>
    <col min="10249" max="10249" width="10.7109375" customWidth="1"/>
    <col min="10497" max="10497" width="12.7109375" customWidth="1"/>
    <col min="10498" max="10503" width="10.7109375" customWidth="1"/>
    <col min="10504" max="10504" width="32.7109375" customWidth="1"/>
    <col min="10505" max="10505" width="10.7109375" customWidth="1"/>
    <col min="10753" max="10753" width="12.7109375" customWidth="1"/>
    <col min="10754" max="10759" width="10.7109375" customWidth="1"/>
    <col min="10760" max="10760" width="32.7109375" customWidth="1"/>
    <col min="10761" max="10761" width="10.7109375" customWidth="1"/>
    <col min="11009" max="11009" width="12.7109375" customWidth="1"/>
    <col min="11010" max="11015" width="10.7109375" customWidth="1"/>
    <col min="11016" max="11016" width="32.7109375" customWidth="1"/>
    <col min="11017" max="11017" width="10.7109375" customWidth="1"/>
    <col min="11265" max="11265" width="12.7109375" customWidth="1"/>
    <col min="11266" max="11271" width="10.7109375" customWidth="1"/>
    <col min="11272" max="11272" width="32.7109375" customWidth="1"/>
    <col min="11273" max="11273" width="10.7109375" customWidth="1"/>
    <col min="11521" max="11521" width="12.7109375" customWidth="1"/>
    <col min="11522" max="11527" width="10.7109375" customWidth="1"/>
    <col min="11528" max="11528" width="32.7109375" customWidth="1"/>
    <col min="11529" max="11529" width="10.7109375" customWidth="1"/>
    <col min="11777" max="11777" width="12.7109375" customWidth="1"/>
    <col min="11778" max="11783" width="10.7109375" customWidth="1"/>
    <col min="11784" max="11784" width="32.7109375" customWidth="1"/>
    <col min="11785" max="11785" width="10.7109375" customWidth="1"/>
    <col min="12033" max="12033" width="12.7109375" customWidth="1"/>
    <col min="12034" max="12039" width="10.7109375" customWidth="1"/>
    <col min="12040" max="12040" width="32.7109375" customWidth="1"/>
    <col min="12041" max="12041" width="10.7109375" customWidth="1"/>
    <col min="12289" max="12289" width="12.7109375" customWidth="1"/>
    <col min="12290" max="12295" width="10.7109375" customWidth="1"/>
    <col min="12296" max="12296" width="32.7109375" customWidth="1"/>
    <col min="12297" max="12297" width="10.7109375" customWidth="1"/>
    <col min="12545" max="12545" width="12.7109375" customWidth="1"/>
    <col min="12546" max="12551" width="10.7109375" customWidth="1"/>
    <col min="12552" max="12552" width="32.7109375" customWidth="1"/>
    <col min="12553" max="12553" width="10.7109375" customWidth="1"/>
    <col min="12801" max="12801" width="12.7109375" customWidth="1"/>
    <col min="12802" max="12807" width="10.7109375" customWidth="1"/>
    <col min="12808" max="12808" width="32.7109375" customWidth="1"/>
    <col min="12809" max="12809" width="10.7109375" customWidth="1"/>
    <col min="13057" max="13057" width="12.7109375" customWidth="1"/>
    <col min="13058" max="13063" width="10.7109375" customWidth="1"/>
    <col min="13064" max="13064" width="32.7109375" customWidth="1"/>
    <col min="13065" max="13065" width="10.7109375" customWidth="1"/>
    <col min="13313" max="13313" width="12.7109375" customWidth="1"/>
    <col min="13314" max="13319" width="10.7109375" customWidth="1"/>
    <col min="13320" max="13320" width="32.7109375" customWidth="1"/>
    <col min="13321" max="13321" width="10.7109375" customWidth="1"/>
    <col min="13569" max="13569" width="12.7109375" customWidth="1"/>
    <col min="13570" max="13575" width="10.7109375" customWidth="1"/>
    <col min="13576" max="13576" width="32.7109375" customWidth="1"/>
    <col min="13577" max="13577" width="10.7109375" customWidth="1"/>
    <col min="13825" max="13825" width="12.7109375" customWidth="1"/>
    <col min="13826" max="13831" width="10.7109375" customWidth="1"/>
    <col min="13832" max="13832" width="32.7109375" customWidth="1"/>
    <col min="13833" max="13833" width="10.7109375" customWidth="1"/>
    <col min="14081" max="14081" width="12.7109375" customWidth="1"/>
    <col min="14082" max="14087" width="10.7109375" customWidth="1"/>
    <col min="14088" max="14088" width="32.7109375" customWidth="1"/>
    <col min="14089" max="14089" width="10.7109375" customWidth="1"/>
    <col min="14337" max="14337" width="12.7109375" customWidth="1"/>
    <col min="14338" max="14343" width="10.7109375" customWidth="1"/>
    <col min="14344" max="14344" width="32.7109375" customWidth="1"/>
    <col min="14345" max="14345" width="10.7109375" customWidth="1"/>
    <col min="14593" max="14593" width="12.7109375" customWidth="1"/>
    <col min="14594" max="14599" width="10.7109375" customWidth="1"/>
    <col min="14600" max="14600" width="32.7109375" customWidth="1"/>
    <col min="14601" max="14601" width="10.7109375" customWidth="1"/>
    <col min="14849" max="14849" width="12.7109375" customWidth="1"/>
    <col min="14850" max="14855" width="10.7109375" customWidth="1"/>
    <col min="14856" max="14856" width="32.7109375" customWidth="1"/>
    <col min="14857" max="14857" width="10.7109375" customWidth="1"/>
    <col min="15105" max="15105" width="12.7109375" customWidth="1"/>
    <col min="15106" max="15111" width="10.7109375" customWidth="1"/>
    <col min="15112" max="15112" width="32.7109375" customWidth="1"/>
    <col min="15113" max="15113" width="10.7109375" customWidth="1"/>
    <col min="15361" max="15361" width="12.7109375" customWidth="1"/>
    <col min="15362" max="15367" width="10.7109375" customWidth="1"/>
    <col min="15368" max="15368" width="32.7109375" customWidth="1"/>
    <col min="15369" max="15369" width="10.7109375" customWidth="1"/>
    <col min="15617" max="15617" width="12.7109375" customWidth="1"/>
    <col min="15618" max="15623" width="10.7109375" customWidth="1"/>
    <col min="15624" max="15624" width="32.7109375" customWidth="1"/>
    <col min="15625" max="15625" width="10.7109375" customWidth="1"/>
    <col min="15873" max="15873" width="12.7109375" customWidth="1"/>
    <col min="15874" max="15879" width="10.7109375" customWidth="1"/>
    <col min="15880" max="15880" width="32.7109375" customWidth="1"/>
    <col min="15881" max="15881" width="10.7109375" customWidth="1"/>
    <col min="16129" max="16129" width="12.7109375" customWidth="1"/>
    <col min="16130" max="16135" width="10.7109375" customWidth="1"/>
    <col min="16136" max="16136" width="32.7109375" customWidth="1"/>
    <col min="16137" max="16137" width="10.7109375" customWidth="1"/>
  </cols>
  <sheetData>
    <row r="1" spans="1:8" ht="9.9499999999999993" customHeight="1" x14ac:dyDescent="0.25">
      <c r="A1" s="92" t="s">
        <v>124</v>
      </c>
      <c r="B1" s="93"/>
      <c r="C1" s="93"/>
      <c r="D1" s="94" t="s">
        <v>125</v>
      </c>
      <c r="E1" s="93"/>
      <c r="F1" s="94" t="s">
        <v>126</v>
      </c>
      <c r="G1" s="93"/>
      <c r="H1" s="95"/>
    </row>
    <row r="2" spans="1:8" ht="20.100000000000001" customHeight="1" thickBot="1" x14ac:dyDescent="0.3">
      <c r="A2" s="114" t="s">
        <v>51</v>
      </c>
      <c r="B2" s="115"/>
      <c r="C2" s="115"/>
      <c r="D2" s="110" t="s">
        <v>45</v>
      </c>
      <c r="E2" s="111"/>
      <c r="F2" s="110"/>
      <c r="G2" s="111"/>
      <c r="H2" s="99"/>
    </row>
    <row r="3" spans="1:8" ht="9.9499999999999993" customHeight="1" x14ac:dyDescent="0.25">
      <c r="A3" s="94" t="s">
        <v>127</v>
      </c>
      <c r="B3" s="93"/>
      <c r="C3" s="95"/>
      <c r="D3" s="116" t="s">
        <v>128</v>
      </c>
      <c r="E3" s="117"/>
      <c r="F3" s="118"/>
      <c r="G3" s="121" t="s">
        <v>129</v>
      </c>
      <c r="H3" s="122"/>
    </row>
    <row r="4" spans="1:8" ht="20.100000000000001" customHeight="1" thickBot="1" x14ac:dyDescent="0.3">
      <c r="A4" s="127" t="s">
        <v>12</v>
      </c>
      <c r="B4" s="128"/>
      <c r="C4" s="129"/>
      <c r="D4" s="130">
        <v>31989</v>
      </c>
      <c r="E4" s="131"/>
      <c r="F4" s="119"/>
      <c r="G4" s="123"/>
      <c r="H4" s="124"/>
    </row>
    <row r="5" spans="1:8" ht="9.9499999999999993" customHeight="1" x14ac:dyDescent="0.25">
      <c r="A5" s="94" t="s">
        <v>130</v>
      </c>
      <c r="B5" s="93"/>
      <c r="C5" s="56" t="s">
        <v>131</v>
      </c>
      <c r="D5" s="94" t="s">
        <v>132</v>
      </c>
      <c r="E5" s="95"/>
      <c r="F5" s="119"/>
      <c r="G5" s="123"/>
      <c r="H5" s="124"/>
    </row>
    <row r="6" spans="1:8" ht="20.100000000000001" customHeight="1" thickBot="1" x14ac:dyDescent="0.3">
      <c r="A6" s="110">
        <v>63.3</v>
      </c>
      <c r="B6" s="111"/>
      <c r="C6" s="57">
        <v>72</v>
      </c>
      <c r="D6" s="110">
        <v>1</v>
      </c>
      <c r="E6" s="99"/>
      <c r="F6" s="119"/>
      <c r="G6" s="125"/>
      <c r="H6" s="126"/>
    </row>
    <row r="7" spans="1:8" ht="9.9499999999999993" customHeight="1" x14ac:dyDescent="0.25">
      <c r="A7" s="112"/>
      <c r="B7" s="112">
        <v>1</v>
      </c>
      <c r="C7" s="112">
        <v>2</v>
      </c>
      <c r="D7" s="112">
        <v>3</v>
      </c>
      <c r="E7" s="112" t="s">
        <v>133</v>
      </c>
      <c r="F7" s="119"/>
      <c r="G7" s="104" t="s">
        <v>134</v>
      </c>
      <c r="H7" s="54" t="s">
        <v>135</v>
      </c>
    </row>
    <row r="8" spans="1:8" ht="24.95" customHeight="1" thickBot="1" x14ac:dyDescent="0.3">
      <c r="A8" s="113"/>
      <c r="B8" s="113"/>
      <c r="C8" s="113"/>
      <c r="D8" s="113"/>
      <c r="E8" s="113"/>
      <c r="F8" s="119"/>
      <c r="G8" s="105"/>
      <c r="H8" s="52"/>
    </row>
    <row r="9" spans="1:8" ht="35.1" customHeight="1" thickBot="1" x14ac:dyDescent="0.3">
      <c r="A9" s="59" t="s">
        <v>134</v>
      </c>
      <c r="B9" s="58"/>
      <c r="C9" s="58"/>
      <c r="D9" s="60"/>
      <c r="E9" s="58"/>
      <c r="F9" s="119"/>
      <c r="G9" s="106"/>
      <c r="H9" s="38" t="s">
        <v>146</v>
      </c>
    </row>
    <row r="10" spans="1:8" ht="9.9499999999999993" customHeight="1" x14ac:dyDescent="0.25">
      <c r="A10" s="107" t="s">
        <v>136</v>
      </c>
      <c r="B10" s="96">
        <v>77.5</v>
      </c>
      <c r="C10" s="96"/>
      <c r="D10" s="96"/>
      <c r="E10" s="96"/>
      <c r="F10" s="119"/>
      <c r="G10" s="104" t="s">
        <v>136</v>
      </c>
      <c r="H10" s="54" t="s">
        <v>135</v>
      </c>
    </row>
    <row r="11" spans="1:8" ht="24.95" customHeight="1" thickBot="1" x14ac:dyDescent="0.3">
      <c r="A11" s="108"/>
      <c r="B11" s="97"/>
      <c r="C11" s="97"/>
      <c r="D11" s="97"/>
      <c r="E11" s="97"/>
      <c r="F11" s="119"/>
      <c r="G11" s="105"/>
      <c r="H11" s="53" t="s">
        <v>155</v>
      </c>
    </row>
    <row r="12" spans="1:8" ht="9.9499999999999993" customHeight="1" x14ac:dyDescent="0.25">
      <c r="A12" s="107" t="s">
        <v>137</v>
      </c>
      <c r="B12" s="98"/>
      <c r="C12" s="109"/>
      <c r="D12" s="96"/>
      <c r="E12" s="98"/>
      <c r="F12" s="119"/>
      <c r="G12" s="105"/>
      <c r="H12" s="55" t="s">
        <v>138</v>
      </c>
    </row>
    <row r="13" spans="1:8" ht="24.95" customHeight="1" thickBot="1" x14ac:dyDescent="0.3">
      <c r="A13" s="108"/>
      <c r="B13" s="99"/>
      <c r="C13" s="110"/>
      <c r="D13" s="97"/>
      <c r="E13" s="99"/>
      <c r="F13" s="119"/>
      <c r="G13" s="105"/>
      <c r="H13" s="52">
        <v>7</v>
      </c>
    </row>
    <row r="14" spans="1:8" ht="35.1" customHeight="1" thickBot="1" x14ac:dyDescent="0.3">
      <c r="A14" s="100" t="s">
        <v>145</v>
      </c>
      <c r="B14" s="101"/>
      <c r="C14" s="39" t="s">
        <v>139</v>
      </c>
      <c r="D14" s="102"/>
      <c r="E14" s="103"/>
      <c r="F14" s="120"/>
      <c r="G14" s="106"/>
      <c r="H14" s="38" t="s">
        <v>147</v>
      </c>
    </row>
    <row r="15" spans="1:8" ht="35.1" customHeight="1" x14ac:dyDescent="0.25"/>
    <row r="16" spans="1:8" ht="35.1" customHeight="1" thickBot="1" x14ac:dyDescent="0.3"/>
    <row r="17" spans="1:8" ht="9.9499999999999993" customHeight="1" x14ac:dyDescent="0.25">
      <c r="A17" s="92" t="s">
        <v>124</v>
      </c>
      <c r="B17" s="93"/>
      <c r="C17" s="93"/>
      <c r="D17" s="94" t="s">
        <v>125</v>
      </c>
      <c r="E17" s="93"/>
      <c r="F17" s="94" t="s">
        <v>126</v>
      </c>
      <c r="G17" s="93"/>
      <c r="H17" s="95"/>
    </row>
    <row r="18" spans="1:8" ht="20.100000000000001" customHeight="1" thickBot="1" x14ac:dyDescent="0.3">
      <c r="A18" s="114" t="s">
        <v>55</v>
      </c>
      <c r="B18" s="115"/>
      <c r="C18" s="115"/>
      <c r="D18" s="110" t="s">
        <v>45</v>
      </c>
      <c r="E18" s="111"/>
      <c r="F18" s="110"/>
      <c r="G18" s="111"/>
      <c r="H18" s="99"/>
    </row>
    <row r="19" spans="1:8" ht="9.9499999999999993" customHeight="1" x14ac:dyDescent="0.25">
      <c r="A19" s="94" t="s">
        <v>127</v>
      </c>
      <c r="B19" s="93"/>
      <c r="C19" s="95"/>
      <c r="D19" s="116" t="s">
        <v>128</v>
      </c>
      <c r="E19" s="117"/>
      <c r="F19" s="118"/>
      <c r="G19" s="121" t="s">
        <v>129</v>
      </c>
      <c r="H19" s="122"/>
    </row>
    <row r="20" spans="1:8" ht="20.100000000000001" customHeight="1" thickBot="1" x14ac:dyDescent="0.3">
      <c r="A20" s="127" t="s">
        <v>12</v>
      </c>
      <c r="B20" s="128"/>
      <c r="C20" s="129"/>
      <c r="D20" s="130" t="s">
        <v>56</v>
      </c>
      <c r="E20" s="131"/>
      <c r="F20" s="119"/>
      <c r="G20" s="123"/>
      <c r="H20" s="124"/>
    </row>
    <row r="21" spans="1:8" ht="9.9499999999999993" customHeight="1" x14ac:dyDescent="0.25">
      <c r="A21" s="94" t="s">
        <v>130</v>
      </c>
      <c r="B21" s="93"/>
      <c r="C21" s="56" t="s">
        <v>131</v>
      </c>
      <c r="D21" s="94" t="s">
        <v>132</v>
      </c>
      <c r="E21" s="95"/>
      <c r="F21" s="119"/>
      <c r="G21" s="123"/>
      <c r="H21" s="124"/>
    </row>
    <row r="22" spans="1:8" ht="20.100000000000001" customHeight="1" thickBot="1" x14ac:dyDescent="0.3">
      <c r="A22" s="110">
        <v>83.85</v>
      </c>
      <c r="B22" s="111"/>
      <c r="C22" s="64">
        <v>84</v>
      </c>
      <c r="D22" s="110">
        <v>2</v>
      </c>
      <c r="E22" s="99"/>
      <c r="F22" s="119"/>
      <c r="G22" s="125"/>
      <c r="H22" s="126"/>
    </row>
    <row r="23" spans="1:8" ht="9.9499999999999993" customHeight="1" x14ac:dyDescent="0.25">
      <c r="A23" s="112"/>
      <c r="B23" s="112">
        <v>1</v>
      </c>
      <c r="C23" s="112">
        <v>2</v>
      </c>
      <c r="D23" s="112">
        <v>3</v>
      </c>
      <c r="E23" s="112" t="s">
        <v>133</v>
      </c>
      <c r="F23" s="119"/>
      <c r="G23" s="104" t="s">
        <v>134</v>
      </c>
      <c r="H23" s="54" t="s">
        <v>135</v>
      </c>
    </row>
    <row r="24" spans="1:8" ht="24.95" customHeight="1" thickBot="1" x14ac:dyDescent="0.3">
      <c r="A24" s="113"/>
      <c r="B24" s="113"/>
      <c r="C24" s="113"/>
      <c r="D24" s="113"/>
      <c r="E24" s="113"/>
      <c r="F24" s="119"/>
      <c r="G24" s="105"/>
      <c r="H24" s="52"/>
    </row>
    <row r="25" spans="1:8" ht="35.1" customHeight="1" thickBot="1" x14ac:dyDescent="0.3">
      <c r="A25" s="63" t="s">
        <v>134</v>
      </c>
      <c r="B25" s="61"/>
      <c r="C25" s="61"/>
      <c r="D25" s="62"/>
      <c r="E25" s="61"/>
      <c r="F25" s="119"/>
      <c r="G25" s="106"/>
      <c r="H25" s="38" t="s">
        <v>146</v>
      </c>
    </row>
    <row r="26" spans="1:8" ht="9.9499999999999993" customHeight="1" x14ac:dyDescent="0.25">
      <c r="A26" s="107" t="s">
        <v>136</v>
      </c>
      <c r="B26" s="96">
        <v>85</v>
      </c>
      <c r="C26" s="96"/>
      <c r="D26" s="96"/>
      <c r="E26" s="96"/>
      <c r="F26" s="119"/>
      <c r="G26" s="104" t="s">
        <v>136</v>
      </c>
      <c r="H26" s="54" t="s">
        <v>135</v>
      </c>
    </row>
    <row r="27" spans="1:8" ht="24.95" customHeight="1" thickBot="1" x14ac:dyDescent="0.3">
      <c r="A27" s="108"/>
      <c r="B27" s="97"/>
      <c r="C27" s="97"/>
      <c r="D27" s="97"/>
      <c r="E27" s="97"/>
      <c r="F27" s="119"/>
      <c r="G27" s="105"/>
      <c r="H27" s="53" t="s">
        <v>154</v>
      </c>
    </row>
    <row r="28" spans="1:8" ht="9.9499999999999993" customHeight="1" x14ac:dyDescent="0.25">
      <c r="A28" s="107" t="s">
        <v>137</v>
      </c>
      <c r="B28" s="98"/>
      <c r="C28" s="109"/>
      <c r="D28" s="96"/>
      <c r="E28" s="98"/>
      <c r="F28" s="119"/>
      <c r="G28" s="105"/>
      <c r="H28" s="55" t="s">
        <v>138</v>
      </c>
    </row>
    <row r="29" spans="1:8" ht="24.95" customHeight="1" thickBot="1" x14ac:dyDescent="0.3">
      <c r="A29" s="108"/>
      <c r="B29" s="99"/>
      <c r="C29" s="110"/>
      <c r="D29" s="97"/>
      <c r="E29" s="99"/>
      <c r="F29" s="119"/>
      <c r="G29" s="105"/>
      <c r="H29" s="52">
        <v>6</v>
      </c>
    </row>
    <row r="30" spans="1:8" ht="35.1" customHeight="1" thickBot="1" x14ac:dyDescent="0.3">
      <c r="A30" s="100" t="s">
        <v>145</v>
      </c>
      <c r="B30" s="101"/>
      <c r="C30" s="39" t="s">
        <v>139</v>
      </c>
      <c r="D30" s="102"/>
      <c r="E30" s="103"/>
      <c r="F30" s="120"/>
      <c r="G30" s="106"/>
      <c r="H30" s="38" t="s">
        <v>147</v>
      </c>
    </row>
    <row r="31" spans="1:8" ht="35.1" customHeight="1" x14ac:dyDescent="0.25"/>
    <row r="32" spans="1:8" ht="35.1" customHeight="1" thickBot="1" x14ac:dyDescent="0.3"/>
    <row r="33" spans="1:8" ht="9.9499999999999993" customHeight="1" x14ac:dyDescent="0.25">
      <c r="A33" s="92" t="s">
        <v>124</v>
      </c>
      <c r="B33" s="93"/>
      <c r="C33" s="93"/>
      <c r="D33" s="94" t="s">
        <v>125</v>
      </c>
      <c r="E33" s="93"/>
      <c r="F33" s="94" t="s">
        <v>126</v>
      </c>
      <c r="G33" s="93"/>
      <c r="H33" s="95"/>
    </row>
    <row r="34" spans="1:8" ht="20.100000000000001" customHeight="1" thickBot="1" x14ac:dyDescent="0.3">
      <c r="A34" s="114" t="s">
        <v>64</v>
      </c>
      <c r="B34" s="115"/>
      <c r="C34" s="115"/>
      <c r="D34" s="110" t="s">
        <v>45</v>
      </c>
      <c r="E34" s="111"/>
      <c r="F34" s="110"/>
      <c r="G34" s="111"/>
      <c r="H34" s="99"/>
    </row>
    <row r="35" spans="1:8" ht="9.9499999999999993" customHeight="1" x14ac:dyDescent="0.25">
      <c r="A35" s="94" t="s">
        <v>127</v>
      </c>
      <c r="B35" s="93"/>
      <c r="C35" s="95"/>
      <c r="D35" s="116" t="s">
        <v>128</v>
      </c>
      <c r="E35" s="117"/>
      <c r="F35" s="118"/>
      <c r="G35" s="121" t="s">
        <v>129</v>
      </c>
      <c r="H35" s="122"/>
    </row>
    <row r="36" spans="1:8" ht="20.100000000000001" customHeight="1" thickBot="1" x14ac:dyDescent="0.3">
      <c r="A36" s="127" t="s">
        <v>12</v>
      </c>
      <c r="B36" s="128"/>
      <c r="C36" s="129"/>
      <c r="D36" s="130" t="s">
        <v>65</v>
      </c>
      <c r="E36" s="131"/>
      <c r="F36" s="119"/>
      <c r="G36" s="123"/>
      <c r="H36" s="124"/>
    </row>
    <row r="37" spans="1:8" ht="9.9499999999999993" customHeight="1" x14ac:dyDescent="0.25">
      <c r="A37" s="94" t="s">
        <v>130</v>
      </c>
      <c r="B37" s="93"/>
      <c r="C37" s="56" t="s">
        <v>131</v>
      </c>
      <c r="D37" s="94" t="s">
        <v>132</v>
      </c>
      <c r="E37" s="95"/>
      <c r="F37" s="119"/>
      <c r="G37" s="123"/>
      <c r="H37" s="124"/>
    </row>
    <row r="38" spans="1:8" ht="20.100000000000001" customHeight="1" thickBot="1" x14ac:dyDescent="0.3">
      <c r="A38" s="110">
        <v>79.7</v>
      </c>
      <c r="B38" s="111"/>
      <c r="C38" s="64">
        <v>83</v>
      </c>
      <c r="D38" s="110">
        <v>3</v>
      </c>
      <c r="E38" s="99"/>
      <c r="F38" s="119"/>
      <c r="G38" s="125"/>
      <c r="H38" s="126"/>
    </row>
    <row r="39" spans="1:8" ht="9.9499999999999993" customHeight="1" x14ac:dyDescent="0.25">
      <c r="A39" s="112"/>
      <c r="B39" s="112">
        <v>1</v>
      </c>
      <c r="C39" s="112">
        <v>2</v>
      </c>
      <c r="D39" s="112">
        <v>3</v>
      </c>
      <c r="E39" s="112" t="s">
        <v>133</v>
      </c>
      <c r="F39" s="119"/>
      <c r="G39" s="104" t="s">
        <v>134</v>
      </c>
      <c r="H39" s="54" t="s">
        <v>135</v>
      </c>
    </row>
    <row r="40" spans="1:8" ht="24.95" customHeight="1" thickBot="1" x14ac:dyDescent="0.3">
      <c r="A40" s="113"/>
      <c r="B40" s="113"/>
      <c r="C40" s="113"/>
      <c r="D40" s="113"/>
      <c r="E40" s="113"/>
      <c r="F40" s="119"/>
      <c r="G40" s="105"/>
      <c r="H40" s="52"/>
    </row>
    <row r="41" spans="1:8" ht="35.1" customHeight="1" thickBot="1" x14ac:dyDescent="0.3">
      <c r="A41" s="63" t="s">
        <v>134</v>
      </c>
      <c r="B41" s="61"/>
      <c r="C41" s="61"/>
      <c r="D41" s="62"/>
      <c r="E41" s="61"/>
      <c r="F41" s="119"/>
      <c r="G41" s="106"/>
      <c r="H41" s="38" t="s">
        <v>146</v>
      </c>
    </row>
    <row r="42" spans="1:8" ht="9.9499999999999993" customHeight="1" x14ac:dyDescent="0.25">
      <c r="A42" s="107" t="s">
        <v>136</v>
      </c>
      <c r="B42" s="96">
        <v>115</v>
      </c>
      <c r="C42" s="96"/>
      <c r="D42" s="96"/>
      <c r="E42" s="96"/>
      <c r="F42" s="119"/>
      <c r="G42" s="104" t="s">
        <v>136</v>
      </c>
      <c r="H42" s="54" t="s">
        <v>135</v>
      </c>
    </row>
    <row r="43" spans="1:8" ht="24.95" customHeight="1" thickBot="1" x14ac:dyDescent="0.3">
      <c r="A43" s="108"/>
      <c r="B43" s="97"/>
      <c r="C43" s="97"/>
      <c r="D43" s="97"/>
      <c r="E43" s="97"/>
      <c r="F43" s="119"/>
      <c r="G43" s="105"/>
      <c r="H43" s="53" t="s">
        <v>156</v>
      </c>
    </row>
    <row r="44" spans="1:8" ht="9.9499999999999993" customHeight="1" x14ac:dyDescent="0.25">
      <c r="A44" s="107" t="s">
        <v>137</v>
      </c>
      <c r="B44" s="98"/>
      <c r="C44" s="109"/>
      <c r="D44" s="96"/>
      <c r="E44" s="98"/>
      <c r="F44" s="119"/>
      <c r="G44" s="105"/>
      <c r="H44" s="55" t="s">
        <v>138</v>
      </c>
    </row>
    <row r="45" spans="1:8" ht="24.95" customHeight="1" thickBot="1" x14ac:dyDescent="0.3">
      <c r="A45" s="108"/>
      <c r="B45" s="99"/>
      <c r="C45" s="110"/>
      <c r="D45" s="97"/>
      <c r="E45" s="99"/>
      <c r="F45" s="119"/>
      <c r="G45" s="105"/>
      <c r="H45" s="52">
        <v>4</v>
      </c>
    </row>
    <row r="46" spans="1:8" ht="35.1" customHeight="1" thickBot="1" x14ac:dyDescent="0.3">
      <c r="A46" s="100" t="s">
        <v>145</v>
      </c>
      <c r="B46" s="101"/>
      <c r="C46" s="39" t="s">
        <v>139</v>
      </c>
      <c r="D46" s="102"/>
      <c r="E46" s="103"/>
      <c r="F46" s="120"/>
      <c r="G46" s="106"/>
      <c r="H46" s="38" t="s">
        <v>147</v>
      </c>
    </row>
    <row r="47" spans="1:8" ht="9.9499999999999993" customHeight="1" x14ac:dyDescent="0.25">
      <c r="A47" s="92" t="s">
        <v>124</v>
      </c>
      <c r="B47" s="93"/>
      <c r="C47" s="93"/>
      <c r="D47" s="94" t="s">
        <v>125</v>
      </c>
      <c r="E47" s="93"/>
      <c r="F47" s="94" t="s">
        <v>126</v>
      </c>
      <c r="G47" s="93"/>
      <c r="H47" s="95"/>
    </row>
    <row r="48" spans="1:8" ht="20.100000000000001" customHeight="1" thickBot="1" x14ac:dyDescent="0.3">
      <c r="A48" s="114" t="s">
        <v>61</v>
      </c>
      <c r="B48" s="115"/>
      <c r="C48" s="115"/>
      <c r="D48" s="110" t="s">
        <v>45</v>
      </c>
      <c r="E48" s="111"/>
      <c r="F48" s="110"/>
      <c r="G48" s="111"/>
      <c r="H48" s="99"/>
    </row>
    <row r="49" spans="1:8" ht="9.9499999999999993" customHeight="1" x14ac:dyDescent="0.25">
      <c r="A49" s="94" t="s">
        <v>127</v>
      </c>
      <c r="B49" s="93"/>
      <c r="C49" s="95"/>
      <c r="D49" s="116" t="s">
        <v>128</v>
      </c>
      <c r="E49" s="117"/>
      <c r="F49" s="118"/>
      <c r="G49" s="121" t="s">
        <v>129</v>
      </c>
      <c r="H49" s="122"/>
    </row>
    <row r="50" spans="1:8" ht="20.100000000000001" customHeight="1" thickBot="1" x14ac:dyDescent="0.3">
      <c r="A50" s="127" t="s">
        <v>29</v>
      </c>
      <c r="B50" s="128"/>
      <c r="C50" s="129"/>
      <c r="D50" s="130" t="s">
        <v>62</v>
      </c>
      <c r="E50" s="131"/>
      <c r="F50" s="119"/>
      <c r="G50" s="123"/>
      <c r="H50" s="124"/>
    </row>
    <row r="51" spans="1:8" ht="9.9499999999999993" customHeight="1" x14ac:dyDescent="0.25">
      <c r="A51" s="94" t="s">
        <v>130</v>
      </c>
      <c r="B51" s="93"/>
      <c r="C51" s="56" t="s">
        <v>131</v>
      </c>
      <c r="D51" s="94" t="s">
        <v>132</v>
      </c>
      <c r="E51" s="95"/>
      <c r="F51" s="119"/>
      <c r="G51" s="123"/>
      <c r="H51" s="124"/>
    </row>
    <row r="52" spans="1:8" ht="20.100000000000001" customHeight="1" thickBot="1" x14ac:dyDescent="0.3">
      <c r="A52" s="110">
        <v>92.2</v>
      </c>
      <c r="B52" s="111"/>
      <c r="C52" s="64">
        <v>93</v>
      </c>
      <c r="D52" s="110">
        <v>4</v>
      </c>
      <c r="E52" s="99"/>
      <c r="F52" s="119"/>
      <c r="G52" s="125"/>
      <c r="H52" s="126"/>
    </row>
    <row r="53" spans="1:8" ht="9.9499999999999993" customHeight="1" x14ac:dyDescent="0.25">
      <c r="A53" s="112"/>
      <c r="B53" s="112">
        <v>1</v>
      </c>
      <c r="C53" s="112">
        <v>2</v>
      </c>
      <c r="D53" s="112">
        <v>3</v>
      </c>
      <c r="E53" s="112" t="s">
        <v>133</v>
      </c>
      <c r="F53" s="119"/>
      <c r="G53" s="104" t="s">
        <v>134</v>
      </c>
      <c r="H53" s="54" t="s">
        <v>135</v>
      </c>
    </row>
    <row r="54" spans="1:8" ht="24.95" customHeight="1" thickBot="1" x14ac:dyDescent="0.3">
      <c r="A54" s="113"/>
      <c r="B54" s="113"/>
      <c r="C54" s="113"/>
      <c r="D54" s="113"/>
      <c r="E54" s="113"/>
      <c r="F54" s="119"/>
      <c r="G54" s="105"/>
      <c r="H54" s="52"/>
    </row>
    <row r="55" spans="1:8" ht="35.1" customHeight="1" thickBot="1" x14ac:dyDescent="0.3">
      <c r="A55" s="63" t="s">
        <v>134</v>
      </c>
      <c r="B55" s="61"/>
      <c r="C55" s="61"/>
      <c r="D55" s="62"/>
      <c r="E55" s="61"/>
      <c r="F55" s="119"/>
      <c r="G55" s="106"/>
      <c r="H55" s="38" t="s">
        <v>146</v>
      </c>
    </row>
    <row r="56" spans="1:8" ht="9.9499999999999993" customHeight="1" x14ac:dyDescent="0.25">
      <c r="A56" s="107" t="s">
        <v>136</v>
      </c>
      <c r="B56" s="96">
        <v>130</v>
      </c>
      <c r="C56" s="96"/>
      <c r="D56" s="96"/>
      <c r="E56" s="96"/>
      <c r="F56" s="119"/>
      <c r="G56" s="104" t="s">
        <v>136</v>
      </c>
      <c r="H56" s="54" t="s">
        <v>135</v>
      </c>
    </row>
    <row r="57" spans="1:8" ht="24.95" customHeight="1" thickBot="1" x14ac:dyDescent="0.3">
      <c r="A57" s="108"/>
      <c r="B57" s="97"/>
      <c r="C57" s="97"/>
      <c r="D57" s="97"/>
      <c r="E57" s="97"/>
      <c r="F57" s="119"/>
      <c r="G57" s="105"/>
      <c r="H57" s="53" t="s">
        <v>156</v>
      </c>
    </row>
    <row r="58" spans="1:8" ht="9.9499999999999993" customHeight="1" x14ac:dyDescent="0.25">
      <c r="A58" s="107" t="s">
        <v>137</v>
      </c>
      <c r="B58" s="98"/>
      <c r="C58" s="109"/>
      <c r="D58" s="96"/>
      <c r="E58" s="98"/>
      <c r="F58" s="119"/>
      <c r="G58" s="105"/>
      <c r="H58" s="55" t="s">
        <v>138</v>
      </c>
    </row>
    <row r="59" spans="1:8" ht="24.95" customHeight="1" thickBot="1" x14ac:dyDescent="0.3">
      <c r="A59" s="108"/>
      <c r="B59" s="99"/>
      <c r="C59" s="110"/>
      <c r="D59" s="97"/>
      <c r="E59" s="99"/>
      <c r="F59" s="119"/>
      <c r="G59" s="105"/>
      <c r="H59" s="52">
        <v>7</v>
      </c>
    </row>
    <row r="60" spans="1:8" ht="35.1" customHeight="1" thickBot="1" x14ac:dyDescent="0.3">
      <c r="A60" s="100" t="s">
        <v>145</v>
      </c>
      <c r="B60" s="101"/>
      <c r="C60" s="39" t="s">
        <v>139</v>
      </c>
      <c r="D60" s="102"/>
      <c r="E60" s="103"/>
      <c r="F60" s="120"/>
      <c r="G60" s="106"/>
      <c r="H60" s="38" t="s">
        <v>147</v>
      </c>
    </row>
    <row r="61" spans="1:8" ht="35.1" customHeight="1" x14ac:dyDescent="0.25"/>
    <row r="62" spans="1:8" ht="35.1" customHeight="1" thickBot="1" x14ac:dyDescent="0.3"/>
    <row r="63" spans="1:8" ht="9.9499999999999993" customHeight="1" x14ac:dyDescent="0.25">
      <c r="A63" s="92" t="s">
        <v>124</v>
      </c>
      <c r="B63" s="93"/>
      <c r="C63" s="93"/>
      <c r="D63" s="94" t="s">
        <v>125</v>
      </c>
      <c r="E63" s="93"/>
      <c r="F63" s="94" t="s">
        <v>126</v>
      </c>
      <c r="G63" s="93"/>
      <c r="H63" s="95"/>
    </row>
    <row r="64" spans="1:8" ht="20.100000000000001" customHeight="1" thickBot="1" x14ac:dyDescent="0.3">
      <c r="A64" s="114" t="s">
        <v>46</v>
      </c>
      <c r="B64" s="115"/>
      <c r="C64" s="115"/>
      <c r="D64" s="110" t="s">
        <v>45</v>
      </c>
      <c r="E64" s="111"/>
      <c r="F64" s="110"/>
      <c r="G64" s="111"/>
      <c r="H64" s="99"/>
    </row>
    <row r="65" spans="1:8" ht="9.9499999999999993" customHeight="1" x14ac:dyDescent="0.25">
      <c r="A65" s="94" t="s">
        <v>127</v>
      </c>
      <c r="B65" s="93"/>
      <c r="C65" s="95"/>
      <c r="D65" s="116" t="s">
        <v>128</v>
      </c>
      <c r="E65" s="117"/>
      <c r="F65" s="118"/>
      <c r="G65" s="121" t="s">
        <v>129</v>
      </c>
      <c r="H65" s="122"/>
    </row>
    <row r="66" spans="1:8" ht="20.100000000000001" customHeight="1" thickBot="1" x14ac:dyDescent="0.3">
      <c r="A66" s="127" t="s">
        <v>4</v>
      </c>
      <c r="B66" s="128"/>
      <c r="C66" s="129"/>
      <c r="D66" s="130">
        <v>34974</v>
      </c>
      <c r="E66" s="131"/>
      <c r="F66" s="119"/>
      <c r="G66" s="123"/>
      <c r="H66" s="124"/>
    </row>
    <row r="67" spans="1:8" ht="9.9499999999999993" customHeight="1" x14ac:dyDescent="0.25">
      <c r="A67" s="94" t="s">
        <v>130</v>
      </c>
      <c r="B67" s="93"/>
      <c r="C67" s="56" t="s">
        <v>131</v>
      </c>
      <c r="D67" s="94" t="s">
        <v>132</v>
      </c>
      <c r="E67" s="95"/>
      <c r="F67" s="119"/>
      <c r="G67" s="123"/>
      <c r="H67" s="124"/>
    </row>
    <row r="68" spans="1:8" ht="20.100000000000001" customHeight="1" thickBot="1" x14ac:dyDescent="0.3">
      <c r="A68" s="110">
        <v>78.849999999999994</v>
      </c>
      <c r="B68" s="111"/>
      <c r="C68" s="64">
        <v>84</v>
      </c>
      <c r="D68" s="110">
        <v>5</v>
      </c>
      <c r="E68" s="99"/>
      <c r="F68" s="119"/>
      <c r="G68" s="125"/>
      <c r="H68" s="126"/>
    </row>
    <row r="69" spans="1:8" ht="9.9499999999999993" customHeight="1" x14ac:dyDescent="0.25">
      <c r="A69" s="112"/>
      <c r="B69" s="112">
        <v>1</v>
      </c>
      <c r="C69" s="112">
        <v>2</v>
      </c>
      <c r="D69" s="112">
        <v>3</v>
      </c>
      <c r="E69" s="112" t="s">
        <v>133</v>
      </c>
      <c r="F69" s="119"/>
      <c r="G69" s="104" t="s">
        <v>134</v>
      </c>
      <c r="H69" s="54" t="s">
        <v>135</v>
      </c>
    </row>
    <row r="70" spans="1:8" ht="24.95" customHeight="1" thickBot="1" x14ac:dyDescent="0.3">
      <c r="A70" s="113"/>
      <c r="B70" s="113"/>
      <c r="C70" s="113"/>
      <c r="D70" s="113"/>
      <c r="E70" s="113"/>
      <c r="F70" s="119"/>
      <c r="G70" s="105"/>
      <c r="H70" s="52"/>
    </row>
    <row r="71" spans="1:8" ht="35.1" customHeight="1" thickBot="1" x14ac:dyDescent="0.3">
      <c r="A71" s="63" t="s">
        <v>134</v>
      </c>
      <c r="B71" s="61"/>
      <c r="C71" s="61"/>
      <c r="D71" s="62"/>
      <c r="E71" s="61"/>
      <c r="F71" s="119"/>
      <c r="G71" s="106"/>
      <c r="H71" s="38" t="s">
        <v>146</v>
      </c>
    </row>
    <row r="72" spans="1:8" ht="9.9499999999999993" customHeight="1" x14ac:dyDescent="0.25">
      <c r="A72" s="107" t="s">
        <v>136</v>
      </c>
      <c r="B72" s="96">
        <v>85</v>
      </c>
      <c r="C72" s="96"/>
      <c r="D72" s="96"/>
      <c r="E72" s="96"/>
      <c r="F72" s="119"/>
      <c r="G72" s="104" t="s">
        <v>136</v>
      </c>
      <c r="H72" s="54" t="s">
        <v>135</v>
      </c>
    </row>
    <row r="73" spans="1:8" ht="24.95" customHeight="1" thickBot="1" x14ac:dyDescent="0.3">
      <c r="A73" s="108"/>
      <c r="B73" s="97"/>
      <c r="C73" s="97"/>
      <c r="D73" s="97"/>
      <c r="E73" s="97"/>
      <c r="F73" s="119"/>
      <c r="G73" s="105"/>
      <c r="H73" s="53" t="s">
        <v>155</v>
      </c>
    </row>
    <row r="74" spans="1:8" ht="9.9499999999999993" customHeight="1" x14ac:dyDescent="0.25">
      <c r="A74" s="107" t="s">
        <v>137</v>
      </c>
      <c r="B74" s="98"/>
      <c r="C74" s="109"/>
      <c r="D74" s="96"/>
      <c r="E74" s="98"/>
      <c r="F74" s="119"/>
      <c r="G74" s="105"/>
      <c r="H74" s="55" t="s">
        <v>138</v>
      </c>
    </row>
    <row r="75" spans="1:8" ht="24.95" customHeight="1" thickBot="1" x14ac:dyDescent="0.3">
      <c r="A75" s="108"/>
      <c r="B75" s="99"/>
      <c r="C75" s="110"/>
      <c r="D75" s="97"/>
      <c r="E75" s="99"/>
      <c r="F75" s="119"/>
      <c r="G75" s="105"/>
      <c r="H75" s="52">
        <v>6</v>
      </c>
    </row>
    <row r="76" spans="1:8" ht="35.1" customHeight="1" thickBot="1" x14ac:dyDescent="0.3">
      <c r="A76" s="100" t="s">
        <v>145</v>
      </c>
      <c r="B76" s="101"/>
      <c r="C76" s="39" t="s">
        <v>139</v>
      </c>
      <c r="D76" s="102"/>
      <c r="E76" s="103"/>
      <c r="F76" s="120"/>
      <c r="G76" s="106"/>
      <c r="H76" s="38" t="s">
        <v>147</v>
      </c>
    </row>
    <row r="77" spans="1:8" ht="35.1" customHeight="1" x14ac:dyDescent="0.25"/>
    <row r="78" spans="1:8" ht="35.1" customHeight="1" thickBot="1" x14ac:dyDescent="0.3"/>
    <row r="79" spans="1:8" ht="9.9499999999999993" customHeight="1" x14ac:dyDescent="0.25">
      <c r="A79" s="92" t="s">
        <v>124</v>
      </c>
      <c r="B79" s="93"/>
      <c r="C79" s="93"/>
      <c r="D79" s="94" t="s">
        <v>125</v>
      </c>
      <c r="E79" s="93"/>
      <c r="F79" s="94" t="s">
        <v>126</v>
      </c>
      <c r="G79" s="93"/>
      <c r="H79" s="95"/>
    </row>
    <row r="80" spans="1:8" ht="20.100000000000001" customHeight="1" thickBot="1" x14ac:dyDescent="0.3">
      <c r="A80" s="114" t="s">
        <v>53</v>
      </c>
      <c r="B80" s="115"/>
      <c r="C80" s="115"/>
      <c r="D80" s="110" t="s">
        <v>45</v>
      </c>
      <c r="E80" s="111"/>
      <c r="F80" s="110"/>
      <c r="G80" s="111"/>
      <c r="H80" s="99"/>
    </row>
    <row r="81" spans="1:8" ht="9.9499999999999993" customHeight="1" x14ac:dyDescent="0.25">
      <c r="A81" s="94" t="s">
        <v>127</v>
      </c>
      <c r="B81" s="93"/>
      <c r="C81" s="95"/>
      <c r="D81" s="116" t="s">
        <v>128</v>
      </c>
      <c r="E81" s="117"/>
      <c r="F81" s="118"/>
      <c r="G81" s="121" t="s">
        <v>129</v>
      </c>
      <c r="H81" s="122"/>
    </row>
    <row r="82" spans="1:8" ht="20.100000000000001" customHeight="1" thickBot="1" x14ac:dyDescent="0.3">
      <c r="A82" s="127" t="s">
        <v>12</v>
      </c>
      <c r="B82" s="128"/>
      <c r="C82" s="129"/>
      <c r="D82" s="130">
        <v>31780</v>
      </c>
      <c r="E82" s="131"/>
      <c r="F82" s="119"/>
      <c r="G82" s="123"/>
      <c r="H82" s="124"/>
    </row>
    <row r="83" spans="1:8" ht="9.9499999999999993" customHeight="1" x14ac:dyDescent="0.25">
      <c r="A83" s="94" t="s">
        <v>130</v>
      </c>
      <c r="B83" s="93"/>
      <c r="C83" s="56" t="s">
        <v>131</v>
      </c>
      <c r="D83" s="94" t="s">
        <v>132</v>
      </c>
      <c r="E83" s="95"/>
      <c r="F83" s="119"/>
      <c r="G83" s="123"/>
      <c r="H83" s="124"/>
    </row>
    <row r="84" spans="1:8" ht="20.100000000000001" customHeight="1" thickBot="1" x14ac:dyDescent="0.3">
      <c r="A84" s="110">
        <v>85.4</v>
      </c>
      <c r="B84" s="111"/>
      <c r="C84" s="64" t="s">
        <v>160</v>
      </c>
      <c r="D84" s="110">
        <v>6</v>
      </c>
      <c r="E84" s="99"/>
      <c r="F84" s="119"/>
      <c r="G84" s="125"/>
      <c r="H84" s="126"/>
    </row>
    <row r="85" spans="1:8" ht="9.9499999999999993" customHeight="1" x14ac:dyDescent="0.25">
      <c r="A85" s="112"/>
      <c r="B85" s="112">
        <v>1</v>
      </c>
      <c r="C85" s="112">
        <v>2</v>
      </c>
      <c r="D85" s="112">
        <v>3</v>
      </c>
      <c r="E85" s="112" t="s">
        <v>133</v>
      </c>
      <c r="F85" s="119"/>
      <c r="G85" s="104" t="s">
        <v>134</v>
      </c>
      <c r="H85" s="54" t="s">
        <v>135</v>
      </c>
    </row>
    <row r="86" spans="1:8" ht="24.95" customHeight="1" thickBot="1" x14ac:dyDescent="0.3">
      <c r="A86" s="113"/>
      <c r="B86" s="113"/>
      <c r="C86" s="113"/>
      <c r="D86" s="113"/>
      <c r="E86" s="113"/>
      <c r="F86" s="119"/>
      <c r="G86" s="105"/>
      <c r="H86" s="52"/>
    </row>
    <row r="87" spans="1:8" ht="35.1" customHeight="1" thickBot="1" x14ac:dyDescent="0.3">
      <c r="A87" s="63" t="s">
        <v>134</v>
      </c>
      <c r="B87" s="61"/>
      <c r="C87" s="61"/>
      <c r="D87" s="62"/>
      <c r="E87" s="61"/>
      <c r="F87" s="119"/>
      <c r="G87" s="106"/>
      <c r="H87" s="38" t="s">
        <v>146</v>
      </c>
    </row>
    <row r="88" spans="1:8" ht="9.9499999999999993" customHeight="1" x14ac:dyDescent="0.25">
      <c r="A88" s="107" t="s">
        <v>136</v>
      </c>
      <c r="B88" s="96">
        <v>60</v>
      </c>
      <c r="C88" s="96"/>
      <c r="D88" s="96"/>
      <c r="E88" s="96"/>
      <c r="F88" s="119"/>
      <c r="G88" s="104" t="s">
        <v>136</v>
      </c>
      <c r="H88" s="54" t="s">
        <v>135</v>
      </c>
    </row>
    <row r="89" spans="1:8" ht="24.95" customHeight="1" thickBot="1" x14ac:dyDescent="0.3">
      <c r="A89" s="108"/>
      <c r="B89" s="97"/>
      <c r="C89" s="97"/>
      <c r="D89" s="97"/>
      <c r="E89" s="97"/>
      <c r="F89" s="119"/>
      <c r="G89" s="105"/>
      <c r="H89" s="53" t="s">
        <v>151</v>
      </c>
    </row>
    <row r="90" spans="1:8" ht="9.9499999999999993" customHeight="1" x14ac:dyDescent="0.25">
      <c r="A90" s="107" t="s">
        <v>137</v>
      </c>
      <c r="B90" s="98"/>
      <c r="C90" s="109"/>
      <c r="D90" s="96"/>
      <c r="E90" s="98"/>
      <c r="F90" s="119"/>
      <c r="G90" s="105"/>
      <c r="H90" s="55" t="s">
        <v>138</v>
      </c>
    </row>
    <row r="91" spans="1:8" ht="24.95" customHeight="1" thickBot="1" x14ac:dyDescent="0.3">
      <c r="A91" s="108"/>
      <c r="B91" s="99"/>
      <c r="C91" s="110"/>
      <c r="D91" s="97"/>
      <c r="E91" s="99"/>
      <c r="F91" s="119"/>
      <c r="G91" s="105"/>
      <c r="H91" s="52">
        <v>6</v>
      </c>
    </row>
    <row r="92" spans="1:8" ht="35.1" customHeight="1" thickBot="1" x14ac:dyDescent="0.3">
      <c r="A92" s="100" t="s">
        <v>145</v>
      </c>
      <c r="B92" s="101"/>
      <c r="C92" s="39" t="s">
        <v>139</v>
      </c>
      <c r="D92" s="102"/>
      <c r="E92" s="103"/>
      <c r="F92" s="120"/>
      <c r="G92" s="106"/>
      <c r="H92" s="38" t="s">
        <v>147</v>
      </c>
    </row>
    <row r="93" spans="1:8" ht="9.9499999999999993" customHeight="1" x14ac:dyDescent="0.25">
      <c r="A93" s="92" t="s">
        <v>124</v>
      </c>
      <c r="B93" s="93"/>
      <c r="C93" s="93"/>
      <c r="D93" s="94" t="s">
        <v>125</v>
      </c>
      <c r="E93" s="93"/>
      <c r="F93" s="94" t="s">
        <v>126</v>
      </c>
      <c r="G93" s="93"/>
      <c r="H93" s="95"/>
    </row>
    <row r="94" spans="1:8" ht="20.100000000000001" customHeight="1" thickBot="1" x14ac:dyDescent="0.3">
      <c r="A94" s="114" t="s">
        <v>49</v>
      </c>
      <c r="B94" s="115"/>
      <c r="C94" s="115"/>
      <c r="D94" s="110" t="s">
        <v>45</v>
      </c>
      <c r="E94" s="111"/>
      <c r="F94" s="110"/>
      <c r="G94" s="111"/>
      <c r="H94" s="99"/>
    </row>
    <row r="95" spans="1:8" ht="9.9499999999999993" customHeight="1" x14ac:dyDescent="0.25">
      <c r="A95" s="94" t="s">
        <v>127</v>
      </c>
      <c r="B95" s="93"/>
      <c r="C95" s="95"/>
      <c r="D95" s="116" t="s">
        <v>128</v>
      </c>
      <c r="E95" s="117"/>
      <c r="F95" s="118"/>
      <c r="G95" s="121" t="s">
        <v>129</v>
      </c>
      <c r="H95" s="122"/>
    </row>
    <row r="96" spans="1:8" ht="20.100000000000001" customHeight="1" thickBot="1" x14ac:dyDescent="0.3">
      <c r="A96" s="127" t="s">
        <v>29</v>
      </c>
      <c r="B96" s="128"/>
      <c r="C96" s="129"/>
      <c r="D96" s="130">
        <v>33618</v>
      </c>
      <c r="E96" s="131"/>
      <c r="F96" s="119"/>
      <c r="G96" s="123"/>
      <c r="H96" s="124"/>
    </row>
    <row r="97" spans="1:8" ht="9.9499999999999993" customHeight="1" x14ac:dyDescent="0.25">
      <c r="A97" s="94" t="s">
        <v>130</v>
      </c>
      <c r="B97" s="93"/>
      <c r="C97" s="56" t="s">
        <v>131</v>
      </c>
      <c r="D97" s="94" t="s">
        <v>132</v>
      </c>
      <c r="E97" s="95"/>
      <c r="F97" s="119"/>
      <c r="G97" s="123"/>
      <c r="H97" s="124"/>
    </row>
    <row r="98" spans="1:8" ht="20.100000000000001" customHeight="1" thickBot="1" x14ac:dyDescent="0.3">
      <c r="A98" s="110">
        <v>79.150000000000006</v>
      </c>
      <c r="B98" s="111"/>
      <c r="C98" s="64">
        <v>84</v>
      </c>
      <c r="D98" s="110">
        <v>7</v>
      </c>
      <c r="E98" s="99"/>
      <c r="F98" s="119"/>
      <c r="G98" s="125"/>
      <c r="H98" s="126"/>
    </row>
    <row r="99" spans="1:8" ht="9.9499999999999993" customHeight="1" x14ac:dyDescent="0.25">
      <c r="A99" s="112"/>
      <c r="B99" s="112">
        <v>1</v>
      </c>
      <c r="C99" s="112">
        <v>2</v>
      </c>
      <c r="D99" s="112">
        <v>3</v>
      </c>
      <c r="E99" s="112" t="s">
        <v>133</v>
      </c>
      <c r="F99" s="119"/>
      <c r="G99" s="104" t="s">
        <v>134</v>
      </c>
      <c r="H99" s="54" t="s">
        <v>135</v>
      </c>
    </row>
    <row r="100" spans="1:8" ht="24.95" customHeight="1" thickBot="1" x14ac:dyDescent="0.3">
      <c r="A100" s="113"/>
      <c r="B100" s="113"/>
      <c r="C100" s="113"/>
      <c r="D100" s="113"/>
      <c r="E100" s="113"/>
      <c r="F100" s="119"/>
      <c r="G100" s="105"/>
      <c r="H100" s="52"/>
    </row>
    <row r="101" spans="1:8" ht="35.1" customHeight="1" thickBot="1" x14ac:dyDescent="0.3">
      <c r="A101" s="63" t="s">
        <v>134</v>
      </c>
      <c r="B101" s="61"/>
      <c r="C101" s="61"/>
      <c r="D101" s="62"/>
      <c r="E101" s="61"/>
      <c r="F101" s="119"/>
      <c r="G101" s="106"/>
      <c r="H101" s="38" t="s">
        <v>146</v>
      </c>
    </row>
    <row r="102" spans="1:8" ht="9.9499999999999993" customHeight="1" x14ac:dyDescent="0.25">
      <c r="A102" s="107" t="s">
        <v>136</v>
      </c>
      <c r="B102" s="96">
        <v>85</v>
      </c>
      <c r="C102" s="96"/>
      <c r="D102" s="96"/>
      <c r="E102" s="96"/>
      <c r="F102" s="119"/>
      <c r="G102" s="104" t="s">
        <v>136</v>
      </c>
      <c r="H102" s="54" t="s">
        <v>135</v>
      </c>
    </row>
    <row r="103" spans="1:8" ht="24.95" customHeight="1" thickBot="1" x14ac:dyDescent="0.3">
      <c r="A103" s="108"/>
      <c r="B103" s="97"/>
      <c r="C103" s="97"/>
      <c r="D103" s="97"/>
      <c r="E103" s="97"/>
      <c r="F103" s="119"/>
      <c r="G103" s="105"/>
      <c r="H103" s="53" t="s">
        <v>151</v>
      </c>
    </row>
    <row r="104" spans="1:8" ht="9.9499999999999993" customHeight="1" x14ac:dyDescent="0.25">
      <c r="A104" s="107" t="s">
        <v>137</v>
      </c>
      <c r="B104" s="98"/>
      <c r="C104" s="109"/>
      <c r="D104" s="96"/>
      <c r="E104" s="98"/>
      <c r="F104" s="119"/>
      <c r="G104" s="105"/>
      <c r="H104" s="55" t="s">
        <v>138</v>
      </c>
    </row>
    <row r="105" spans="1:8" ht="24.95" customHeight="1" thickBot="1" x14ac:dyDescent="0.3">
      <c r="A105" s="108"/>
      <c r="B105" s="99"/>
      <c r="C105" s="110"/>
      <c r="D105" s="97"/>
      <c r="E105" s="99"/>
      <c r="F105" s="119"/>
      <c r="G105" s="105"/>
      <c r="H105" s="52">
        <v>7</v>
      </c>
    </row>
    <row r="106" spans="1:8" ht="35.1" customHeight="1" thickBot="1" x14ac:dyDescent="0.3">
      <c r="A106" s="100" t="s">
        <v>145</v>
      </c>
      <c r="B106" s="101"/>
      <c r="C106" s="39" t="s">
        <v>139</v>
      </c>
      <c r="D106" s="102"/>
      <c r="E106" s="103"/>
      <c r="F106" s="120"/>
      <c r="G106" s="106"/>
      <c r="H106" s="38" t="s">
        <v>147</v>
      </c>
    </row>
    <row r="107" spans="1:8" ht="35.1" customHeight="1" x14ac:dyDescent="0.25"/>
    <row r="108" spans="1:8" ht="35.1" customHeight="1" thickBot="1" x14ac:dyDescent="0.3"/>
    <row r="109" spans="1:8" ht="9.9499999999999993" customHeight="1" x14ac:dyDescent="0.25">
      <c r="A109" s="92" t="s">
        <v>124</v>
      </c>
      <c r="B109" s="93"/>
      <c r="C109" s="93"/>
      <c r="D109" s="94" t="s">
        <v>125</v>
      </c>
      <c r="E109" s="93"/>
      <c r="F109" s="94" t="s">
        <v>126</v>
      </c>
      <c r="G109" s="93"/>
      <c r="H109" s="95"/>
    </row>
    <row r="110" spans="1:8" ht="20.100000000000001" customHeight="1" thickBot="1" x14ac:dyDescent="0.3">
      <c r="A110" s="114" t="s">
        <v>58</v>
      </c>
      <c r="B110" s="115"/>
      <c r="C110" s="115"/>
      <c r="D110" s="110" t="s">
        <v>45</v>
      </c>
      <c r="E110" s="111"/>
      <c r="F110" s="110"/>
      <c r="G110" s="111"/>
      <c r="H110" s="99"/>
    </row>
    <row r="111" spans="1:8" ht="9.9499999999999993" customHeight="1" x14ac:dyDescent="0.25">
      <c r="A111" s="94" t="s">
        <v>127</v>
      </c>
      <c r="B111" s="93"/>
      <c r="C111" s="95"/>
      <c r="D111" s="116" t="s">
        <v>128</v>
      </c>
      <c r="E111" s="117"/>
      <c r="F111" s="118"/>
      <c r="G111" s="121" t="s">
        <v>129</v>
      </c>
      <c r="H111" s="122"/>
    </row>
    <row r="112" spans="1:8" ht="20.100000000000001" customHeight="1" thickBot="1" x14ac:dyDescent="0.3">
      <c r="A112" s="127" t="s">
        <v>25</v>
      </c>
      <c r="B112" s="128"/>
      <c r="C112" s="129"/>
      <c r="D112" s="130" t="s">
        <v>59</v>
      </c>
      <c r="E112" s="131"/>
      <c r="F112" s="119"/>
      <c r="G112" s="123"/>
      <c r="H112" s="124"/>
    </row>
    <row r="113" spans="1:8" ht="9.9499999999999993" customHeight="1" x14ac:dyDescent="0.25">
      <c r="A113" s="94" t="s">
        <v>130</v>
      </c>
      <c r="B113" s="93"/>
      <c r="C113" s="56" t="s">
        <v>131</v>
      </c>
      <c r="D113" s="94" t="s">
        <v>132</v>
      </c>
      <c r="E113" s="95"/>
      <c r="F113" s="119"/>
      <c r="G113" s="123"/>
      <c r="H113" s="124"/>
    </row>
    <row r="114" spans="1:8" ht="20.100000000000001" customHeight="1" thickBot="1" x14ac:dyDescent="0.3">
      <c r="A114" s="110">
        <v>62.35</v>
      </c>
      <c r="B114" s="111"/>
      <c r="C114" s="64">
        <v>63</v>
      </c>
      <c r="D114" s="110">
        <v>8</v>
      </c>
      <c r="E114" s="99"/>
      <c r="F114" s="119"/>
      <c r="G114" s="125"/>
      <c r="H114" s="126"/>
    </row>
    <row r="115" spans="1:8" ht="9.9499999999999993" customHeight="1" x14ac:dyDescent="0.25">
      <c r="A115" s="112"/>
      <c r="B115" s="112">
        <v>1</v>
      </c>
      <c r="C115" s="112">
        <v>2</v>
      </c>
      <c r="D115" s="112">
        <v>3</v>
      </c>
      <c r="E115" s="112" t="s">
        <v>133</v>
      </c>
      <c r="F115" s="119"/>
      <c r="G115" s="104" t="s">
        <v>134</v>
      </c>
      <c r="H115" s="54" t="s">
        <v>135</v>
      </c>
    </row>
    <row r="116" spans="1:8" ht="24.95" customHeight="1" thickBot="1" x14ac:dyDescent="0.3">
      <c r="A116" s="113"/>
      <c r="B116" s="113"/>
      <c r="C116" s="113"/>
      <c r="D116" s="113"/>
      <c r="E116" s="113"/>
      <c r="F116" s="119"/>
      <c r="G116" s="105"/>
      <c r="H116" s="52"/>
    </row>
    <row r="117" spans="1:8" ht="35.1" customHeight="1" thickBot="1" x14ac:dyDescent="0.3">
      <c r="A117" s="63" t="s">
        <v>134</v>
      </c>
      <c r="B117" s="61"/>
      <c r="C117" s="61"/>
      <c r="D117" s="62"/>
      <c r="E117" s="61"/>
      <c r="F117" s="119"/>
      <c r="G117" s="106"/>
      <c r="H117" s="38" t="s">
        <v>146</v>
      </c>
    </row>
    <row r="118" spans="1:8" ht="9.9499999999999993" customHeight="1" x14ac:dyDescent="0.25">
      <c r="A118" s="107" t="s">
        <v>136</v>
      </c>
      <c r="B118" s="96">
        <v>47.5</v>
      </c>
      <c r="C118" s="96"/>
      <c r="D118" s="96"/>
      <c r="E118" s="96"/>
      <c r="F118" s="119"/>
      <c r="G118" s="104" t="s">
        <v>136</v>
      </c>
      <c r="H118" s="54" t="s">
        <v>135</v>
      </c>
    </row>
    <row r="119" spans="1:8" ht="24.95" customHeight="1" thickBot="1" x14ac:dyDescent="0.3">
      <c r="A119" s="108"/>
      <c r="B119" s="97"/>
      <c r="C119" s="97"/>
      <c r="D119" s="97"/>
      <c r="E119" s="97"/>
      <c r="F119" s="119"/>
      <c r="G119" s="105"/>
      <c r="H119" s="53" t="s">
        <v>149</v>
      </c>
    </row>
    <row r="120" spans="1:8" ht="9.9499999999999993" customHeight="1" x14ac:dyDescent="0.25">
      <c r="A120" s="107" t="s">
        <v>137</v>
      </c>
      <c r="B120" s="98"/>
      <c r="C120" s="109"/>
      <c r="D120" s="96"/>
      <c r="E120" s="98"/>
      <c r="F120" s="119"/>
      <c r="G120" s="105"/>
      <c r="H120" s="55" t="s">
        <v>138</v>
      </c>
    </row>
    <row r="121" spans="1:8" ht="24.95" customHeight="1" thickBot="1" x14ac:dyDescent="0.3">
      <c r="A121" s="108"/>
      <c r="B121" s="99"/>
      <c r="C121" s="110"/>
      <c r="D121" s="97"/>
      <c r="E121" s="99"/>
      <c r="F121" s="119"/>
      <c r="G121" s="105"/>
      <c r="H121" s="52">
        <v>3</v>
      </c>
    </row>
    <row r="122" spans="1:8" ht="35.1" customHeight="1" thickBot="1" x14ac:dyDescent="0.3">
      <c r="A122" s="100" t="s">
        <v>145</v>
      </c>
      <c r="B122" s="101"/>
      <c r="C122" s="39" t="s">
        <v>139</v>
      </c>
      <c r="D122" s="102"/>
      <c r="E122" s="103"/>
      <c r="F122" s="120"/>
      <c r="G122" s="106"/>
      <c r="H122" s="38" t="s">
        <v>150</v>
      </c>
    </row>
    <row r="123" spans="1:8" ht="35.1" customHeight="1" x14ac:dyDescent="0.25"/>
    <row r="124" spans="1:8" ht="35.1" customHeight="1" thickBot="1" x14ac:dyDescent="0.3"/>
    <row r="125" spans="1:8" ht="9.9499999999999993" customHeight="1" x14ac:dyDescent="0.25">
      <c r="A125" s="92" t="s">
        <v>124</v>
      </c>
      <c r="B125" s="93"/>
      <c r="C125" s="93"/>
      <c r="D125" s="94" t="s">
        <v>125</v>
      </c>
      <c r="E125" s="93"/>
      <c r="F125" s="94" t="s">
        <v>126</v>
      </c>
      <c r="G125" s="93"/>
      <c r="H125" s="95"/>
    </row>
    <row r="126" spans="1:8" ht="20.100000000000001" customHeight="1" thickBot="1" x14ac:dyDescent="0.3">
      <c r="A126" s="114" t="s">
        <v>72</v>
      </c>
      <c r="B126" s="115"/>
      <c r="C126" s="115"/>
      <c r="D126" s="110" t="s">
        <v>67</v>
      </c>
      <c r="E126" s="111"/>
      <c r="F126" s="110"/>
      <c r="G126" s="111"/>
      <c r="H126" s="99"/>
    </row>
    <row r="127" spans="1:8" ht="9.9499999999999993" customHeight="1" x14ac:dyDescent="0.25">
      <c r="A127" s="94" t="s">
        <v>127</v>
      </c>
      <c r="B127" s="93"/>
      <c r="C127" s="95"/>
      <c r="D127" s="116" t="s">
        <v>128</v>
      </c>
      <c r="E127" s="117"/>
      <c r="F127" s="118"/>
      <c r="G127" s="121" t="s">
        <v>129</v>
      </c>
      <c r="H127" s="122"/>
    </row>
    <row r="128" spans="1:8" ht="20.100000000000001" customHeight="1" thickBot="1" x14ac:dyDescent="0.3">
      <c r="A128" s="127" t="s">
        <v>12</v>
      </c>
      <c r="B128" s="128"/>
      <c r="C128" s="129"/>
      <c r="D128" s="130">
        <v>36581</v>
      </c>
      <c r="E128" s="131"/>
      <c r="F128" s="119"/>
      <c r="G128" s="123"/>
      <c r="H128" s="124"/>
    </row>
    <row r="129" spans="1:8" ht="9.9499999999999993" customHeight="1" x14ac:dyDescent="0.25">
      <c r="A129" s="94" t="s">
        <v>130</v>
      </c>
      <c r="B129" s="93"/>
      <c r="C129" s="56" t="s">
        <v>131</v>
      </c>
      <c r="D129" s="94" t="s">
        <v>132</v>
      </c>
      <c r="E129" s="95"/>
      <c r="F129" s="119"/>
      <c r="G129" s="123"/>
      <c r="H129" s="124"/>
    </row>
    <row r="130" spans="1:8" ht="20.100000000000001" customHeight="1" thickBot="1" x14ac:dyDescent="0.3">
      <c r="A130" s="110">
        <v>72.3</v>
      </c>
      <c r="B130" s="111"/>
      <c r="C130" s="64">
        <v>84</v>
      </c>
      <c r="D130" s="110">
        <v>1</v>
      </c>
      <c r="E130" s="99"/>
      <c r="F130" s="119"/>
      <c r="G130" s="125"/>
      <c r="H130" s="126"/>
    </row>
    <row r="131" spans="1:8" ht="9.9499999999999993" customHeight="1" x14ac:dyDescent="0.25">
      <c r="A131" s="112"/>
      <c r="B131" s="112">
        <v>1</v>
      </c>
      <c r="C131" s="112">
        <v>2</v>
      </c>
      <c r="D131" s="112">
        <v>3</v>
      </c>
      <c r="E131" s="112" t="s">
        <v>133</v>
      </c>
      <c r="F131" s="119"/>
      <c r="G131" s="104" t="s">
        <v>134</v>
      </c>
      <c r="H131" s="54" t="s">
        <v>135</v>
      </c>
    </row>
    <row r="132" spans="1:8" ht="24.95" customHeight="1" thickBot="1" x14ac:dyDescent="0.3">
      <c r="A132" s="113"/>
      <c r="B132" s="113"/>
      <c r="C132" s="113"/>
      <c r="D132" s="113"/>
      <c r="E132" s="113"/>
      <c r="F132" s="119"/>
      <c r="G132" s="105"/>
      <c r="H132" s="52">
        <v>12</v>
      </c>
    </row>
    <row r="133" spans="1:8" ht="35.1" customHeight="1" thickBot="1" x14ac:dyDescent="0.3">
      <c r="A133" s="63" t="s">
        <v>134</v>
      </c>
      <c r="B133" s="61">
        <v>130</v>
      </c>
      <c r="C133" s="61"/>
      <c r="D133" s="62"/>
      <c r="E133" s="61"/>
      <c r="F133" s="119"/>
      <c r="G133" s="106"/>
      <c r="H133" s="38" t="s">
        <v>146</v>
      </c>
    </row>
    <row r="134" spans="1:8" ht="9.9499999999999993" customHeight="1" x14ac:dyDescent="0.25">
      <c r="A134" s="107" t="s">
        <v>136</v>
      </c>
      <c r="B134" s="96">
        <v>60</v>
      </c>
      <c r="C134" s="96"/>
      <c r="D134" s="96"/>
      <c r="E134" s="96"/>
      <c r="F134" s="119"/>
      <c r="G134" s="104" t="s">
        <v>136</v>
      </c>
      <c r="H134" s="54" t="s">
        <v>135</v>
      </c>
    </row>
    <row r="135" spans="1:8" ht="24.95" customHeight="1" thickBot="1" x14ac:dyDescent="0.3">
      <c r="A135" s="108"/>
      <c r="B135" s="97"/>
      <c r="C135" s="97"/>
      <c r="D135" s="97"/>
      <c r="E135" s="97"/>
      <c r="F135" s="119"/>
      <c r="G135" s="105"/>
      <c r="H135" s="53" t="s">
        <v>155</v>
      </c>
    </row>
    <row r="136" spans="1:8" ht="9.9499999999999993" customHeight="1" x14ac:dyDescent="0.25">
      <c r="A136" s="107" t="s">
        <v>137</v>
      </c>
      <c r="B136" s="98">
        <v>120</v>
      </c>
      <c r="C136" s="109"/>
      <c r="D136" s="96"/>
      <c r="E136" s="98"/>
      <c r="F136" s="119"/>
      <c r="G136" s="105"/>
      <c r="H136" s="55" t="s">
        <v>138</v>
      </c>
    </row>
    <row r="137" spans="1:8" ht="24.95" customHeight="1" thickBot="1" x14ac:dyDescent="0.3">
      <c r="A137" s="108"/>
      <c r="B137" s="99"/>
      <c r="C137" s="110"/>
      <c r="D137" s="97"/>
      <c r="E137" s="99"/>
      <c r="F137" s="119"/>
      <c r="G137" s="105"/>
      <c r="H137" s="52">
        <v>7</v>
      </c>
    </row>
    <row r="138" spans="1:8" ht="35.1" customHeight="1" thickBot="1" x14ac:dyDescent="0.3">
      <c r="A138" s="100" t="s">
        <v>145</v>
      </c>
      <c r="B138" s="101"/>
      <c r="C138" s="39" t="s">
        <v>139</v>
      </c>
      <c r="D138" s="102"/>
      <c r="E138" s="103"/>
      <c r="F138" s="120"/>
      <c r="G138" s="106"/>
      <c r="H138" s="38" t="s">
        <v>147</v>
      </c>
    </row>
    <row r="139" spans="1:8" ht="9.9499999999999993" customHeight="1" x14ac:dyDescent="0.25">
      <c r="A139" s="92" t="s">
        <v>124</v>
      </c>
      <c r="B139" s="93"/>
      <c r="C139" s="93"/>
      <c r="D139" s="94" t="s">
        <v>125</v>
      </c>
      <c r="E139" s="93"/>
      <c r="F139" s="94" t="s">
        <v>126</v>
      </c>
      <c r="G139" s="93"/>
      <c r="H139" s="95"/>
    </row>
    <row r="140" spans="1:8" ht="20.100000000000001" customHeight="1" thickBot="1" x14ac:dyDescent="0.3">
      <c r="A140" s="114" t="s">
        <v>78</v>
      </c>
      <c r="B140" s="115"/>
      <c r="C140" s="115"/>
      <c r="D140" s="110" t="s">
        <v>67</v>
      </c>
      <c r="E140" s="111"/>
      <c r="F140" s="110"/>
      <c r="G140" s="111"/>
      <c r="H140" s="99"/>
    </row>
    <row r="141" spans="1:8" ht="9.9499999999999993" customHeight="1" x14ac:dyDescent="0.25">
      <c r="A141" s="94" t="s">
        <v>127</v>
      </c>
      <c r="B141" s="93"/>
      <c r="C141" s="95"/>
      <c r="D141" s="116" t="s">
        <v>128</v>
      </c>
      <c r="E141" s="117"/>
      <c r="F141" s="118"/>
      <c r="G141" s="121" t="s">
        <v>129</v>
      </c>
      <c r="H141" s="122"/>
    </row>
    <row r="142" spans="1:8" ht="20.100000000000001" customHeight="1" thickBot="1" x14ac:dyDescent="0.3">
      <c r="A142" s="127" t="s">
        <v>10</v>
      </c>
      <c r="B142" s="128"/>
      <c r="C142" s="129"/>
      <c r="D142" s="130">
        <v>36753</v>
      </c>
      <c r="E142" s="131"/>
      <c r="F142" s="119"/>
      <c r="G142" s="123"/>
      <c r="H142" s="124"/>
    </row>
    <row r="143" spans="1:8" ht="9.9499999999999993" customHeight="1" x14ac:dyDescent="0.25">
      <c r="A143" s="94" t="s">
        <v>130</v>
      </c>
      <c r="B143" s="93"/>
      <c r="C143" s="56" t="s">
        <v>131</v>
      </c>
      <c r="D143" s="94" t="s">
        <v>132</v>
      </c>
      <c r="E143" s="95"/>
      <c r="F143" s="119"/>
      <c r="G143" s="123"/>
      <c r="H143" s="124"/>
    </row>
    <row r="144" spans="1:8" ht="20.100000000000001" customHeight="1" thickBot="1" x14ac:dyDescent="0.3">
      <c r="A144" s="110">
        <v>61.3</v>
      </c>
      <c r="B144" s="111"/>
      <c r="C144" s="64">
        <v>63</v>
      </c>
      <c r="D144" s="110">
        <v>2</v>
      </c>
      <c r="E144" s="99"/>
      <c r="F144" s="119"/>
      <c r="G144" s="125"/>
      <c r="H144" s="126"/>
    </row>
    <row r="145" spans="1:8" ht="9.9499999999999993" customHeight="1" x14ac:dyDescent="0.25">
      <c r="A145" s="112"/>
      <c r="B145" s="112">
        <v>1</v>
      </c>
      <c r="C145" s="112">
        <v>2</v>
      </c>
      <c r="D145" s="112">
        <v>3</v>
      </c>
      <c r="E145" s="112" t="s">
        <v>133</v>
      </c>
      <c r="F145" s="119"/>
      <c r="G145" s="104" t="s">
        <v>134</v>
      </c>
      <c r="H145" s="54" t="s">
        <v>135</v>
      </c>
    </row>
    <row r="146" spans="1:8" ht="24.95" customHeight="1" thickBot="1" x14ac:dyDescent="0.3">
      <c r="A146" s="113"/>
      <c r="B146" s="113"/>
      <c r="C146" s="113"/>
      <c r="D146" s="113"/>
      <c r="E146" s="113"/>
      <c r="F146" s="119"/>
      <c r="G146" s="105"/>
      <c r="H146" s="52">
        <v>13</v>
      </c>
    </row>
    <row r="147" spans="1:8" ht="35.1" customHeight="1" thickBot="1" x14ac:dyDescent="0.3">
      <c r="A147" s="63" t="s">
        <v>134</v>
      </c>
      <c r="B147" s="61">
        <v>80</v>
      </c>
      <c r="C147" s="61"/>
      <c r="D147" s="62"/>
      <c r="E147" s="61"/>
      <c r="F147" s="119"/>
      <c r="G147" s="106"/>
      <c r="H147" s="38" t="s">
        <v>146</v>
      </c>
    </row>
    <row r="148" spans="1:8" ht="9.9499999999999993" customHeight="1" x14ac:dyDescent="0.25">
      <c r="A148" s="107" t="s">
        <v>136</v>
      </c>
      <c r="B148" s="96">
        <v>75</v>
      </c>
      <c r="C148" s="96"/>
      <c r="D148" s="96"/>
      <c r="E148" s="96"/>
      <c r="F148" s="119"/>
      <c r="G148" s="104" t="s">
        <v>136</v>
      </c>
      <c r="H148" s="54" t="s">
        <v>135</v>
      </c>
    </row>
    <row r="149" spans="1:8" ht="24.95" customHeight="1" thickBot="1" x14ac:dyDescent="0.3">
      <c r="A149" s="108"/>
      <c r="B149" s="97"/>
      <c r="C149" s="97"/>
      <c r="D149" s="97"/>
      <c r="E149" s="97"/>
      <c r="F149" s="119"/>
      <c r="G149" s="105"/>
      <c r="H149" s="53" t="s">
        <v>151</v>
      </c>
    </row>
    <row r="150" spans="1:8" ht="9.9499999999999993" customHeight="1" x14ac:dyDescent="0.25">
      <c r="A150" s="107" t="s">
        <v>137</v>
      </c>
      <c r="B150" s="98">
        <v>100</v>
      </c>
      <c r="C150" s="109"/>
      <c r="D150" s="96"/>
      <c r="E150" s="98"/>
      <c r="F150" s="119"/>
      <c r="G150" s="105"/>
      <c r="H150" s="55" t="s">
        <v>138</v>
      </c>
    </row>
    <row r="151" spans="1:8" ht="24.95" customHeight="1" thickBot="1" x14ac:dyDescent="0.3">
      <c r="A151" s="108"/>
      <c r="B151" s="99"/>
      <c r="C151" s="110"/>
      <c r="D151" s="97"/>
      <c r="E151" s="99"/>
      <c r="F151" s="119"/>
      <c r="G151" s="105"/>
      <c r="H151" s="52">
        <v>5</v>
      </c>
    </row>
    <row r="152" spans="1:8" ht="35.1" customHeight="1" thickBot="1" x14ac:dyDescent="0.3">
      <c r="A152" s="100" t="s">
        <v>145</v>
      </c>
      <c r="B152" s="101"/>
      <c r="C152" s="39" t="s">
        <v>139</v>
      </c>
      <c r="D152" s="102"/>
      <c r="E152" s="103"/>
      <c r="F152" s="120"/>
      <c r="G152" s="106"/>
      <c r="H152" s="38" t="s">
        <v>150</v>
      </c>
    </row>
    <row r="153" spans="1:8" ht="35.1" customHeight="1" x14ac:dyDescent="0.25"/>
    <row r="154" spans="1:8" ht="35.1" customHeight="1" thickBot="1" x14ac:dyDescent="0.3"/>
    <row r="155" spans="1:8" ht="9.9499999999999993" customHeight="1" x14ac:dyDescent="0.25">
      <c r="A155" s="92" t="s">
        <v>124</v>
      </c>
      <c r="B155" s="93"/>
      <c r="C155" s="93"/>
      <c r="D155" s="94" t="s">
        <v>125</v>
      </c>
      <c r="E155" s="93"/>
      <c r="F155" s="94" t="s">
        <v>126</v>
      </c>
      <c r="G155" s="93"/>
      <c r="H155" s="95"/>
    </row>
    <row r="156" spans="1:8" ht="20.100000000000001" customHeight="1" thickBot="1" x14ac:dyDescent="0.3">
      <c r="A156" s="114" t="s">
        <v>68</v>
      </c>
      <c r="B156" s="115"/>
      <c r="C156" s="115"/>
      <c r="D156" s="110" t="s">
        <v>67</v>
      </c>
      <c r="E156" s="111"/>
      <c r="F156" s="110"/>
      <c r="G156" s="111"/>
      <c r="H156" s="99"/>
    </row>
    <row r="157" spans="1:8" ht="9.9499999999999993" customHeight="1" x14ac:dyDescent="0.25">
      <c r="A157" s="94" t="s">
        <v>127</v>
      </c>
      <c r="B157" s="93"/>
      <c r="C157" s="95"/>
      <c r="D157" s="116" t="s">
        <v>128</v>
      </c>
      <c r="E157" s="117"/>
      <c r="F157" s="118"/>
      <c r="G157" s="121" t="s">
        <v>129</v>
      </c>
      <c r="H157" s="122"/>
    </row>
    <row r="158" spans="1:8" ht="20.100000000000001" customHeight="1" thickBot="1" x14ac:dyDescent="0.3">
      <c r="A158" s="127" t="s">
        <v>12</v>
      </c>
      <c r="B158" s="128"/>
      <c r="C158" s="129"/>
      <c r="D158" s="130" t="s">
        <v>69</v>
      </c>
      <c r="E158" s="131"/>
      <c r="F158" s="119"/>
      <c r="G158" s="123"/>
      <c r="H158" s="124"/>
    </row>
    <row r="159" spans="1:8" ht="9.9499999999999993" customHeight="1" x14ac:dyDescent="0.25">
      <c r="A159" s="94" t="s">
        <v>130</v>
      </c>
      <c r="B159" s="93"/>
      <c r="C159" s="56" t="s">
        <v>131</v>
      </c>
      <c r="D159" s="94" t="s">
        <v>132</v>
      </c>
      <c r="E159" s="95"/>
      <c r="F159" s="119"/>
      <c r="G159" s="123"/>
      <c r="H159" s="124"/>
    </row>
    <row r="160" spans="1:8" ht="20.100000000000001" customHeight="1" thickBot="1" x14ac:dyDescent="0.3">
      <c r="A160" s="110">
        <v>58.2</v>
      </c>
      <c r="B160" s="111"/>
      <c r="C160" s="64">
        <v>63</v>
      </c>
      <c r="D160" s="110">
        <v>3</v>
      </c>
      <c r="E160" s="99"/>
      <c r="F160" s="119"/>
      <c r="G160" s="125"/>
      <c r="H160" s="126"/>
    </row>
    <row r="161" spans="1:8" ht="9.9499999999999993" customHeight="1" x14ac:dyDescent="0.25">
      <c r="A161" s="112"/>
      <c r="B161" s="112">
        <v>1</v>
      </c>
      <c r="C161" s="112">
        <v>2</v>
      </c>
      <c r="D161" s="112">
        <v>3</v>
      </c>
      <c r="E161" s="112" t="s">
        <v>133</v>
      </c>
      <c r="F161" s="119"/>
      <c r="G161" s="104" t="s">
        <v>134</v>
      </c>
      <c r="H161" s="54" t="s">
        <v>135</v>
      </c>
    </row>
    <row r="162" spans="1:8" ht="24.95" customHeight="1" thickBot="1" x14ac:dyDescent="0.3">
      <c r="A162" s="113"/>
      <c r="B162" s="113"/>
      <c r="C162" s="113"/>
      <c r="D162" s="113"/>
      <c r="E162" s="113"/>
      <c r="F162" s="119"/>
      <c r="G162" s="105"/>
      <c r="H162" s="52">
        <v>10</v>
      </c>
    </row>
    <row r="163" spans="1:8" ht="35.1" customHeight="1" thickBot="1" x14ac:dyDescent="0.3">
      <c r="A163" s="63" t="s">
        <v>134</v>
      </c>
      <c r="B163" s="61">
        <v>100</v>
      </c>
      <c r="C163" s="61"/>
      <c r="D163" s="62"/>
      <c r="E163" s="61"/>
      <c r="F163" s="119"/>
      <c r="G163" s="106"/>
      <c r="H163" s="38" t="s">
        <v>146</v>
      </c>
    </row>
    <row r="164" spans="1:8" ht="9.9499999999999993" customHeight="1" x14ac:dyDescent="0.25">
      <c r="A164" s="107" t="s">
        <v>136</v>
      </c>
      <c r="B164" s="96">
        <v>67.5</v>
      </c>
      <c r="C164" s="96"/>
      <c r="D164" s="96"/>
      <c r="E164" s="96"/>
      <c r="F164" s="119"/>
      <c r="G164" s="104" t="s">
        <v>136</v>
      </c>
      <c r="H164" s="54" t="s">
        <v>135</v>
      </c>
    </row>
    <row r="165" spans="1:8" ht="24.95" customHeight="1" thickBot="1" x14ac:dyDescent="0.3">
      <c r="A165" s="108"/>
      <c r="B165" s="97"/>
      <c r="C165" s="97"/>
      <c r="D165" s="97"/>
      <c r="E165" s="97"/>
      <c r="F165" s="119"/>
      <c r="G165" s="105"/>
      <c r="H165" s="53" t="s">
        <v>155</v>
      </c>
    </row>
    <row r="166" spans="1:8" ht="9.9499999999999993" customHeight="1" x14ac:dyDescent="0.25">
      <c r="A166" s="107" t="s">
        <v>137</v>
      </c>
      <c r="B166" s="98">
        <v>130</v>
      </c>
      <c r="C166" s="109"/>
      <c r="D166" s="96"/>
      <c r="E166" s="98"/>
      <c r="F166" s="119"/>
      <c r="G166" s="105"/>
      <c r="H166" s="55" t="s">
        <v>138</v>
      </c>
    </row>
    <row r="167" spans="1:8" ht="24.95" customHeight="1" thickBot="1" x14ac:dyDescent="0.3">
      <c r="A167" s="108"/>
      <c r="B167" s="99"/>
      <c r="C167" s="110"/>
      <c r="D167" s="97"/>
      <c r="E167" s="99"/>
      <c r="F167" s="119"/>
      <c r="G167" s="105"/>
      <c r="H167" s="52">
        <v>3</v>
      </c>
    </row>
    <row r="168" spans="1:8" ht="35.1" customHeight="1" thickBot="1" x14ac:dyDescent="0.3">
      <c r="A168" s="100" t="s">
        <v>145</v>
      </c>
      <c r="B168" s="101"/>
      <c r="C168" s="39" t="s">
        <v>139</v>
      </c>
      <c r="D168" s="102"/>
      <c r="E168" s="103"/>
      <c r="F168" s="120"/>
      <c r="G168" s="106"/>
      <c r="H168" s="38" t="s">
        <v>150</v>
      </c>
    </row>
    <row r="169" spans="1:8" ht="35.1" customHeight="1" x14ac:dyDescent="0.25"/>
    <row r="170" spans="1:8" ht="35.1" customHeight="1" thickBot="1" x14ac:dyDescent="0.3"/>
    <row r="171" spans="1:8" ht="9.9499999999999993" customHeight="1" x14ac:dyDescent="0.25">
      <c r="A171" s="92" t="s">
        <v>124</v>
      </c>
      <c r="B171" s="93"/>
      <c r="C171" s="93"/>
      <c r="D171" s="94" t="s">
        <v>125</v>
      </c>
      <c r="E171" s="93"/>
      <c r="F171" s="94" t="s">
        <v>126</v>
      </c>
      <c r="G171" s="93"/>
      <c r="H171" s="95"/>
    </row>
    <row r="172" spans="1:8" ht="20.100000000000001" customHeight="1" thickBot="1" x14ac:dyDescent="0.3">
      <c r="A172" s="114" t="s">
        <v>86</v>
      </c>
      <c r="B172" s="115"/>
      <c r="C172" s="115"/>
      <c r="D172" s="110" t="s">
        <v>67</v>
      </c>
      <c r="E172" s="111"/>
      <c r="F172" s="110"/>
      <c r="G172" s="111"/>
      <c r="H172" s="99"/>
    </row>
    <row r="173" spans="1:8" ht="9.9499999999999993" customHeight="1" x14ac:dyDescent="0.25">
      <c r="A173" s="94" t="s">
        <v>127</v>
      </c>
      <c r="B173" s="93"/>
      <c r="C173" s="95"/>
      <c r="D173" s="116" t="s">
        <v>128</v>
      </c>
      <c r="E173" s="117"/>
      <c r="F173" s="118"/>
      <c r="G173" s="121" t="s">
        <v>129</v>
      </c>
      <c r="H173" s="122"/>
    </row>
    <row r="174" spans="1:8" ht="20.100000000000001" customHeight="1" thickBot="1" x14ac:dyDescent="0.3">
      <c r="A174" s="127" t="s">
        <v>25</v>
      </c>
      <c r="B174" s="128"/>
      <c r="C174" s="129"/>
      <c r="D174" s="130" t="s">
        <v>87</v>
      </c>
      <c r="E174" s="131"/>
      <c r="F174" s="119"/>
      <c r="G174" s="123"/>
      <c r="H174" s="124"/>
    </row>
    <row r="175" spans="1:8" ht="9.9499999999999993" customHeight="1" x14ac:dyDescent="0.25">
      <c r="A175" s="94" t="s">
        <v>130</v>
      </c>
      <c r="B175" s="93"/>
      <c r="C175" s="56" t="s">
        <v>131</v>
      </c>
      <c r="D175" s="94" t="s">
        <v>132</v>
      </c>
      <c r="E175" s="95"/>
      <c r="F175" s="119"/>
      <c r="G175" s="123"/>
      <c r="H175" s="124"/>
    </row>
    <row r="176" spans="1:8" ht="20.100000000000001" customHeight="1" thickBot="1" x14ac:dyDescent="0.3">
      <c r="A176" s="110">
        <v>75.599999999999994</v>
      </c>
      <c r="B176" s="111"/>
      <c r="C176" s="64">
        <v>84</v>
      </c>
      <c r="D176" s="110">
        <v>4</v>
      </c>
      <c r="E176" s="99"/>
      <c r="F176" s="119"/>
      <c r="G176" s="125"/>
      <c r="H176" s="126"/>
    </row>
    <row r="177" spans="1:8" ht="9.9499999999999993" customHeight="1" x14ac:dyDescent="0.25">
      <c r="A177" s="112"/>
      <c r="B177" s="112">
        <v>1</v>
      </c>
      <c r="C177" s="112">
        <v>2</v>
      </c>
      <c r="D177" s="112">
        <v>3</v>
      </c>
      <c r="E177" s="112" t="s">
        <v>133</v>
      </c>
      <c r="F177" s="119"/>
      <c r="G177" s="104" t="s">
        <v>134</v>
      </c>
      <c r="H177" s="54" t="s">
        <v>135</v>
      </c>
    </row>
    <row r="178" spans="1:8" ht="24.95" customHeight="1" thickBot="1" x14ac:dyDescent="0.3">
      <c r="A178" s="113"/>
      <c r="B178" s="113"/>
      <c r="C178" s="113"/>
      <c r="D178" s="113"/>
      <c r="E178" s="113"/>
      <c r="F178" s="119"/>
      <c r="G178" s="105"/>
      <c r="H178" s="52">
        <v>11</v>
      </c>
    </row>
    <row r="179" spans="1:8" ht="35.1" customHeight="1" thickBot="1" x14ac:dyDescent="0.3">
      <c r="A179" s="63" t="s">
        <v>134</v>
      </c>
      <c r="B179" s="61">
        <v>160</v>
      </c>
      <c r="C179" s="61"/>
      <c r="D179" s="62"/>
      <c r="E179" s="61"/>
      <c r="F179" s="119"/>
      <c r="G179" s="106"/>
      <c r="H179" s="38" t="s">
        <v>146</v>
      </c>
    </row>
    <row r="180" spans="1:8" ht="9.9499999999999993" customHeight="1" x14ac:dyDescent="0.25">
      <c r="A180" s="107" t="s">
        <v>136</v>
      </c>
      <c r="B180" s="96">
        <v>60</v>
      </c>
      <c r="C180" s="96"/>
      <c r="D180" s="96"/>
      <c r="E180" s="96"/>
      <c r="F180" s="119"/>
      <c r="G180" s="104" t="s">
        <v>136</v>
      </c>
      <c r="H180" s="54" t="s">
        <v>135</v>
      </c>
    </row>
    <row r="181" spans="1:8" ht="24.95" customHeight="1" thickBot="1" x14ac:dyDescent="0.3">
      <c r="A181" s="108"/>
      <c r="B181" s="97"/>
      <c r="C181" s="97"/>
      <c r="D181" s="97"/>
      <c r="E181" s="97"/>
      <c r="F181" s="119"/>
      <c r="G181" s="105"/>
      <c r="H181" s="53" t="s">
        <v>155</v>
      </c>
    </row>
    <row r="182" spans="1:8" ht="9.9499999999999993" customHeight="1" x14ac:dyDescent="0.25">
      <c r="A182" s="107" t="s">
        <v>137</v>
      </c>
      <c r="B182" s="98">
        <v>160</v>
      </c>
      <c r="C182" s="109"/>
      <c r="D182" s="96"/>
      <c r="E182" s="98"/>
      <c r="F182" s="119"/>
      <c r="G182" s="105"/>
      <c r="H182" s="55" t="s">
        <v>138</v>
      </c>
    </row>
    <row r="183" spans="1:8" ht="24.95" customHeight="1" thickBot="1" x14ac:dyDescent="0.3">
      <c r="A183" s="108"/>
      <c r="B183" s="99"/>
      <c r="C183" s="110"/>
      <c r="D183" s="97"/>
      <c r="E183" s="99"/>
      <c r="F183" s="119"/>
      <c r="G183" s="105"/>
      <c r="H183" s="52">
        <v>3</v>
      </c>
    </row>
    <row r="184" spans="1:8" ht="35.1" customHeight="1" thickBot="1" x14ac:dyDescent="0.3">
      <c r="A184" s="100" t="s">
        <v>145</v>
      </c>
      <c r="B184" s="101"/>
      <c r="C184" s="39" t="s">
        <v>139</v>
      </c>
      <c r="D184" s="102"/>
      <c r="E184" s="103"/>
      <c r="F184" s="120"/>
      <c r="G184" s="106"/>
      <c r="H184" s="38" t="s">
        <v>150</v>
      </c>
    </row>
    <row r="185" spans="1:8" ht="9.9499999999999993" customHeight="1" x14ac:dyDescent="0.25">
      <c r="A185" s="92" t="s">
        <v>124</v>
      </c>
      <c r="B185" s="93"/>
      <c r="C185" s="93"/>
      <c r="D185" s="94" t="s">
        <v>125</v>
      </c>
      <c r="E185" s="93"/>
      <c r="F185" s="94" t="s">
        <v>126</v>
      </c>
      <c r="G185" s="93"/>
      <c r="H185" s="95"/>
    </row>
    <row r="186" spans="1:8" ht="20.100000000000001" customHeight="1" thickBot="1" x14ac:dyDescent="0.3">
      <c r="A186" s="114" t="s">
        <v>76</v>
      </c>
      <c r="B186" s="115"/>
      <c r="C186" s="115"/>
      <c r="D186" s="110" t="s">
        <v>67</v>
      </c>
      <c r="E186" s="111"/>
      <c r="F186" s="110"/>
      <c r="G186" s="111"/>
      <c r="H186" s="99"/>
    </row>
    <row r="187" spans="1:8" ht="9.9499999999999993" customHeight="1" x14ac:dyDescent="0.25">
      <c r="A187" s="94" t="s">
        <v>127</v>
      </c>
      <c r="B187" s="93"/>
      <c r="C187" s="95"/>
      <c r="D187" s="116" t="s">
        <v>128</v>
      </c>
      <c r="E187" s="117"/>
      <c r="F187" s="118"/>
      <c r="G187" s="121" t="s">
        <v>129</v>
      </c>
      <c r="H187" s="122"/>
    </row>
    <row r="188" spans="1:8" ht="20.100000000000001" customHeight="1" thickBot="1" x14ac:dyDescent="0.3">
      <c r="A188" s="127" t="s">
        <v>25</v>
      </c>
      <c r="B188" s="128"/>
      <c r="C188" s="129"/>
      <c r="D188" s="130" t="s">
        <v>77</v>
      </c>
      <c r="E188" s="131"/>
      <c r="F188" s="119"/>
      <c r="G188" s="123"/>
      <c r="H188" s="124"/>
    </row>
    <row r="189" spans="1:8" ht="9.9499999999999993" customHeight="1" x14ac:dyDescent="0.25">
      <c r="A189" s="94" t="s">
        <v>130</v>
      </c>
      <c r="B189" s="93"/>
      <c r="C189" s="56" t="s">
        <v>131</v>
      </c>
      <c r="D189" s="94" t="s">
        <v>132</v>
      </c>
      <c r="E189" s="95"/>
      <c r="F189" s="119"/>
      <c r="G189" s="123"/>
      <c r="H189" s="124"/>
    </row>
    <row r="190" spans="1:8" ht="20.100000000000001" customHeight="1" thickBot="1" x14ac:dyDescent="0.3">
      <c r="A190" s="110">
        <v>62.55</v>
      </c>
      <c r="B190" s="111"/>
      <c r="C190" s="64">
        <v>63</v>
      </c>
      <c r="D190" s="110">
        <v>5</v>
      </c>
      <c r="E190" s="99"/>
      <c r="F190" s="119"/>
      <c r="G190" s="125"/>
      <c r="H190" s="126"/>
    </row>
    <row r="191" spans="1:8" ht="9.9499999999999993" customHeight="1" x14ac:dyDescent="0.25">
      <c r="A191" s="112"/>
      <c r="B191" s="112">
        <v>1</v>
      </c>
      <c r="C191" s="112">
        <v>2</v>
      </c>
      <c r="D191" s="112">
        <v>3</v>
      </c>
      <c r="E191" s="112" t="s">
        <v>133</v>
      </c>
      <c r="F191" s="119"/>
      <c r="G191" s="104" t="s">
        <v>134</v>
      </c>
      <c r="H191" s="54" t="s">
        <v>135</v>
      </c>
    </row>
    <row r="192" spans="1:8" ht="24.95" customHeight="1" thickBot="1" x14ac:dyDescent="0.3">
      <c r="A192" s="113"/>
      <c r="B192" s="113"/>
      <c r="C192" s="113"/>
      <c r="D192" s="113"/>
      <c r="E192" s="113"/>
      <c r="F192" s="119"/>
      <c r="G192" s="105"/>
      <c r="H192" s="52">
        <v>10</v>
      </c>
    </row>
    <row r="193" spans="1:8" ht="35.1" customHeight="1" thickBot="1" x14ac:dyDescent="0.3">
      <c r="A193" s="63" t="s">
        <v>134</v>
      </c>
      <c r="B193" s="61">
        <v>100</v>
      </c>
      <c r="C193" s="61"/>
      <c r="D193" s="62"/>
      <c r="E193" s="61"/>
      <c r="F193" s="119"/>
      <c r="G193" s="106"/>
      <c r="H193" s="38" t="s">
        <v>146</v>
      </c>
    </row>
    <row r="194" spans="1:8" ht="9.9499999999999993" customHeight="1" x14ac:dyDescent="0.25">
      <c r="A194" s="107" t="s">
        <v>136</v>
      </c>
      <c r="B194" s="96">
        <v>60</v>
      </c>
      <c r="C194" s="96"/>
      <c r="D194" s="96"/>
      <c r="E194" s="96"/>
      <c r="F194" s="119"/>
      <c r="G194" s="104" t="s">
        <v>136</v>
      </c>
      <c r="H194" s="54" t="s">
        <v>135</v>
      </c>
    </row>
    <row r="195" spans="1:8" ht="24.95" customHeight="1" thickBot="1" x14ac:dyDescent="0.3">
      <c r="A195" s="108"/>
      <c r="B195" s="97"/>
      <c r="C195" s="97"/>
      <c r="D195" s="97"/>
      <c r="E195" s="97"/>
      <c r="F195" s="119"/>
      <c r="G195" s="105"/>
      <c r="H195" s="53" t="s">
        <v>149</v>
      </c>
    </row>
    <row r="196" spans="1:8" ht="9.9499999999999993" customHeight="1" x14ac:dyDescent="0.25">
      <c r="A196" s="107" t="s">
        <v>137</v>
      </c>
      <c r="B196" s="98">
        <v>120</v>
      </c>
      <c r="C196" s="109"/>
      <c r="D196" s="96"/>
      <c r="E196" s="98"/>
      <c r="F196" s="119"/>
      <c r="G196" s="105"/>
      <c r="H196" s="55" t="s">
        <v>138</v>
      </c>
    </row>
    <row r="197" spans="1:8" ht="24.95" customHeight="1" thickBot="1" x14ac:dyDescent="0.3">
      <c r="A197" s="108"/>
      <c r="B197" s="99"/>
      <c r="C197" s="110"/>
      <c r="D197" s="97"/>
      <c r="E197" s="99"/>
      <c r="F197" s="119"/>
      <c r="G197" s="105"/>
      <c r="H197" s="52">
        <v>3</v>
      </c>
    </row>
    <row r="198" spans="1:8" ht="35.1" customHeight="1" thickBot="1" x14ac:dyDescent="0.3">
      <c r="A198" s="100" t="s">
        <v>145</v>
      </c>
      <c r="B198" s="101"/>
      <c r="C198" s="39" t="s">
        <v>139</v>
      </c>
      <c r="D198" s="102"/>
      <c r="E198" s="103"/>
      <c r="F198" s="120"/>
      <c r="G198" s="106"/>
      <c r="H198" s="38" t="s">
        <v>150</v>
      </c>
    </row>
    <row r="199" spans="1:8" ht="35.1" customHeight="1" x14ac:dyDescent="0.25"/>
    <row r="200" spans="1:8" ht="35.1" customHeight="1" thickBot="1" x14ac:dyDescent="0.3"/>
    <row r="201" spans="1:8" ht="9.9499999999999993" customHeight="1" x14ac:dyDescent="0.25">
      <c r="A201" s="92" t="s">
        <v>124</v>
      </c>
      <c r="B201" s="93"/>
      <c r="C201" s="93"/>
      <c r="D201" s="94" t="s">
        <v>125</v>
      </c>
      <c r="E201" s="93"/>
      <c r="F201" s="94" t="s">
        <v>126</v>
      </c>
      <c r="G201" s="93"/>
      <c r="H201" s="95"/>
    </row>
    <row r="202" spans="1:8" ht="20.100000000000001" customHeight="1" thickBot="1" x14ac:dyDescent="0.3">
      <c r="A202" s="114" t="s">
        <v>80</v>
      </c>
      <c r="B202" s="115"/>
      <c r="C202" s="115"/>
      <c r="D202" s="110" t="s">
        <v>67</v>
      </c>
      <c r="E202" s="111"/>
      <c r="F202" s="110"/>
      <c r="G202" s="111"/>
      <c r="H202" s="99"/>
    </row>
    <row r="203" spans="1:8" ht="9.9499999999999993" customHeight="1" x14ac:dyDescent="0.25">
      <c r="A203" s="94" t="s">
        <v>127</v>
      </c>
      <c r="B203" s="93"/>
      <c r="C203" s="95"/>
      <c r="D203" s="116" t="s">
        <v>128</v>
      </c>
      <c r="E203" s="117"/>
      <c r="F203" s="118"/>
      <c r="G203" s="121" t="s">
        <v>129</v>
      </c>
      <c r="H203" s="122"/>
    </row>
    <row r="204" spans="1:8" ht="20.100000000000001" customHeight="1" thickBot="1" x14ac:dyDescent="0.3">
      <c r="A204" s="127" t="s">
        <v>12</v>
      </c>
      <c r="B204" s="128"/>
      <c r="C204" s="129"/>
      <c r="D204" s="130" t="s">
        <v>81</v>
      </c>
      <c r="E204" s="131"/>
      <c r="F204" s="119"/>
      <c r="G204" s="123"/>
      <c r="H204" s="124"/>
    </row>
    <row r="205" spans="1:8" ht="9.9499999999999993" customHeight="1" x14ac:dyDescent="0.25">
      <c r="A205" s="94" t="s">
        <v>130</v>
      </c>
      <c r="B205" s="93"/>
      <c r="C205" s="56" t="s">
        <v>131</v>
      </c>
      <c r="D205" s="94" t="s">
        <v>132</v>
      </c>
      <c r="E205" s="95"/>
      <c r="F205" s="119"/>
      <c r="G205" s="123"/>
      <c r="H205" s="124"/>
    </row>
    <row r="206" spans="1:8" ht="20.100000000000001" customHeight="1" thickBot="1" x14ac:dyDescent="0.3">
      <c r="A206" s="110">
        <v>70.55</v>
      </c>
      <c r="B206" s="111"/>
      <c r="C206" s="64">
        <v>72</v>
      </c>
      <c r="D206" s="110">
        <v>6</v>
      </c>
      <c r="E206" s="99"/>
      <c r="F206" s="119"/>
      <c r="G206" s="125"/>
      <c r="H206" s="126"/>
    </row>
    <row r="207" spans="1:8" ht="9.9499999999999993" customHeight="1" x14ac:dyDescent="0.25">
      <c r="A207" s="112"/>
      <c r="B207" s="112">
        <v>1</v>
      </c>
      <c r="C207" s="112">
        <v>2</v>
      </c>
      <c r="D207" s="112">
        <v>3</v>
      </c>
      <c r="E207" s="112" t="s">
        <v>133</v>
      </c>
      <c r="F207" s="119"/>
      <c r="G207" s="104" t="s">
        <v>134</v>
      </c>
      <c r="H207" s="54" t="s">
        <v>135</v>
      </c>
    </row>
    <row r="208" spans="1:8" ht="24.95" customHeight="1" thickBot="1" x14ac:dyDescent="0.3">
      <c r="A208" s="113"/>
      <c r="B208" s="113"/>
      <c r="C208" s="113"/>
      <c r="D208" s="113"/>
      <c r="E208" s="113"/>
      <c r="F208" s="119"/>
      <c r="G208" s="105"/>
      <c r="H208" s="52">
        <v>12</v>
      </c>
    </row>
    <row r="209" spans="1:8" ht="35.1" customHeight="1" thickBot="1" x14ac:dyDescent="0.3">
      <c r="A209" s="63" t="s">
        <v>134</v>
      </c>
      <c r="B209" s="61">
        <v>125</v>
      </c>
      <c r="C209" s="61"/>
      <c r="D209" s="62"/>
      <c r="E209" s="61"/>
      <c r="F209" s="119"/>
      <c r="G209" s="106"/>
      <c r="H209" s="38" t="s">
        <v>146</v>
      </c>
    </row>
    <row r="210" spans="1:8" ht="9.9499999999999993" customHeight="1" x14ac:dyDescent="0.25">
      <c r="A210" s="107" t="s">
        <v>136</v>
      </c>
      <c r="B210" s="96">
        <v>70</v>
      </c>
      <c r="C210" s="96"/>
      <c r="D210" s="96"/>
      <c r="E210" s="96"/>
      <c r="F210" s="119"/>
      <c r="G210" s="104" t="s">
        <v>136</v>
      </c>
      <c r="H210" s="54" t="s">
        <v>135</v>
      </c>
    </row>
    <row r="211" spans="1:8" ht="24.95" customHeight="1" thickBot="1" x14ac:dyDescent="0.3">
      <c r="A211" s="108"/>
      <c r="B211" s="97"/>
      <c r="C211" s="97"/>
      <c r="D211" s="97"/>
      <c r="E211" s="97"/>
      <c r="F211" s="119"/>
      <c r="G211" s="105"/>
      <c r="H211" s="53" t="s">
        <v>151</v>
      </c>
    </row>
    <row r="212" spans="1:8" ht="9.9499999999999993" customHeight="1" x14ac:dyDescent="0.25">
      <c r="A212" s="107" t="s">
        <v>137</v>
      </c>
      <c r="B212" s="98">
        <v>140</v>
      </c>
      <c r="C212" s="109"/>
      <c r="D212" s="96"/>
      <c r="E212" s="98"/>
      <c r="F212" s="119"/>
      <c r="G212" s="105"/>
      <c r="H212" s="55" t="s">
        <v>138</v>
      </c>
    </row>
    <row r="213" spans="1:8" ht="24.95" customHeight="1" thickBot="1" x14ac:dyDescent="0.3">
      <c r="A213" s="108"/>
      <c r="B213" s="99"/>
      <c r="C213" s="110"/>
      <c r="D213" s="97"/>
      <c r="E213" s="99"/>
      <c r="F213" s="119"/>
      <c r="G213" s="105"/>
      <c r="H213" s="52">
        <v>6</v>
      </c>
    </row>
    <row r="214" spans="1:8" ht="35.1" customHeight="1" thickBot="1" x14ac:dyDescent="0.3">
      <c r="A214" s="100" t="s">
        <v>145</v>
      </c>
      <c r="B214" s="101"/>
      <c r="C214" s="39" t="s">
        <v>139</v>
      </c>
      <c r="D214" s="102"/>
      <c r="E214" s="103"/>
      <c r="F214" s="120"/>
      <c r="G214" s="106"/>
      <c r="H214" s="38" t="s">
        <v>150</v>
      </c>
    </row>
    <row r="215" spans="1:8" ht="35.1" customHeight="1" x14ac:dyDescent="0.25"/>
    <row r="216" spans="1:8" ht="35.1" customHeight="1" thickBot="1" x14ac:dyDescent="0.3"/>
    <row r="217" spans="1:8" ht="9.9499999999999993" customHeight="1" x14ac:dyDescent="0.25">
      <c r="A217" s="92" t="s">
        <v>124</v>
      </c>
      <c r="B217" s="93"/>
      <c r="C217" s="93"/>
      <c r="D217" s="94" t="s">
        <v>125</v>
      </c>
      <c r="E217" s="93"/>
      <c r="F217" s="94" t="s">
        <v>126</v>
      </c>
      <c r="G217" s="93"/>
      <c r="H217" s="95"/>
    </row>
    <row r="218" spans="1:8" ht="20.100000000000001" customHeight="1" thickBot="1" x14ac:dyDescent="0.3">
      <c r="A218" s="114" t="s">
        <v>83</v>
      </c>
      <c r="B218" s="115"/>
      <c r="C218" s="115"/>
      <c r="D218" s="110" t="s">
        <v>67</v>
      </c>
      <c r="E218" s="111"/>
      <c r="F218" s="110"/>
      <c r="G218" s="111"/>
      <c r="H218" s="99"/>
    </row>
    <row r="219" spans="1:8" ht="9.9499999999999993" customHeight="1" x14ac:dyDescent="0.25">
      <c r="A219" s="94" t="s">
        <v>127</v>
      </c>
      <c r="B219" s="93"/>
      <c r="C219" s="95"/>
      <c r="D219" s="116" t="s">
        <v>128</v>
      </c>
      <c r="E219" s="117"/>
      <c r="F219" s="118"/>
      <c r="G219" s="121" t="s">
        <v>129</v>
      </c>
      <c r="H219" s="122"/>
    </row>
    <row r="220" spans="1:8" ht="20.100000000000001" customHeight="1" thickBot="1" x14ac:dyDescent="0.3">
      <c r="A220" s="127" t="s">
        <v>12</v>
      </c>
      <c r="B220" s="128"/>
      <c r="C220" s="129"/>
      <c r="D220" s="130" t="s">
        <v>84</v>
      </c>
      <c r="E220" s="131"/>
      <c r="F220" s="119"/>
      <c r="G220" s="123"/>
      <c r="H220" s="124"/>
    </row>
    <row r="221" spans="1:8" ht="9.9499999999999993" customHeight="1" x14ac:dyDescent="0.25">
      <c r="A221" s="94" t="s">
        <v>130</v>
      </c>
      <c r="B221" s="93"/>
      <c r="C221" s="56" t="s">
        <v>131</v>
      </c>
      <c r="D221" s="94" t="s">
        <v>132</v>
      </c>
      <c r="E221" s="95"/>
      <c r="F221" s="119"/>
      <c r="G221" s="123"/>
      <c r="H221" s="124"/>
    </row>
    <row r="222" spans="1:8" ht="20.100000000000001" customHeight="1" thickBot="1" x14ac:dyDescent="0.3">
      <c r="A222" s="110">
        <v>63</v>
      </c>
      <c r="B222" s="111"/>
      <c r="C222" s="64">
        <v>63</v>
      </c>
      <c r="D222" s="110">
        <v>7</v>
      </c>
      <c r="E222" s="99"/>
      <c r="F222" s="119"/>
      <c r="G222" s="125"/>
      <c r="H222" s="126"/>
    </row>
    <row r="223" spans="1:8" ht="9.9499999999999993" customHeight="1" x14ac:dyDescent="0.25">
      <c r="A223" s="112"/>
      <c r="B223" s="112">
        <v>1</v>
      </c>
      <c r="C223" s="112">
        <v>2</v>
      </c>
      <c r="D223" s="112">
        <v>3</v>
      </c>
      <c r="E223" s="112" t="s">
        <v>133</v>
      </c>
      <c r="F223" s="119"/>
      <c r="G223" s="104" t="s">
        <v>134</v>
      </c>
      <c r="H223" s="54" t="s">
        <v>135</v>
      </c>
    </row>
    <row r="224" spans="1:8" ht="24.95" customHeight="1" thickBot="1" x14ac:dyDescent="0.3">
      <c r="A224" s="113"/>
      <c r="B224" s="113"/>
      <c r="C224" s="113"/>
      <c r="D224" s="113"/>
      <c r="E224" s="113"/>
      <c r="F224" s="119"/>
      <c r="G224" s="105"/>
      <c r="H224" s="52">
        <v>12</v>
      </c>
    </row>
    <row r="225" spans="1:8" ht="35.1" customHeight="1" thickBot="1" x14ac:dyDescent="0.3">
      <c r="A225" s="63" t="s">
        <v>134</v>
      </c>
      <c r="B225" s="61">
        <v>115</v>
      </c>
      <c r="C225" s="61"/>
      <c r="D225" s="62"/>
      <c r="E225" s="61"/>
      <c r="F225" s="119"/>
      <c r="G225" s="106"/>
      <c r="H225" s="38" t="s">
        <v>146</v>
      </c>
    </row>
    <row r="226" spans="1:8" ht="9.9499999999999993" customHeight="1" x14ac:dyDescent="0.25">
      <c r="A226" s="107" t="s">
        <v>136</v>
      </c>
      <c r="B226" s="96">
        <v>65</v>
      </c>
      <c r="C226" s="96"/>
      <c r="D226" s="96"/>
      <c r="E226" s="96"/>
      <c r="F226" s="119"/>
      <c r="G226" s="104" t="s">
        <v>136</v>
      </c>
      <c r="H226" s="54" t="s">
        <v>135</v>
      </c>
    </row>
    <row r="227" spans="1:8" ht="24.95" customHeight="1" thickBot="1" x14ac:dyDescent="0.3">
      <c r="A227" s="108"/>
      <c r="B227" s="97"/>
      <c r="C227" s="97"/>
      <c r="D227" s="97"/>
      <c r="E227" s="97"/>
      <c r="F227" s="119"/>
      <c r="G227" s="105"/>
      <c r="H227" s="53" t="s">
        <v>151</v>
      </c>
    </row>
    <row r="228" spans="1:8" ht="9.9499999999999993" customHeight="1" x14ac:dyDescent="0.25">
      <c r="A228" s="107" t="s">
        <v>137</v>
      </c>
      <c r="B228" s="98">
        <v>150</v>
      </c>
      <c r="C228" s="109"/>
      <c r="D228" s="96"/>
      <c r="E228" s="98"/>
      <c r="F228" s="119"/>
      <c r="G228" s="105"/>
      <c r="H228" s="55" t="s">
        <v>138</v>
      </c>
    </row>
    <row r="229" spans="1:8" ht="24.95" customHeight="1" thickBot="1" x14ac:dyDescent="0.3">
      <c r="A229" s="108"/>
      <c r="B229" s="99"/>
      <c r="C229" s="110"/>
      <c r="D229" s="97"/>
      <c r="E229" s="99"/>
      <c r="F229" s="119"/>
      <c r="G229" s="105"/>
      <c r="H229" s="52">
        <v>4</v>
      </c>
    </row>
    <row r="230" spans="1:8" ht="35.1" customHeight="1" thickBot="1" x14ac:dyDescent="0.3">
      <c r="A230" s="100" t="s">
        <v>145</v>
      </c>
      <c r="B230" s="101"/>
      <c r="C230" s="39" t="s">
        <v>139</v>
      </c>
      <c r="D230" s="102"/>
      <c r="E230" s="103"/>
      <c r="F230" s="120"/>
      <c r="G230" s="106"/>
      <c r="H230" s="38" t="s">
        <v>147</v>
      </c>
    </row>
    <row r="231" spans="1:8" ht="9.9499999999999993" customHeight="1" x14ac:dyDescent="0.25">
      <c r="A231" s="92" t="s">
        <v>124</v>
      </c>
      <c r="B231" s="93"/>
      <c r="C231" s="93"/>
      <c r="D231" s="94" t="s">
        <v>125</v>
      </c>
      <c r="E231" s="93"/>
      <c r="F231" s="94" t="s">
        <v>126</v>
      </c>
      <c r="G231" s="93"/>
      <c r="H231" s="95"/>
    </row>
    <row r="232" spans="1:8" ht="20.100000000000001" customHeight="1" thickBot="1" x14ac:dyDescent="0.3">
      <c r="A232" s="114" t="s">
        <v>92</v>
      </c>
      <c r="B232" s="115"/>
      <c r="C232" s="115"/>
      <c r="D232" s="110" t="s">
        <v>67</v>
      </c>
      <c r="E232" s="111"/>
      <c r="F232" s="110"/>
      <c r="G232" s="111"/>
      <c r="H232" s="99"/>
    </row>
    <row r="233" spans="1:8" ht="9.9499999999999993" customHeight="1" x14ac:dyDescent="0.25">
      <c r="A233" s="94" t="s">
        <v>127</v>
      </c>
      <c r="B233" s="93"/>
      <c r="C233" s="95"/>
      <c r="D233" s="116" t="s">
        <v>128</v>
      </c>
      <c r="E233" s="117"/>
      <c r="F233" s="118"/>
      <c r="G233" s="121" t="s">
        <v>129</v>
      </c>
      <c r="H233" s="122"/>
    </row>
    <row r="234" spans="1:8" ht="20.100000000000001" customHeight="1" thickBot="1" x14ac:dyDescent="0.3">
      <c r="A234" s="127" t="s">
        <v>25</v>
      </c>
      <c r="B234" s="128"/>
      <c r="C234" s="129"/>
      <c r="D234" s="130" t="s">
        <v>93</v>
      </c>
      <c r="E234" s="131"/>
      <c r="F234" s="119"/>
      <c r="G234" s="123"/>
      <c r="H234" s="124"/>
    </row>
    <row r="235" spans="1:8" ht="9.9499999999999993" customHeight="1" x14ac:dyDescent="0.25">
      <c r="A235" s="94" t="s">
        <v>130</v>
      </c>
      <c r="B235" s="93"/>
      <c r="C235" s="56" t="s">
        <v>131</v>
      </c>
      <c r="D235" s="94" t="s">
        <v>132</v>
      </c>
      <c r="E235" s="95"/>
      <c r="F235" s="119"/>
      <c r="G235" s="123"/>
      <c r="H235" s="124"/>
    </row>
    <row r="236" spans="1:8" ht="20.100000000000001" customHeight="1" thickBot="1" x14ac:dyDescent="0.3">
      <c r="A236" s="110">
        <v>81.7</v>
      </c>
      <c r="B236" s="111"/>
      <c r="C236" s="64">
        <v>83</v>
      </c>
      <c r="D236" s="110">
        <v>8</v>
      </c>
      <c r="E236" s="99"/>
      <c r="F236" s="119"/>
      <c r="G236" s="125"/>
      <c r="H236" s="126"/>
    </row>
    <row r="237" spans="1:8" ht="9.9499999999999993" customHeight="1" x14ac:dyDescent="0.25">
      <c r="A237" s="112"/>
      <c r="B237" s="112">
        <v>1</v>
      </c>
      <c r="C237" s="112">
        <v>2</v>
      </c>
      <c r="D237" s="112">
        <v>3</v>
      </c>
      <c r="E237" s="112" t="s">
        <v>133</v>
      </c>
      <c r="F237" s="119"/>
      <c r="G237" s="104" t="s">
        <v>134</v>
      </c>
      <c r="H237" s="54" t="s">
        <v>135</v>
      </c>
    </row>
    <row r="238" spans="1:8" ht="24.95" customHeight="1" thickBot="1" x14ac:dyDescent="0.3">
      <c r="A238" s="113"/>
      <c r="B238" s="113"/>
      <c r="C238" s="113"/>
      <c r="D238" s="113"/>
      <c r="E238" s="113"/>
      <c r="F238" s="119"/>
      <c r="G238" s="105"/>
      <c r="H238" s="52">
        <v>12</v>
      </c>
    </row>
    <row r="239" spans="1:8" ht="35.1" customHeight="1" thickBot="1" x14ac:dyDescent="0.3">
      <c r="A239" s="63" t="s">
        <v>134</v>
      </c>
      <c r="B239" s="61">
        <v>110</v>
      </c>
      <c r="C239" s="61"/>
      <c r="D239" s="62"/>
      <c r="E239" s="61"/>
      <c r="F239" s="119"/>
      <c r="G239" s="106"/>
      <c r="H239" s="38" t="s">
        <v>146</v>
      </c>
    </row>
    <row r="240" spans="1:8" ht="9.9499999999999993" customHeight="1" x14ac:dyDescent="0.25">
      <c r="A240" s="107" t="s">
        <v>136</v>
      </c>
      <c r="B240" s="96">
        <v>100</v>
      </c>
      <c r="C240" s="96"/>
      <c r="D240" s="96"/>
      <c r="E240" s="96"/>
      <c r="F240" s="119"/>
      <c r="G240" s="104" t="s">
        <v>136</v>
      </c>
      <c r="H240" s="54" t="s">
        <v>135</v>
      </c>
    </row>
    <row r="241" spans="1:8" ht="24.95" customHeight="1" thickBot="1" x14ac:dyDescent="0.3">
      <c r="A241" s="108"/>
      <c r="B241" s="97"/>
      <c r="C241" s="97"/>
      <c r="D241" s="97"/>
      <c r="E241" s="97"/>
      <c r="F241" s="119"/>
      <c r="G241" s="105"/>
      <c r="H241" s="53" t="s">
        <v>157</v>
      </c>
    </row>
    <row r="242" spans="1:8" ht="9.9499999999999993" customHeight="1" x14ac:dyDescent="0.25">
      <c r="A242" s="107" t="s">
        <v>137</v>
      </c>
      <c r="B242" s="98">
        <v>150</v>
      </c>
      <c r="C242" s="109"/>
      <c r="D242" s="96"/>
      <c r="E242" s="98"/>
      <c r="F242" s="119"/>
      <c r="G242" s="105"/>
      <c r="H242" s="55" t="s">
        <v>138</v>
      </c>
    </row>
    <row r="243" spans="1:8" ht="24.95" customHeight="1" thickBot="1" x14ac:dyDescent="0.3">
      <c r="A243" s="108"/>
      <c r="B243" s="99"/>
      <c r="C243" s="110"/>
      <c r="D243" s="97"/>
      <c r="E243" s="99"/>
      <c r="F243" s="119"/>
      <c r="G243" s="105"/>
      <c r="H243" s="52">
        <v>3</v>
      </c>
    </row>
    <row r="244" spans="1:8" ht="35.1" customHeight="1" thickBot="1" x14ac:dyDescent="0.3">
      <c r="A244" s="100" t="s">
        <v>145</v>
      </c>
      <c r="B244" s="101"/>
      <c r="C244" s="39" t="s">
        <v>139</v>
      </c>
      <c r="D244" s="102"/>
      <c r="E244" s="103"/>
      <c r="F244" s="120"/>
      <c r="G244" s="106"/>
      <c r="H244" s="38" t="s">
        <v>150</v>
      </c>
    </row>
    <row r="245" spans="1:8" ht="35.1" customHeight="1" x14ac:dyDescent="0.25"/>
    <row r="246" spans="1:8" ht="35.1" customHeight="1" thickBot="1" x14ac:dyDescent="0.3"/>
    <row r="247" spans="1:8" ht="9.9499999999999993" customHeight="1" x14ac:dyDescent="0.25">
      <c r="A247" s="92" t="s">
        <v>124</v>
      </c>
      <c r="B247" s="93"/>
      <c r="C247" s="93"/>
      <c r="D247" s="94" t="s">
        <v>125</v>
      </c>
      <c r="E247" s="93"/>
      <c r="F247" s="94" t="s">
        <v>126</v>
      </c>
      <c r="G247" s="93"/>
      <c r="H247" s="95"/>
    </row>
    <row r="248" spans="1:8" ht="20.100000000000001" customHeight="1" thickBot="1" x14ac:dyDescent="0.3">
      <c r="A248" s="114" t="s">
        <v>88</v>
      </c>
      <c r="B248" s="115"/>
      <c r="C248" s="115"/>
      <c r="D248" s="110" t="s">
        <v>67</v>
      </c>
      <c r="E248" s="111"/>
      <c r="F248" s="110"/>
      <c r="G248" s="111"/>
      <c r="H248" s="99"/>
    </row>
    <row r="249" spans="1:8" ht="9.9499999999999993" customHeight="1" x14ac:dyDescent="0.25">
      <c r="A249" s="94" t="s">
        <v>127</v>
      </c>
      <c r="B249" s="93"/>
      <c r="C249" s="95"/>
      <c r="D249" s="116" t="s">
        <v>128</v>
      </c>
      <c r="E249" s="117"/>
      <c r="F249" s="118"/>
      <c r="G249" s="121" t="s">
        <v>129</v>
      </c>
      <c r="H249" s="122"/>
    </row>
    <row r="250" spans="1:8" ht="20.100000000000001" customHeight="1" thickBot="1" x14ac:dyDescent="0.3">
      <c r="A250" s="127" t="s">
        <v>12</v>
      </c>
      <c r="B250" s="128"/>
      <c r="C250" s="129"/>
      <c r="D250" s="130" t="s">
        <v>89</v>
      </c>
      <c r="E250" s="131"/>
      <c r="F250" s="119"/>
      <c r="G250" s="123"/>
      <c r="H250" s="124"/>
    </row>
    <row r="251" spans="1:8" ht="9.9499999999999993" customHeight="1" x14ac:dyDescent="0.25">
      <c r="A251" s="94" t="s">
        <v>130</v>
      </c>
      <c r="B251" s="93"/>
      <c r="C251" s="56" t="s">
        <v>131</v>
      </c>
      <c r="D251" s="94" t="s">
        <v>132</v>
      </c>
      <c r="E251" s="95"/>
      <c r="F251" s="119"/>
      <c r="G251" s="123"/>
      <c r="H251" s="124"/>
    </row>
    <row r="252" spans="1:8" ht="20.100000000000001" customHeight="1" thickBot="1" x14ac:dyDescent="0.3">
      <c r="A252" s="110">
        <v>80.400000000000006</v>
      </c>
      <c r="B252" s="111"/>
      <c r="C252" s="64">
        <v>84</v>
      </c>
      <c r="D252" s="110">
        <v>9</v>
      </c>
      <c r="E252" s="99"/>
      <c r="F252" s="119"/>
      <c r="G252" s="125"/>
      <c r="H252" s="126"/>
    </row>
    <row r="253" spans="1:8" ht="9.9499999999999993" customHeight="1" x14ac:dyDescent="0.25">
      <c r="A253" s="112"/>
      <c r="B253" s="112">
        <v>1</v>
      </c>
      <c r="C253" s="112">
        <v>2</v>
      </c>
      <c r="D253" s="112">
        <v>3</v>
      </c>
      <c r="E253" s="112" t="s">
        <v>133</v>
      </c>
      <c r="F253" s="119"/>
      <c r="G253" s="104" t="s">
        <v>134</v>
      </c>
      <c r="H253" s="54" t="s">
        <v>135</v>
      </c>
    </row>
    <row r="254" spans="1:8" ht="24.95" customHeight="1" thickBot="1" x14ac:dyDescent="0.3">
      <c r="A254" s="113"/>
      <c r="B254" s="113"/>
      <c r="C254" s="113"/>
      <c r="D254" s="113"/>
      <c r="E254" s="113"/>
      <c r="F254" s="119"/>
      <c r="G254" s="105"/>
      <c r="H254" s="52">
        <v>13</v>
      </c>
    </row>
    <row r="255" spans="1:8" ht="35.1" customHeight="1" thickBot="1" x14ac:dyDescent="0.3">
      <c r="A255" s="63" t="s">
        <v>134</v>
      </c>
      <c r="B255" s="61">
        <v>75</v>
      </c>
      <c r="C255" s="61"/>
      <c r="D255" s="62"/>
      <c r="E255" s="61"/>
      <c r="F255" s="119"/>
      <c r="G255" s="106"/>
      <c r="H255" s="38" t="s">
        <v>146</v>
      </c>
    </row>
    <row r="256" spans="1:8" ht="9.9499999999999993" customHeight="1" x14ac:dyDescent="0.25">
      <c r="A256" s="107" t="s">
        <v>136</v>
      </c>
      <c r="B256" s="96">
        <v>40</v>
      </c>
      <c r="C256" s="96"/>
      <c r="D256" s="96"/>
      <c r="E256" s="96"/>
      <c r="F256" s="119"/>
      <c r="G256" s="104" t="s">
        <v>136</v>
      </c>
      <c r="H256" s="54" t="s">
        <v>135</v>
      </c>
    </row>
    <row r="257" spans="1:8" ht="24.95" customHeight="1" thickBot="1" x14ac:dyDescent="0.3">
      <c r="A257" s="108"/>
      <c r="B257" s="97"/>
      <c r="C257" s="97"/>
      <c r="D257" s="97"/>
      <c r="E257" s="97"/>
      <c r="F257" s="119"/>
      <c r="G257" s="105"/>
      <c r="H257" s="53" t="s">
        <v>151</v>
      </c>
    </row>
    <row r="258" spans="1:8" ht="9.9499999999999993" customHeight="1" x14ac:dyDescent="0.25">
      <c r="A258" s="107" t="s">
        <v>137</v>
      </c>
      <c r="B258" s="98">
        <v>90</v>
      </c>
      <c r="C258" s="109"/>
      <c r="D258" s="96"/>
      <c r="E258" s="98"/>
      <c r="F258" s="119"/>
      <c r="G258" s="105"/>
      <c r="H258" s="55" t="s">
        <v>138</v>
      </c>
    </row>
    <row r="259" spans="1:8" ht="24.95" customHeight="1" thickBot="1" x14ac:dyDescent="0.3">
      <c r="A259" s="108"/>
      <c r="B259" s="99"/>
      <c r="C259" s="110"/>
      <c r="D259" s="97"/>
      <c r="E259" s="99"/>
      <c r="F259" s="119"/>
      <c r="G259" s="105"/>
      <c r="H259" s="52">
        <v>5</v>
      </c>
    </row>
    <row r="260" spans="1:8" ht="35.1" customHeight="1" thickBot="1" x14ac:dyDescent="0.3">
      <c r="A260" s="100" t="s">
        <v>145</v>
      </c>
      <c r="B260" s="101"/>
      <c r="C260" s="39" t="s">
        <v>139</v>
      </c>
      <c r="D260" s="102"/>
      <c r="E260" s="103"/>
      <c r="F260" s="120"/>
      <c r="G260" s="106"/>
      <c r="H260" s="38" t="s">
        <v>147</v>
      </c>
    </row>
    <row r="261" spans="1:8" ht="35.1" customHeight="1" x14ac:dyDescent="0.25"/>
    <row r="262" spans="1:8" ht="35.1" customHeight="1" thickBot="1" x14ac:dyDescent="0.3"/>
    <row r="263" spans="1:8" ht="9.9499999999999993" customHeight="1" x14ac:dyDescent="0.25">
      <c r="A263" s="92" t="s">
        <v>124</v>
      </c>
      <c r="B263" s="93"/>
      <c r="C263" s="93"/>
      <c r="D263" s="94" t="s">
        <v>125</v>
      </c>
      <c r="E263" s="93"/>
      <c r="F263" s="94" t="s">
        <v>126</v>
      </c>
      <c r="G263" s="93"/>
      <c r="H263" s="95"/>
    </row>
    <row r="264" spans="1:8" ht="20.100000000000001" customHeight="1" thickBot="1" x14ac:dyDescent="0.3">
      <c r="A264" s="114" t="s">
        <v>73</v>
      </c>
      <c r="B264" s="115"/>
      <c r="C264" s="115"/>
      <c r="D264" s="110" t="s">
        <v>67</v>
      </c>
      <c r="E264" s="111"/>
      <c r="F264" s="110"/>
      <c r="G264" s="111"/>
      <c r="H264" s="99"/>
    </row>
    <row r="265" spans="1:8" ht="9.9499999999999993" customHeight="1" x14ac:dyDescent="0.25">
      <c r="A265" s="94" t="s">
        <v>127</v>
      </c>
      <c r="B265" s="93"/>
      <c r="C265" s="95"/>
      <c r="D265" s="116" t="s">
        <v>128</v>
      </c>
      <c r="E265" s="117"/>
      <c r="F265" s="118"/>
      <c r="G265" s="121" t="s">
        <v>129</v>
      </c>
      <c r="H265" s="122"/>
    </row>
    <row r="266" spans="1:8" ht="20.100000000000001" customHeight="1" thickBot="1" x14ac:dyDescent="0.3">
      <c r="A266" s="127" t="s">
        <v>10</v>
      </c>
      <c r="B266" s="128"/>
      <c r="C266" s="129"/>
      <c r="D266" s="130" t="s">
        <v>74</v>
      </c>
      <c r="E266" s="131"/>
      <c r="F266" s="119"/>
      <c r="G266" s="123"/>
      <c r="H266" s="124"/>
    </row>
    <row r="267" spans="1:8" ht="9.9499999999999993" customHeight="1" x14ac:dyDescent="0.25">
      <c r="A267" s="94" t="s">
        <v>130</v>
      </c>
      <c r="B267" s="93"/>
      <c r="C267" s="56" t="s">
        <v>131</v>
      </c>
      <c r="D267" s="94" t="s">
        <v>132</v>
      </c>
      <c r="E267" s="95"/>
      <c r="F267" s="119"/>
      <c r="G267" s="123"/>
      <c r="H267" s="124"/>
    </row>
    <row r="268" spans="1:8" ht="20.100000000000001" customHeight="1" thickBot="1" x14ac:dyDescent="0.3">
      <c r="A268" s="110">
        <v>97.35</v>
      </c>
      <c r="B268" s="111"/>
      <c r="C268" s="64" t="s">
        <v>160</v>
      </c>
      <c r="D268" s="110">
        <v>10</v>
      </c>
      <c r="E268" s="99"/>
      <c r="F268" s="119"/>
      <c r="G268" s="125"/>
      <c r="H268" s="126"/>
    </row>
    <row r="269" spans="1:8" ht="9.9499999999999993" customHeight="1" x14ac:dyDescent="0.25">
      <c r="A269" s="112"/>
      <c r="B269" s="112">
        <v>1</v>
      </c>
      <c r="C269" s="112">
        <v>2</v>
      </c>
      <c r="D269" s="112">
        <v>3</v>
      </c>
      <c r="E269" s="112" t="s">
        <v>133</v>
      </c>
      <c r="F269" s="119"/>
      <c r="G269" s="104" t="s">
        <v>134</v>
      </c>
      <c r="H269" s="54" t="s">
        <v>135</v>
      </c>
    </row>
    <row r="270" spans="1:8" ht="24.95" customHeight="1" thickBot="1" x14ac:dyDescent="0.3">
      <c r="A270" s="113"/>
      <c r="B270" s="113"/>
      <c r="C270" s="113"/>
      <c r="D270" s="113"/>
      <c r="E270" s="113"/>
      <c r="F270" s="119"/>
      <c r="G270" s="105"/>
      <c r="H270" s="52">
        <v>15</v>
      </c>
    </row>
    <row r="271" spans="1:8" ht="35.1" customHeight="1" thickBot="1" x14ac:dyDescent="0.3">
      <c r="A271" s="63" t="s">
        <v>134</v>
      </c>
      <c r="B271" s="61">
        <v>70</v>
      </c>
      <c r="C271" s="61"/>
      <c r="D271" s="62"/>
      <c r="E271" s="61"/>
      <c r="F271" s="119"/>
      <c r="G271" s="106"/>
      <c r="H271" s="38" t="s">
        <v>146</v>
      </c>
    </row>
    <row r="272" spans="1:8" ht="9.9499999999999993" customHeight="1" x14ac:dyDescent="0.25">
      <c r="A272" s="107" t="s">
        <v>136</v>
      </c>
      <c r="B272" s="96">
        <v>40</v>
      </c>
      <c r="C272" s="96"/>
      <c r="D272" s="96"/>
      <c r="E272" s="96"/>
      <c r="F272" s="119"/>
      <c r="G272" s="104" t="s">
        <v>136</v>
      </c>
      <c r="H272" s="54" t="s">
        <v>135</v>
      </c>
    </row>
    <row r="273" spans="1:8" ht="24.95" customHeight="1" thickBot="1" x14ac:dyDescent="0.3">
      <c r="A273" s="108"/>
      <c r="B273" s="97"/>
      <c r="C273" s="97"/>
      <c r="D273" s="97"/>
      <c r="E273" s="97"/>
      <c r="F273" s="119"/>
      <c r="G273" s="105"/>
      <c r="H273" s="53" t="s">
        <v>156</v>
      </c>
    </row>
    <row r="274" spans="1:8" ht="9.9499999999999993" customHeight="1" x14ac:dyDescent="0.25">
      <c r="A274" s="107" t="s">
        <v>137</v>
      </c>
      <c r="B274" s="98">
        <v>80</v>
      </c>
      <c r="C274" s="109"/>
      <c r="D274" s="96"/>
      <c r="E274" s="98"/>
      <c r="F274" s="119"/>
      <c r="G274" s="105"/>
      <c r="H274" s="55" t="s">
        <v>138</v>
      </c>
    </row>
    <row r="275" spans="1:8" ht="24.95" customHeight="1" thickBot="1" x14ac:dyDescent="0.3">
      <c r="A275" s="108"/>
      <c r="B275" s="99"/>
      <c r="C275" s="110"/>
      <c r="D275" s="97"/>
      <c r="E275" s="99"/>
      <c r="F275" s="119"/>
      <c r="G275" s="105"/>
      <c r="H275" s="52">
        <v>6</v>
      </c>
    </row>
    <row r="276" spans="1:8" ht="35.1" customHeight="1" thickBot="1" x14ac:dyDescent="0.3">
      <c r="A276" s="100" t="s">
        <v>145</v>
      </c>
      <c r="B276" s="101"/>
      <c r="C276" s="39" t="s">
        <v>139</v>
      </c>
      <c r="D276" s="102"/>
      <c r="E276" s="103"/>
      <c r="F276" s="120"/>
      <c r="G276" s="106"/>
      <c r="H276" s="38" t="s">
        <v>147</v>
      </c>
    </row>
    <row r="277" spans="1:8" ht="9.9499999999999993" customHeight="1" x14ac:dyDescent="0.25">
      <c r="A277" s="92" t="s">
        <v>124</v>
      </c>
      <c r="B277" s="93"/>
      <c r="C277" s="93"/>
      <c r="D277" s="94" t="s">
        <v>125</v>
      </c>
      <c r="E277" s="93"/>
      <c r="F277" s="94" t="s">
        <v>126</v>
      </c>
      <c r="G277" s="93"/>
      <c r="H277" s="95"/>
    </row>
    <row r="278" spans="1:8" ht="20.100000000000001" customHeight="1" thickBot="1" x14ac:dyDescent="0.3">
      <c r="A278" s="114" t="s">
        <v>95</v>
      </c>
      <c r="B278" s="115"/>
      <c r="C278" s="115"/>
      <c r="D278" s="110" t="s">
        <v>94</v>
      </c>
      <c r="E278" s="111"/>
      <c r="F278" s="110"/>
      <c r="G278" s="111"/>
      <c r="H278" s="99"/>
    </row>
    <row r="279" spans="1:8" ht="9.9499999999999993" customHeight="1" x14ac:dyDescent="0.25">
      <c r="A279" s="94" t="s">
        <v>127</v>
      </c>
      <c r="B279" s="93"/>
      <c r="C279" s="95"/>
      <c r="D279" s="116" t="s">
        <v>128</v>
      </c>
      <c r="E279" s="117"/>
      <c r="F279" s="118"/>
      <c r="G279" s="121" t="s">
        <v>129</v>
      </c>
      <c r="H279" s="122"/>
    </row>
    <row r="280" spans="1:8" ht="20.100000000000001" customHeight="1" thickBot="1" x14ac:dyDescent="0.3">
      <c r="A280" s="127" t="s">
        <v>12</v>
      </c>
      <c r="B280" s="128"/>
      <c r="C280" s="129"/>
      <c r="D280" s="130" t="s">
        <v>96</v>
      </c>
      <c r="E280" s="131"/>
      <c r="F280" s="119"/>
      <c r="G280" s="123"/>
      <c r="H280" s="124"/>
    </row>
    <row r="281" spans="1:8" ht="9.9499999999999993" customHeight="1" x14ac:dyDescent="0.25">
      <c r="A281" s="94" t="s">
        <v>130</v>
      </c>
      <c r="B281" s="93"/>
      <c r="C281" s="56" t="s">
        <v>131</v>
      </c>
      <c r="D281" s="94" t="s">
        <v>132</v>
      </c>
      <c r="E281" s="95"/>
      <c r="F281" s="119"/>
      <c r="G281" s="123"/>
      <c r="H281" s="124"/>
    </row>
    <row r="282" spans="1:8" ht="20.100000000000001" customHeight="1" thickBot="1" x14ac:dyDescent="0.3">
      <c r="A282" s="110">
        <v>127.25</v>
      </c>
      <c r="B282" s="111"/>
      <c r="C282" s="64" t="s">
        <v>161</v>
      </c>
      <c r="D282" s="110">
        <v>1</v>
      </c>
      <c r="E282" s="99"/>
      <c r="F282" s="119"/>
      <c r="G282" s="125"/>
      <c r="H282" s="126"/>
    </row>
    <row r="283" spans="1:8" ht="9.9499999999999993" customHeight="1" x14ac:dyDescent="0.25">
      <c r="A283" s="112"/>
      <c r="B283" s="112">
        <v>1</v>
      </c>
      <c r="C283" s="112">
        <v>2</v>
      </c>
      <c r="D283" s="112">
        <v>3</v>
      </c>
      <c r="E283" s="112" t="s">
        <v>133</v>
      </c>
      <c r="F283" s="119"/>
      <c r="G283" s="104" t="s">
        <v>134</v>
      </c>
      <c r="H283" s="54" t="s">
        <v>135</v>
      </c>
    </row>
    <row r="284" spans="1:8" ht="24.95" customHeight="1" thickBot="1" x14ac:dyDescent="0.3">
      <c r="A284" s="113"/>
      <c r="B284" s="113"/>
      <c r="C284" s="113"/>
      <c r="D284" s="113"/>
      <c r="E284" s="113"/>
      <c r="F284" s="119"/>
      <c r="G284" s="105"/>
      <c r="H284" s="52">
        <v>20</v>
      </c>
    </row>
    <row r="285" spans="1:8" ht="35.1" customHeight="1" thickBot="1" x14ac:dyDescent="0.3">
      <c r="A285" s="63" t="s">
        <v>134</v>
      </c>
      <c r="B285" s="61">
        <v>230</v>
      </c>
      <c r="C285" s="61"/>
      <c r="D285" s="62"/>
      <c r="E285" s="61"/>
      <c r="F285" s="119"/>
      <c r="G285" s="106"/>
      <c r="H285" s="38" t="s">
        <v>146</v>
      </c>
    </row>
    <row r="286" spans="1:8" ht="9.9499999999999993" customHeight="1" x14ac:dyDescent="0.25">
      <c r="A286" s="107" t="s">
        <v>136</v>
      </c>
      <c r="B286" s="96">
        <v>150</v>
      </c>
      <c r="C286" s="96"/>
      <c r="D286" s="96"/>
      <c r="E286" s="96"/>
      <c r="F286" s="119"/>
      <c r="G286" s="104" t="s">
        <v>136</v>
      </c>
      <c r="H286" s="54" t="s">
        <v>135</v>
      </c>
    </row>
    <row r="287" spans="1:8" ht="24.95" customHeight="1" thickBot="1" x14ac:dyDescent="0.3">
      <c r="A287" s="108"/>
      <c r="B287" s="97"/>
      <c r="C287" s="97"/>
      <c r="D287" s="97"/>
      <c r="E287" s="97"/>
      <c r="F287" s="119"/>
      <c r="G287" s="105"/>
      <c r="H287" s="53" t="s">
        <v>158</v>
      </c>
    </row>
    <row r="288" spans="1:8" ht="9.9499999999999993" customHeight="1" x14ac:dyDescent="0.25">
      <c r="A288" s="107" t="s">
        <v>137</v>
      </c>
      <c r="B288" s="98">
        <v>250</v>
      </c>
      <c r="C288" s="109"/>
      <c r="D288" s="96"/>
      <c r="E288" s="98"/>
      <c r="F288" s="119"/>
      <c r="G288" s="105"/>
      <c r="H288" s="55" t="s">
        <v>138</v>
      </c>
    </row>
    <row r="289" spans="1:8" ht="24.95" customHeight="1" thickBot="1" x14ac:dyDescent="0.3">
      <c r="A289" s="108"/>
      <c r="B289" s="99"/>
      <c r="C289" s="110"/>
      <c r="D289" s="97"/>
      <c r="E289" s="99"/>
      <c r="F289" s="119"/>
      <c r="G289" s="105"/>
      <c r="H289" s="52">
        <v>8</v>
      </c>
    </row>
    <row r="290" spans="1:8" ht="35.1" customHeight="1" thickBot="1" x14ac:dyDescent="0.3">
      <c r="A290" s="100" t="s">
        <v>145</v>
      </c>
      <c r="B290" s="101"/>
      <c r="C290" s="39" t="s">
        <v>139</v>
      </c>
      <c r="D290" s="102"/>
      <c r="E290" s="103"/>
      <c r="F290" s="120"/>
      <c r="G290" s="106"/>
      <c r="H290" s="38" t="s">
        <v>150</v>
      </c>
    </row>
    <row r="291" spans="1:8" ht="35.1" customHeight="1" x14ac:dyDescent="0.25"/>
    <row r="292" spans="1:8" ht="35.1" customHeight="1" thickBot="1" x14ac:dyDescent="0.3"/>
    <row r="293" spans="1:8" ht="9.9499999999999993" customHeight="1" x14ac:dyDescent="0.25">
      <c r="A293" s="92" t="s">
        <v>124</v>
      </c>
      <c r="B293" s="93"/>
      <c r="C293" s="93"/>
      <c r="D293" s="94" t="s">
        <v>125</v>
      </c>
      <c r="E293" s="93"/>
      <c r="F293" s="94" t="s">
        <v>126</v>
      </c>
      <c r="G293" s="93"/>
      <c r="H293" s="95"/>
    </row>
    <row r="294" spans="1:8" ht="20.100000000000001" customHeight="1" thickBot="1" x14ac:dyDescent="0.3">
      <c r="A294" s="114" t="s">
        <v>110</v>
      </c>
      <c r="B294" s="115"/>
      <c r="C294" s="115"/>
      <c r="D294" s="110" t="s">
        <v>94</v>
      </c>
      <c r="E294" s="111"/>
      <c r="F294" s="110"/>
      <c r="G294" s="111"/>
      <c r="H294" s="99"/>
    </row>
    <row r="295" spans="1:8" ht="9.9499999999999993" customHeight="1" x14ac:dyDescent="0.25">
      <c r="A295" s="94" t="s">
        <v>127</v>
      </c>
      <c r="B295" s="93"/>
      <c r="C295" s="95"/>
      <c r="D295" s="116" t="s">
        <v>128</v>
      </c>
      <c r="E295" s="117"/>
      <c r="F295" s="118"/>
      <c r="G295" s="121" t="s">
        <v>129</v>
      </c>
      <c r="H295" s="122"/>
    </row>
    <row r="296" spans="1:8" ht="20.100000000000001" customHeight="1" thickBot="1" x14ac:dyDescent="0.3">
      <c r="A296" s="127" t="s">
        <v>10</v>
      </c>
      <c r="B296" s="128"/>
      <c r="C296" s="129"/>
      <c r="D296" s="130" t="s">
        <v>111</v>
      </c>
      <c r="E296" s="131"/>
      <c r="F296" s="119"/>
      <c r="G296" s="123"/>
      <c r="H296" s="124"/>
    </row>
    <row r="297" spans="1:8" ht="9.9499999999999993" customHeight="1" x14ac:dyDescent="0.25">
      <c r="A297" s="94" t="s">
        <v>130</v>
      </c>
      <c r="B297" s="93"/>
      <c r="C297" s="56" t="s">
        <v>131</v>
      </c>
      <c r="D297" s="94" t="s">
        <v>132</v>
      </c>
      <c r="E297" s="95"/>
      <c r="F297" s="119"/>
      <c r="G297" s="123"/>
      <c r="H297" s="124"/>
    </row>
    <row r="298" spans="1:8" ht="20.100000000000001" customHeight="1" thickBot="1" x14ac:dyDescent="0.3">
      <c r="A298" s="110">
        <v>118.6</v>
      </c>
      <c r="B298" s="111"/>
      <c r="C298" s="64">
        <v>120</v>
      </c>
      <c r="D298" s="110">
        <v>2</v>
      </c>
      <c r="E298" s="99"/>
      <c r="F298" s="119"/>
      <c r="G298" s="125"/>
      <c r="H298" s="126"/>
    </row>
    <row r="299" spans="1:8" ht="9.9499999999999993" customHeight="1" x14ac:dyDescent="0.25">
      <c r="A299" s="112"/>
      <c r="B299" s="112">
        <v>1</v>
      </c>
      <c r="C299" s="112">
        <v>2</v>
      </c>
      <c r="D299" s="112">
        <v>3</v>
      </c>
      <c r="E299" s="112" t="s">
        <v>133</v>
      </c>
      <c r="F299" s="119"/>
      <c r="G299" s="104" t="s">
        <v>134</v>
      </c>
      <c r="H299" s="54" t="s">
        <v>135</v>
      </c>
    </row>
    <row r="300" spans="1:8" ht="24.95" customHeight="1" thickBot="1" x14ac:dyDescent="0.3">
      <c r="A300" s="113"/>
      <c r="B300" s="113"/>
      <c r="C300" s="113"/>
      <c r="D300" s="113"/>
      <c r="E300" s="113"/>
      <c r="F300" s="119"/>
      <c r="G300" s="105"/>
      <c r="H300" s="52">
        <v>18</v>
      </c>
    </row>
    <row r="301" spans="1:8" ht="35.1" customHeight="1" thickBot="1" x14ac:dyDescent="0.3">
      <c r="A301" s="63" t="s">
        <v>134</v>
      </c>
      <c r="B301" s="61">
        <v>220</v>
      </c>
      <c r="C301" s="61"/>
      <c r="D301" s="62"/>
      <c r="E301" s="61"/>
      <c r="F301" s="119"/>
      <c r="G301" s="106"/>
      <c r="H301" s="38" t="s">
        <v>146</v>
      </c>
    </row>
    <row r="302" spans="1:8" ht="9.9499999999999993" customHeight="1" x14ac:dyDescent="0.25">
      <c r="A302" s="107" t="s">
        <v>136</v>
      </c>
      <c r="B302" s="96">
        <v>150</v>
      </c>
      <c r="C302" s="96"/>
      <c r="D302" s="96"/>
      <c r="E302" s="96"/>
      <c r="F302" s="119"/>
      <c r="G302" s="104" t="s">
        <v>136</v>
      </c>
      <c r="H302" s="54" t="s">
        <v>135</v>
      </c>
    </row>
    <row r="303" spans="1:8" ht="24.95" customHeight="1" thickBot="1" x14ac:dyDescent="0.3">
      <c r="A303" s="108"/>
      <c r="B303" s="97"/>
      <c r="C303" s="97"/>
      <c r="D303" s="97"/>
      <c r="E303" s="97"/>
      <c r="F303" s="119"/>
      <c r="G303" s="105"/>
      <c r="H303" s="53" t="s">
        <v>159</v>
      </c>
    </row>
    <row r="304" spans="1:8" ht="9.9499999999999993" customHeight="1" x14ac:dyDescent="0.25">
      <c r="A304" s="107" t="s">
        <v>137</v>
      </c>
      <c r="B304" s="98">
        <v>240</v>
      </c>
      <c r="C304" s="109"/>
      <c r="D304" s="96"/>
      <c r="E304" s="98"/>
      <c r="F304" s="119"/>
      <c r="G304" s="105"/>
      <c r="H304" s="55" t="s">
        <v>138</v>
      </c>
    </row>
    <row r="305" spans="1:8" ht="24.95" customHeight="1" thickBot="1" x14ac:dyDescent="0.3">
      <c r="A305" s="108"/>
      <c r="B305" s="99"/>
      <c r="C305" s="110"/>
      <c r="D305" s="97"/>
      <c r="E305" s="99"/>
      <c r="F305" s="119"/>
      <c r="G305" s="105"/>
      <c r="H305" s="52">
        <v>7</v>
      </c>
    </row>
    <row r="306" spans="1:8" ht="35.1" customHeight="1" thickBot="1" x14ac:dyDescent="0.3">
      <c r="A306" s="100" t="s">
        <v>145</v>
      </c>
      <c r="B306" s="101"/>
      <c r="C306" s="39" t="s">
        <v>139</v>
      </c>
      <c r="D306" s="102"/>
      <c r="E306" s="103"/>
      <c r="F306" s="120"/>
      <c r="G306" s="106"/>
      <c r="H306" s="38" t="s">
        <v>147</v>
      </c>
    </row>
    <row r="307" spans="1:8" ht="35.1" customHeight="1" x14ac:dyDescent="0.25"/>
    <row r="308" spans="1:8" ht="35.1" customHeight="1" thickBot="1" x14ac:dyDescent="0.3"/>
    <row r="309" spans="1:8" ht="9.9499999999999993" customHeight="1" x14ac:dyDescent="0.25">
      <c r="A309" s="92" t="s">
        <v>124</v>
      </c>
      <c r="B309" s="93"/>
      <c r="C309" s="93"/>
      <c r="D309" s="94" t="s">
        <v>125</v>
      </c>
      <c r="E309" s="93"/>
      <c r="F309" s="94" t="s">
        <v>126</v>
      </c>
      <c r="G309" s="93"/>
      <c r="H309" s="95"/>
    </row>
    <row r="310" spans="1:8" ht="20.100000000000001" customHeight="1" thickBot="1" x14ac:dyDescent="0.3">
      <c r="A310" s="114" t="s">
        <v>105</v>
      </c>
      <c r="B310" s="115"/>
      <c r="C310" s="115"/>
      <c r="D310" s="110" t="s">
        <v>94</v>
      </c>
      <c r="E310" s="111"/>
      <c r="F310" s="110"/>
      <c r="G310" s="111"/>
      <c r="H310" s="99"/>
    </row>
    <row r="311" spans="1:8" ht="9.9499999999999993" customHeight="1" x14ac:dyDescent="0.25">
      <c r="A311" s="94" t="s">
        <v>127</v>
      </c>
      <c r="B311" s="93"/>
      <c r="C311" s="95"/>
      <c r="D311" s="116" t="s">
        <v>128</v>
      </c>
      <c r="E311" s="117"/>
      <c r="F311" s="118"/>
      <c r="G311" s="121" t="s">
        <v>129</v>
      </c>
      <c r="H311" s="122"/>
    </row>
    <row r="312" spans="1:8" ht="20.100000000000001" customHeight="1" thickBot="1" x14ac:dyDescent="0.3">
      <c r="A312" s="127" t="s">
        <v>12</v>
      </c>
      <c r="B312" s="128"/>
      <c r="C312" s="129"/>
      <c r="D312" s="130" t="s">
        <v>106</v>
      </c>
      <c r="E312" s="131"/>
      <c r="F312" s="119"/>
      <c r="G312" s="123"/>
      <c r="H312" s="124"/>
    </row>
    <row r="313" spans="1:8" ht="9.9499999999999993" customHeight="1" x14ac:dyDescent="0.25">
      <c r="A313" s="94" t="s">
        <v>130</v>
      </c>
      <c r="B313" s="93"/>
      <c r="C313" s="56" t="s">
        <v>131</v>
      </c>
      <c r="D313" s="94" t="s">
        <v>132</v>
      </c>
      <c r="E313" s="95"/>
      <c r="F313" s="119"/>
      <c r="G313" s="123"/>
      <c r="H313" s="124"/>
    </row>
    <row r="314" spans="1:8" ht="20.100000000000001" customHeight="1" thickBot="1" x14ac:dyDescent="0.3">
      <c r="A314" s="110">
        <v>73</v>
      </c>
      <c r="B314" s="111"/>
      <c r="C314" s="64">
        <v>74</v>
      </c>
      <c r="D314" s="110">
        <v>3</v>
      </c>
      <c r="E314" s="99"/>
      <c r="F314" s="119"/>
      <c r="G314" s="125"/>
      <c r="H314" s="126"/>
    </row>
    <row r="315" spans="1:8" ht="9.9499999999999993" customHeight="1" x14ac:dyDescent="0.25">
      <c r="A315" s="112"/>
      <c r="B315" s="112">
        <v>1</v>
      </c>
      <c r="C315" s="112">
        <v>2</v>
      </c>
      <c r="D315" s="112">
        <v>3</v>
      </c>
      <c r="E315" s="112" t="s">
        <v>133</v>
      </c>
      <c r="F315" s="119"/>
      <c r="G315" s="104" t="s">
        <v>134</v>
      </c>
      <c r="H315" s="54" t="s">
        <v>135</v>
      </c>
    </row>
    <row r="316" spans="1:8" ht="24.95" customHeight="1" thickBot="1" x14ac:dyDescent="0.3">
      <c r="A316" s="113"/>
      <c r="B316" s="113"/>
      <c r="C316" s="113"/>
      <c r="D316" s="113"/>
      <c r="E316" s="113"/>
      <c r="F316" s="119"/>
      <c r="G316" s="105"/>
      <c r="H316" s="52">
        <v>14</v>
      </c>
    </row>
    <row r="317" spans="1:8" ht="35.1" customHeight="1" thickBot="1" x14ac:dyDescent="0.3">
      <c r="A317" s="63" t="s">
        <v>134</v>
      </c>
      <c r="B317" s="61">
        <v>170</v>
      </c>
      <c r="C317" s="61"/>
      <c r="D317" s="62"/>
      <c r="E317" s="61"/>
      <c r="F317" s="119"/>
      <c r="G317" s="106"/>
      <c r="H317" s="38" t="s">
        <v>146</v>
      </c>
    </row>
    <row r="318" spans="1:8" ht="9.9499999999999993" customHeight="1" x14ac:dyDescent="0.25">
      <c r="A318" s="107" t="s">
        <v>136</v>
      </c>
      <c r="B318" s="96">
        <v>117.5</v>
      </c>
      <c r="C318" s="96"/>
      <c r="D318" s="96"/>
      <c r="E318" s="96"/>
      <c r="F318" s="119"/>
      <c r="G318" s="104" t="s">
        <v>136</v>
      </c>
      <c r="H318" s="54" t="s">
        <v>135</v>
      </c>
    </row>
    <row r="319" spans="1:8" ht="24.95" customHeight="1" thickBot="1" x14ac:dyDescent="0.3">
      <c r="A319" s="108"/>
      <c r="B319" s="97"/>
      <c r="C319" s="97"/>
      <c r="D319" s="97"/>
      <c r="E319" s="97"/>
      <c r="F319" s="119"/>
      <c r="G319" s="105"/>
      <c r="H319" s="53" t="s">
        <v>157</v>
      </c>
    </row>
    <row r="320" spans="1:8" ht="9.9499999999999993" customHeight="1" x14ac:dyDescent="0.25">
      <c r="A320" s="107" t="s">
        <v>137</v>
      </c>
      <c r="B320" s="98">
        <v>215</v>
      </c>
      <c r="C320" s="109"/>
      <c r="D320" s="96"/>
      <c r="E320" s="98"/>
      <c r="F320" s="119"/>
      <c r="G320" s="105"/>
      <c r="H320" s="55" t="s">
        <v>138</v>
      </c>
    </row>
    <row r="321" spans="1:8" ht="24.95" customHeight="1" thickBot="1" x14ac:dyDescent="0.3">
      <c r="A321" s="108"/>
      <c r="B321" s="99"/>
      <c r="C321" s="110"/>
      <c r="D321" s="97"/>
      <c r="E321" s="99"/>
      <c r="F321" s="119"/>
      <c r="G321" s="105"/>
      <c r="H321" s="52">
        <v>6</v>
      </c>
    </row>
    <row r="322" spans="1:8" ht="35.1" customHeight="1" thickBot="1" x14ac:dyDescent="0.3">
      <c r="A322" s="100" t="s">
        <v>145</v>
      </c>
      <c r="B322" s="101"/>
      <c r="C322" s="39" t="s">
        <v>139</v>
      </c>
      <c r="D322" s="102"/>
      <c r="E322" s="103"/>
      <c r="F322" s="120"/>
      <c r="G322" s="106"/>
      <c r="H322" s="38" t="s">
        <v>147</v>
      </c>
    </row>
    <row r="323" spans="1:8" ht="9.9499999999999993" customHeight="1" x14ac:dyDescent="0.25">
      <c r="A323" s="92" t="s">
        <v>124</v>
      </c>
      <c r="B323" s="93"/>
      <c r="C323" s="93"/>
      <c r="D323" s="94" t="s">
        <v>125</v>
      </c>
      <c r="E323" s="93"/>
      <c r="F323" s="94" t="s">
        <v>126</v>
      </c>
      <c r="G323" s="93"/>
      <c r="H323" s="95"/>
    </row>
    <row r="324" spans="1:8" ht="20.100000000000001" customHeight="1" thickBot="1" x14ac:dyDescent="0.3">
      <c r="A324" s="114" t="s">
        <v>120</v>
      </c>
      <c r="B324" s="115"/>
      <c r="C324" s="115"/>
      <c r="D324" s="110" t="s">
        <v>94</v>
      </c>
      <c r="E324" s="111"/>
      <c r="F324" s="110"/>
      <c r="G324" s="111"/>
      <c r="H324" s="99"/>
    </row>
    <row r="325" spans="1:8" ht="9.9499999999999993" customHeight="1" x14ac:dyDescent="0.25">
      <c r="A325" s="94" t="s">
        <v>127</v>
      </c>
      <c r="B325" s="93"/>
      <c r="C325" s="95"/>
      <c r="D325" s="116" t="s">
        <v>128</v>
      </c>
      <c r="E325" s="117"/>
      <c r="F325" s="118"/>
      <c r="G325" s="121" t="s">
        <v>129</v>
      </c>
      <c r="H325" s="122"/>
    </row>
    <row r="326" spans="1:8" ht="20.100000000000001" customHeight="1" thickBot="1" x14ac:dyDescent="0.3">
      <c r="A326" s="127" t="s">
        <v>25</v>
      </c>
      <c r="B326" s="128"/>
      <c r="C326" s="129"/>
      <c r="D326" s="130" t="s">
        <v>121</v>
      </c>
      <c r="E326" s="131"/>
      <c r="F326" s="119"/>
      <c r="G326" s="123"/>
      <c r="H326" s="124"/>
    </row>
    <row r="327" spans="1:8" ht="9.9499999999999993" customHeight="1" x14ac:dyDescent="0.25">
      <c r="A327" s="94" t="s">
        <v>130</v>
      </c>
      <c r="B327" s="93"/>
      <c r="C327" s="56" t="s">
        <v>131</v>
      </c>
      <c r="D327" s="94" t="s">
        <v>132</v>
      </c>
      <c r="E327" s="95"/>
      <c r="F327" s="119"/>
      <c r="G327" s="123"/>
      <c r="H327" s="124"/>
    </row>
    <row r="328" spans="1:8" ht="20.100000000000001" customHeight="1" thickBot="1" x14ac:dyDescent="0.3">
      <c r="A328" s="110">
        <v>96.05</v>
      </c>
      <c r="B328" s="111"/>
      <c r="C328" s="64">
        <v>105</v>
      </c>
      <c r="D328" s="110">
        <v>4</v>
      </c>
      <c r="E328" s="99"/>
      <c r="F328" s="119"/>
      <c r="G328" s="125"/>
      <c r="H328" s="126"/>
    </row>
    <row r="329" spans="1:8" ht="9.9499999999999993" customHeight="1" x14ac:dyDescent="0.25">
      <c r="A329" s="112"/>
      <c r="B329" s="112">
        <v>1</v>
      </c>
      <c r="C329" s="112">
        <v>2</v>
      </c>
      <c r="D329" s="112">
        <v>3</v>
      </c>
      <c r="E329" s="112" t="s">
        <v>133</v>
      </c>
      <c r="F329" s="119"/>
      <c r="G329" s="104" t="s">
        <v>134</v>
      </c>
      <c r="H329" s="54" t="s">
        <v>135</v>
      </c>
    </row>
    <row r="330" spans="1:8" ht="24.95" customHeight="1" thickBot="1" x14ac:dyDescent="0.3">
      <c r="A330" s="113"/>
      <c r="B330" s="113"/>
      <c r="C330" s="113"/>
      <c r="D330" s="113"/>
      <c r="E330" s="113"/>
      <c r="F330" s="119"/>
      <c r="G330" s="105"/>
      <c r="H330" s="52">
        <v>15</v>
      </c>
    </row>
    <row r="331" spans="1:8" ht="35.1" customHeight="1" thickBot="1" x14ac:dyDescent="0.3">
      <c r="A331" s="63" t="s">
        <v>134</v>
      </c>
      <c r="B331" s="61">
        <v>145</v>
      </c>
      <c r="C331" s="61"/>
      <c r="D331" s="62"/>
      <c r="E331" s="61"/>
      <c r="F331" s="119"/>
      <c r="G331" s="106"/>
      <c r="H331" s="38" t="s">
        <v>153</v>
      </c>
    </row>
    <row r="332" spans="1:8" ht="9.9499999999999993" customHeight="1" x14ac:dyDescent="0.25">
      <c r="A332" s="107" t="s">
        <v>136</v>
      </c>
      <c r="B332" s="96">
        <v>120</v>
      </c>
      <c r="C332" s="96"/>
      <c r="D332" s="96"/>
      <c r="E332" s="96"/>
      <c r="F332" s="119"/>
      <c r="G332" s="104" t="s">
        <v>136</v>
      </c>
      <c r="H332" s="54" t="s">
        <v>135</v>
      </c>
    </row>
    <row r="333" spans="1:8" ht="24.95" customHeight="1" thickBot="1" x14ac:dyDescent="0.3">
      <c r="A333" s="108"/>
      <c r="B333" s="97"/>
      <c r="C333" s="97"/>
      <c r="D333" s="97"/>
      <c r="E333" s="97"/>
      <c r="F333" s="119"/>
      <c r="G333" s="105"/>
      <c r="H333" s="53" t="s">
        <v>157</v>
      </c>
    </row>
    <row r="334" spans="1:8" ht="9.9499999999999993" customHeight="1" x14ac:dyDescent="0.25">
      <c r="A334" s="107" t="s">
        <v>137</v>
      </c>
      <c r="B334" s="98">
        <v>190</v>
      </c>
      <c r="C334" s="109"/>
      <c r="D334" s="96"/>
      <c r="E334" s="98"/>
      <c r="F334" s="119"/>
      <c r="G334" s="105"/>
      <c r="H334" s="55" t="s">
        <v>138</v>
      </c>
    </row>
    <row r="335" spans="1:8" ht="24.95" customHeight="1" thickBot="1" x14ac:dyDescent="0.3">
      <c r="A335" s="108"/>
      <c r="B335" s="99"/>
      <c r="C335" s="110"/>
      <c r="D335" s="97"/>
      <c r="E335" s="99"/>
      <c r="F335" s="119"/>
      <c r="G335" s="105"/>
      <c r="H335" s="52">
        <v>3</v>
      </c>
    </row>
    <row r="336" spans="1:8" ht="35.1" customHeight="1" thickBot="1" x14ac:dyDescent="0.3">
      <c r="A336" s="100" t="s">
        <v>152</v>
      </c>
      <c r="B336" s="101"/>
      <c r="C336" s="39" t="s">
        <v>139</v>
      </c>
      <c r="D336" s="102"/>
      <c r="E336" s="103"/>
      <c r="F336" s="120"/>
      <c r="G336" s="106"/>
      <c r="H336" s="38" t="s">
        <v>150</v>
      </c>
    </row>
    <row r="337" spans="1:8" ht="35.1" customHeight="1" x14ac:dyDescent="0.25"/>
    <row r="338" spans="1:8" ht="35.1" customHeight="1" thickBot="1" x14ac:dyDescent="0.3"/>
    <row r="339" spans="1:8" ht="9.9499999999999993" customHeight="1" x14ac:dyDescent="0.25">
      <c r="A339" s="92" t="s">
        <v>124</v>
      </c>
      <c r="B339" s="93"/>
      <c r="C339" s="93"/>
      <c r="D339" s="94" t="s">
        <v>125</v>
      </c>
      <c r="E339" s="93"/>
      <c r="F339" s="94" t="s">
        <v>126</v>
      </c>
      <c r="G339" s="93"/>
      <c r="H339" s="95"/>
    </row>
    <row r="340" spans="1:8" ht="20.100000000000001" customHeight="1" thickBot="1" x14ac:dyDescent="0.3">
      <c r="A340" s="114" t="s">
        <v>115</v>
      </c>
      <c r="B340" s="115"/>
      <c r="C340" s="115"/>
      <c r="D340" s="110" t="s">
        <v>94</v>
      </c>
      <c r="E340" s="111"/>
      <c r="F340" s="110"/>
      <c r="G340" s="111"/>
      <c r="H340" s="99"/>
    </row>
    <row r="341" spans="1:8" ht="9.9499999999999993" customHeight="1" x14ac:dyDescent="0.25">
      <c r="A341" s="94" t="s">
        <v>127</v>
      </c>
      <c r="B341" s="93"/>
      <c r="C341" s="95"/>
      <c r="D341" s="116" t="s">
        <v>128</v>
      </c>
      <c r="E341" s="117"/>
      <c r="F341" s="118"/>
      <c r="G341" s="121" t="s">
        <v>129</v>
      </c>
      <c r="H341" s="122"/>
    </row>
    <row r="342" spans="1:8" ht="20.100000000000001" customHeight="1" thickBot="1" x14ac:dyDescent="0.3">
      <c r="A342" s="127" t="s">
        <v>12</v>
      </c>
      <c r="B342" s="128"/>
      <c r="C342" s="129"/>
      <c r="D342" s="130" t="s">
        <v>116</v>
      </c>
      <c r="E342" s="131"/>
      <c r="F342" s="119"/>
      <c r="G342" s="123"/>
      <c r="H342" s="124"/>
    </row>
    <row r="343" spans="1:8" ht="9.9499999999999993" customHeight="1" x14ac:dyDescent="0.25">
      <c r="A343" s="94" t="s">
        <v>130</v>
      </c>
      <c r="B343" s="93"/>
      <c r="C343" s="56" t="s">
        <v>131</v>
      </c>
      <c r="D343" s="94" t="s">
        <v>132</v>
      </c>
      <c r="E343" s="95"/>
      <c r="F343" s="119"/>
      <c r="G343" s="123"/>
      <c r="H343" s="124"/>
    </row>
    <row r="344" spans="1:8" ht="20.100000000000001" customHeight="1" thickBot="1" x14ac:dyDescent="0.3">
      <c r="A344" s="110">
        <v>73.2</v>
      </c>
      <c r="B344" s="111"/>
      <c r="C344" s="64">
        <v>74</v>
      </c>
      <c r="D344" s="110">
        <v>5</v>
      </c>
      <c r="E344" s="99"/>
      <c r="F344" s="119"/>
      <c r="G344" s="125"/>
      <c r="H344" s="126"/>
    </row>
    <row r="345" spans="1:8" ht="9.9499999999999993" customHeight="1" x14ac:dyDescent="0.25">
      <c r="A345" s="112"/>
      <c r="B345" s="112">
        <v>1</v>
      </c>
      <c r="C345" s="112">
        <v>2</v>
      </c>
      <c r="D345" s="112">
        <v>3</v>
      </c>
      <c r="E345" s="112" t="s">
        <v>133</v>
      </c>
      <c r="F345" s="119"/>
      <c r="G345" s="104" t="s">
        <v>134</v>
      </c>
      <c r="H345" s="54" t="s">
        <v>135</v>
      </c>
    </row>
    <row r="346" spans="1:8" ht="24.95" customHeight="1" thickBot="1" x14ac:dyDescent="0.3">
      <c r="A346" s="113"/>
      <c r="B346" s="113"/>
      <c r="C346" s="113"/>
      <c r="D346" s="113"/>
      <c r="E346" s="113"/>
      <c r="F346" s="119"/>
      <c r="G346" s="105"/>
      <c r="H346" s="52">
        <v>13</v>
      </c>
    </row>
    <row r="347" spans="1:8" ht="35.1" customHeight="1" thickBot="1" x14ac:dyDescent="0.3">
      <c r="A347" s="63" t="s">
        <v>134</v>
      </c>
      <c r="B347" s="61">
        <v>185</v>
      </c>
      <c r="C347" s="61"/>
      <c r="D347" s="62"/>
      <c r="E347" s="61"/>
      <c r="F347" s="119"/>
      <c r="G347" s="106"/>
      <c r="H347" s="38" t="s">
        <v>146</v>
      </c>
    </row>
    <row r="348" spans="1:8" ht="9.9499999999999993" customHeight="1" x14ac:dyDescent="0.25">
      <c r="A348" s="107" t="s">
        <v>136</v>
      </c>
      <c r="B348" s="96">
        <v>122.5</v>
      </c>
      <c r="C348" s="96"/>
      <c r="D348" s="96"/>
      <c r="E348" s="96"/>
      <c r="F348" s="119"/>
      <c r="G348" s="104" t="s">
        <v>136</v>
      </c>
      <c r="H348" s="54" t="s">
        <v>135</v>
      </c>
    </row>
    <row r="349" spans="1:8" ht="24.95" customHeight="1" thickBot="1" x14ac:dyDescent="0.3">
      <c r="A349" s="108"/>
      <c r="B349" s="97"/>
      <c r="C349" s="97"/>
      <c r="D349" s="97"/>
      <c r="E349" s="97"/>
      <c r="F349" s="119"/>
      <c r="G349" s="105"/>
      <c r="H349" s="53" t="s">
        <v>151</v>
      </c>
    </row>
    <row r="350" spans="1:8" ht="9.9499999999999993" customHeight="1" x14ac:dyDescent="0.25">
      <c r="A350" s="107" t="s">
        <v>137</v>
      </c>
      <c r="B350" s="98">
        <v>205</v>
      </c>
      <c r="C350" s="109"/>
      <c r="D350" s="96"/>
      <c r="E350" s="98"/>
      <c r="F350" s="119"/>
      <c r="G350" s="105"/>
      <c r="H350" s="55" t="s">
        <v>138</v>
      </c>
    </row>
    <row r="351" spans="1:8" ht="24.95" customHeight="1" thickBot="1" x14ac:dyDescent="0.3">
      <c r="A351" s="108"/>
      <c r="B351" s="99"/>
      <c r="C351" s="110"/>
      <c r="D351" s="97"/>
      <c r="E351" s="99"/>
      <c r="F351" s="119"/>
      <c r="G351" s="105"/>
      <c r="H351" s="52">
        <v>6</v>
      </c>
    </row>
    <row r="352" spans="1:8" ht="35.1" customHeight="1" thickBot="1" x14ac:dyDescent="0.3">
      <c r="A352" s="100" t="s">
        <v>145</v>
      </c>
      <c r="B352" s="101"/>
      <c r="C352" s="39" t="s">
        <v>139</v>
      </c>
      <c r="D352" s="102"/>
      <c r="E352" s="103"/>
      <c r="F352" s="120"/>
      <c r="G352" s="106"/>
      <c r="H352" s="38" t="s">
        <v>147</v>
      </c>
    </row>
    <row r="353" spans="1:8" ht="35.1" customHeight="1" x14ac:dyDescent="0.25"/>
    <row r="354" spans="1:8" ht="35.1" customHeight="1" thickBot="1" x14ac:dyDescent="0.3"/>
    <row r="355" spans="1:8" ht="9.9499999999999993" customHeight="1" x14ac:dyDescent="0.25">
      <c r="A355" s="92" t="s">
        <v>124</v>
      </c>
      <c r="B355" s="93"/>
      <c r="C355" s="93"/>
      <c r="D355" s="94" t="s">
        <v>125</v>
      </c>
      <c r="E355" s="93"/>
      <c r="F355" s="94" t="s">
        <v>126</v>
      </c>
      <c r="G355" s="93"/>
      <c r="H355" s="95"/>
    </row>
    <row r="356" spans="1:8" ht="20.100000000000001" customHeight="1" thickBot="1" x14ac:dyDescent="0.3">
      <c r="A356" s="114" t="s">
        <v>122</v>
      </c>
      <c r="B356" s="115"/>
      <c r="C356" s="115"/>
      <c r="D356" s="110" t="s">
        <v>94</v>
      </c>
      <c r="E356" s="111"/>
      <c r="F356" s="110"/>
      <c r="G356" s="111"/>
      <c r="H356" s="99"/>
    </row>
    <row r="357" spans="1:8" ht="9.9499999999999993" customHeight="1" x14ac:dyDescent="0.25">
      <c r="A357" s="94" t="s">
        <v>127</v>
      </c>
      <c r="B357" s="93"/>
      <c r="C357" s="95"/>
      <c r="D357" s="116" t="s">
        <v>128</v>
      </c>
      <c r="E357" s="117"/>
      <c r="F357" s="118"/>
      <c r="G357" s="121" t="s">
        <v>129</v>
      </c>
      <c r="H357" s="122"/>
    </row>
    <row r="358" spans="1:8" ht="20.100000000000001" customHeight="1" thickBot="1" x14ac:dyDescent="0.3">
      <c r="A358" s="127" t="s">
        <v>12</v>
      </c>
      <c r="B358" s="128"/>
      <c r="C358" s="129"/>
      <c r="D358" s="130" t="s">
        <v>123</v>
      </c>
      <c r="E358" s="131"/>
      <c r="F358" s="119"/>
      <c r="G358" s="123"/>
      <c r="H358" s="124"/>
    </row>
    <row r="359" spans="1:8" ht="9.9499999999999993" customHeight="1" x14ac:dyDescent="0.25">
      <c r="A359" s="94" t="s">
        <v>130</v>
      </c>
      <c r="B359" s="93"/>
      <c r="C359" s="56" t="s">
        <v>131</v>
      </c>
      <c r="D359" s="94" t="s">
        <v>132</v>
      </c>
      <c r="E359" s="95"/>
      <c r="F359" s="119"/>
      <c r="G359" s="123"/>
      <c r="H359" s="124"/>
    </row>
    <row r="360" spans="1:8" ht="20.100000000000001" customHeight="1" thickBot="1" x14ac:dyDescent="0.3">
      <c r="A360" s="110">
        <v>81.7</v>
      </c>
      <c r="B360" s="111"/>
      <c r="C360" s="64">
        <v>83</v>
      </c>
      <c r="D360" s="110">
        <v>6</v>
      </c>
      <c r="E360" s="99"/>
      <c r="F360" s="119"/>
      <c r="G360" s="125"/>
      <c r="H360" s="126"/>
    </row>
    <row r="361" spans="1:8" ht="9.9499999999999993" customHeight="1" x14ac:dyDescent="0.25">
      <c r="A361" s="112"/>
      <c r="B361" s="112">
        <v>1</v>
      </c>
      <c r="C361" s="112">
        <v>2</v>
      </c>
      <c r="D361" s="112">
        <v>3</v>
      </c>
      <c r="E361" s="112" t="s">
        <v>133</v>
      </c>
      <c r="F361" s="119"/>
      <c r="G361" s="104" t="s">
        <v>134</v>
      </c>
      <c r="H361" s="54" t="s">
        <v>135</v>
      </c>
    </row>
    <row r="362" spans="1:8" ht="24.95" customHeight="1" thickBot="1" x14ac:dyDescent="0.3">
      <c r="A362" s="113"/>
      <c r="B362" s="113"/>
      <c r="C362" s="113"/>
      <c r="D362" s="113"/>
      <c r="E362" s="113"/>
      <c r="F362" s="119"/>
      <c r="G362" s="105"/>
      <c r="H362" s="52">
        <v>15</v>
      </c>
    </row>
    <row r="363" spans="1:8" ht="35.1" customHeight="1" thickBot="1" x14ac:dyDescent="0.3">
      <c r="A363" s="63" t="s">
        <v>134</v>
      </c>
      <c r="B363" s="61">
        <v>150</v>
      </c>
      <c r="C363" s="61"/>
      <c r="D363" s="62"/>
      <c r="E363" s="61"/>
      <c r="F363" s="119"/>
      <c r="G363" s="106"/>
      <c r="H363" s="38" t="s">
        <v>146</v>
      </c>
    </row>
    <row r="364" spans="1:8" ht="9.9499999999999993" customHeight="1" x14ac:dyDescent="0.25">
      <c r="A364" s="107" t="s">
        <v>136</v>
      </c>
      <c r="B364" s="96">
        <v>100</v>
      </c>
      <c r="C364" s="96"/>
      <c r="D364" s="96"/>
      <c r="E364" s="96"/>
      <c r="F364" s="119"/>
      <c r="G364" s="104" t="s">
        <v>136</v>
      </c>
      <c r="H364" s="54" t="s">
        <v>135</v>
      </c>
    </row>
    <row r="365" spans="1:8" ht="24.95" customHeight="1" thickBot="1" x14ac:dyDescent="0.3">
      <c r="A365" s="108"/>
      <c r="B365" s="97"/>
      <c r="C365" s="97"/>
      <c r="D365" s="97"/>
      <c r="E365" s="97"/>
      <c r="F365" s="119"/>
      <c r="G365" s="105"/>
      <c r="H365" s="53" t="s">
        <v>157</v>
      </c>
    </row>
    <row r="366" spans="1:8" ht="9.9499999999999993" customHeight="1" x14ac:dyDescent="0.25">
      <c r="A366" s="107" t="s">
        <v>137</v>
      </c>
      <c r="B366" s="98">
        <v>230</v>
      </c>
      <c r="C366" s="109"/>
      <c r="D366" s="96"/>
      <c r="E366" s="98"/>
      <c r="F366" s="119"/>
      <c r="G366" s="105"/>
      <c r="H366" s="55" t="s">
        <v>138</v>
      </c>
    </row>
    <row r="367" spans="1:8" ht="24.95" customHeight="1" thickBot="1" x14ac:dyDescent="0.3">
      <c r="A367" s="108"/>
      <c r="B367" s="99"/>
      <c r="C367" s="110"/>
      <c r="D367" s="97"/>
      <c r="E367" s="99"/>
      <c r="F367" s="119"/>
      <c r="G367" s="105"/>
      <c r="H367" s="52">
        <v>3</v>
      </c>
    </row>
    <row r="368" spans="1:8" ht="35.1" customHeight="1" thickBot="1" x14ac:dyDescent="0.3">
      <c r="A368" s="100" t="s">
        <v>145</v>
      </c>
      <c r="B368" s="101"/>
      <c r="C368" s="39" t="s">
        <v>139</v>
      </c>
      <c r="D368" s="102"/>
      <c r="E368" s="103"/>
      <c r="F368" s="120"/>
      <c r="G368" s="106"/>
      <c r="H368" s="38" t="s">
        <v>150</v>
      </c>
    </row>
    <row r="369" spans="1:8" ht="9.9499999999999993" customHeight="1" x14ac:dyDescent="0.25">
      <c r="A369" s="92" t="s">
        <v>124</v>
      </c>
      <c r="B369" s="93"/>
      <c r="C369" s="93"/>
      <c r="D369" s="94" t="s">
        <v>125</v>
      </c>
      <c r="E369" s="93"/>
      <c r="F369" s="94" t="s">
        <v>126</v>
      </c>
      <c r="G369" s="93"/>
      <c r="H369" s="95"/>
    </row>
    <row r="370" spans="1:8" ht="20.100000000000001" customHeight="1" thickBot="1" x14ac:dyDescent="0.3">
      <c r="A370" s="114" t="s">
        <v>98</v>
      </c>
      <c r="B370" s="115"/>
      <c r="C370" s="115"/>
      <c r="D370" s="110" t="s">
        <v>94</v>
      </c>
      <c r="E370" s="111"/>
      <c r="F370" s="110"/>
      <c r="G370" s="111"/>
      <c r="H370" s="99"/>
    </row>
    <row r="371" spans="1:8" ht="9.9499999999999993" customHeight="1" x14ac:dyDescent="0.25">
      <c r="A371" s="94" t="s">
        <v>127</v>
      </c>
      <c r="B371" s="93"/>
      <c r="C371" s="95"/>
      <c r="D371" s="116" t="s">
        <v>128</v>
      </c>
      <c r="E371" s="117"/>
      <c r="F371" s="118"/>
      <c r="G371" s="121" t="s">
        <v>129</v>
      </c>
      <c r="H371" s="122"/>
    </row>
    <row r="372" spans="1:8" ht="20.100000000000001" customHeight="1" thickBot="1" x14ac:dyDescent="0.3">
      <c r="A372" s="127" t="s">
        <v>10</v>
      </c>
      <c r="B372" s="128"/>
      <c r="C372" s="129"/>
      <c r="D372" s="130" t="s">
        <v>99</v>
      </c>
      <c r="E372" s="131"/>
      <c r="F372" s="119"/>
      <c r="G372" s="123"/>
      <c r="H372" s="124"/>
    </row>
    <row r="373" spans="1:8" ht="9.9499999999999993" customHeight="1" x14ac:dyDescent="0.25">
      <c r="A373" s="94" t="s">
        <v>130</v>
      </c>
      <c r="B373" s="93"/>
      <c r="C373" s="56" t="s">
        <v>131</v>
      </c>
      <c r="D373" s="94" t="s">
        <v>132</v>
      </c>
      <c r="E373" s="95"/>
      <c r="F373" s="119"/>
      <c r="G373" s="123"/>
      <c r="H373" s="124"/>
    </row>
    <row r="374" spans="1:8" ht="20.100000000000001" customHeight="1" thickBot="1" x14ac:dyDescent="0.3">
      <c r="A374" s="110">
        <v>92.5</v>
      </c>
      <c r="B374" s="111"/>
      <c r="C374" s="64">
        <v>93</v>
      </c>
      <c r="D374" s="110">
        <v>7</v>
      </c>
      <c r="E374" s="99"/>
      <c r="F374" s="119"/>
      <c r="G374" s="125"/>
      <c r="H374" s="126"/>
    </row>
    <row r="375" spans="1:8" ht="9.9499999999999993" customHeight="1" x14ac:dyDescent="0.25">
      <c r="A375" s="112"/>
      <c r="B375" s="112">
        <v>1</v>
      </c>
      <c r="C375" s="112">
        <v>2</v>
      </c>
      <c r="D375" s="112">
        <v>3</v>
      </c>
      <c r="E375" s="112" t="s">
        <v>133</v>
      </c>
      <c r="F375" s="119"/>
      <c r="G375" s="104" t="s">
        <v>134</v>
      </c>
      <c r="H375" s="54" t="s">
        <v>135</v>
      </c>
    </row>
    <row r="376" spans="1:8" ht="24.95" customHeight="1" thickBot="1" x14ac:dyDescent="0.3">
      <c r="A376" s="113"/>
      <c r="B376" s="113"/>
      <c r="C376" s="113"/>
      <c r="D376" s="113"/>
      <c r="E376" s="113"/>
      <c r="F376" s="119"/>
      <c r="G376" s="105"/>
      <c r="H376" s="52">
        <v>13</v>
      </c>
    </row>
    <row r="377" spans="1:8" ht="35.1" customHeight="1" thickBot="1" x14ac:dyDescent="0.3">
      <c r="A377" s="63" t="s">
        <v>134</v>
      </c>
      <c r="B377" s="61">
        <v>180</v>
      </c>
      <c r="C377" s="61"/>
      <c r="D377" s="62"/>
      <c r="E377" s="61"/>
      <c r="F377" s="119"/>
      <c r="G377" s="106"/>
      <c r="H377" s="38" t="s">
        <v>146</v>
      </c>
    </row>
    <row r="378" spans="1:8" ht="9.9499999999999993" customHeight="1" x14ac:dyDescent="0.25">
      <c r="A378" s="107" t="s">
        <v>136</v>
      </c>
      <c r="B378" s="96">
        <v>115</v>
      </c>
      <c r="C378" s="96"/>
      <c r="D378" s="96"/>
      <c r="E378" s="96"/>
      <c r="F378" s="119"/>
      <c r="G378" s="104" t="s">
        <v>136</v>
      </c>
      <c r="H378" s="54" t="s">
        <v>135</v>
      </c>
    </row>
    <row r="379" spans="1:8" ht="24.95" customHeight="1" thickBot="1" x14ac:dyDescent="0.3">
      <c r="A379" s="108"/>
      <c r="B379" s="97"/>
      <c r="C379" s="97"/>
      <c r="D379" s="97"/>
      <c r="E379" s="97"/>
      <c r="F379" s="119"/>
      <c r="G379" s="105"/>
      <c r="H379" s="53" t="s">
        <v>157</v>
      </c>
    </row>
    <row r="380" spans="1:8" ht="9.9499999999999993" customHeight="1" x14ac:dyDescent="0.25">
      <c r="A380" s="107" t="s">
        <v>137</v>
      </c>
      <c r="B380" s="98">
        <v>220</v>
      </c>
      <c r="C380" s="109"/>
      <c r="D380" s="96"/>
      <c r="E380" s="98"/>
      <c r="F380" s="119"/>
      <c r="G380" s="105"/>
      <c r="H380" s="55" t="s">
        <v>138</v>
      </c>
    </row>
    <row r="381" spans="1:8" ht="24.95" customHeight="1" thickBot="1" x14ac:dyDescent="0.3">
      <c r="A381" s="108"/>
      <c r="B381" s="99"/>
      <c r="C381" s="110"/>
      <c r="D381" s="97"/>
      <c r="E381" s="99"/>
      <c r="F381" s="119"/>
      <c r="G381" s="105"/>
      <c r="H381" s="52">
        <v>6</v>
      </c>
    </row>
    <row r="382" spans="1:8" ht="35.1" customHeight="1" thickBot="1" x14ac:dyDescent="0.3">
      <c r="A382" s="100" t="s">
        <v>145</v>
      </c>
      <c r="B382" s="101"/>
      <c r="C382" s="39" t="s">
        <v>139</v>
      </c>
      <c r="D382" s="102"/>
      <c r="E382" s="103"/>
      <c r="F382" s="120"/>
      <c r="G382" s="106"/>
      <c r="H382" s="38" t="s">
        <v>147</v>
      </c>
    </row>
    <row r="383" spans="1:8" ht="35.1" customHeight="1" x14ac:dyDescent="0.25"/>
    <row r="384" spans="1:8" ht="35.1" customHeight="1" thickBot="1" x14ac:dyDescent="0.3"/>
    <row r="385" spans="1:8" ht="9.9499999999999993" customHeight="1" x14ac:dyDescent="0.25">
      <c r="A385" s="92" t="s">
        <v>124</v>
      </c>
      <c r="B385" s="93"/>
      <c r="C385" s="93"/>
      <c r="D385" s="94" t="s">
        <v>125</v>
      </c>
      <c r="E385" s="93"/>
      <c r="F385" s="94" t="s">
        <v>126</v>
      </c>
      <c r="G385" s="93"/>
      <c r="H385" s="95"/>
    </row>
    <row r="386" spans="1:8" ht="20.100000000000001" customHeight="1" thickBot="1" x14ac:dyDescent="0.3">
      <c r="A386" s="114" t="s">
        <v>117</v>
      </c>
      <c r="B386" s="115"/>
      <c r="C386" s="115"/>
      <c r="D386" s="110" t="s">
        <v>94</v>
      </c>
      <c r="E386" s="111"/>
      <c r="F386" s="110"/>
      <c r="G386" s="111"/>
      <c r="H386" s="99"/>
    </row>
    <row r="387" spans="1:8" ht="9.9499999999999993" customHeight="1" x14ac:dyDescent="0.25">
      <c r="A387" s="94" t="s">
        <v>127</v>
      </c>
      <c r="B387" s="93"/>
      <c r="C387" s="95"/>
      <c r="D387" s="116" t="s">
        <v>128</v>
      </c>
      <c r="E387" s="117"/>
      <c r="F387" s="118"/>
      <c r="G387" s="121" t="s">
        <v>129</v>
      </c>
      <c r="H387" s="122"/>
    </row>
    <row r="388" spans="1:8" ht="20.100000000000001" customHeight="1" thickBot="1" x14ac:dyDescent="0.3">
      <c r="A388" s="127" t="s">
        <v>12</v>
      </c>
      <c r="B388" s="128"/>
      <c r="C388" s="129"/>
      <c r="D388" s="130" t="s">
        <v>118</v>
      </c>
      <c r="E388" s="131"/>
      <c r="F388" s="119"/>
      <c r="G388" s="123"/>
      <c r="H388" s="124"/>
    </row>
    <row r="389" spans="1:8" ht="9.9499999999999993" customHeight="1" x14ac:dyDescent="0.25">
      <c r="A389" s="94" t="s">
        <v>130</v>
      </c>
      <c r="B389" s="93"/>
      <c r="C389" s="56" t="s">
        <v>131</v>
      </c>
      <c r="D389" s="94" t="s">
        <v>132</v>
      </c>
      <c r="E389" s="95"/>
      <c r="F389" s="119"/>
      <c r="G389" s="123"/>
      <c r="H389" s="124"/>
    </row>
    <row r="390" spans="1:8" ht="20.100000000000001" customHeight="1" thickBot="1" x14ac:dyDescent="0.3">
      <c r="A390" s="110">
        <v>73.2</v>
      </c>
      <c r="B390" s="111"/>
      <c r="C390" s="64">
        <v>74</v>
      </c>
      <c r="D390" s="110">
        <v>8</v>
      </c>
      <c r="E390" s="99"/>
      <c r="F390" s="119"/>
      <c r="G390" s="125"/>
      <c r="H390" s="126"/>
    </row>
    <row r="391" spans="1:8" ht="9.9499999999999993" customHeight="1" x14ac:dyDescent="0.25">
      <c r="A391" s="112"/>
      <c r="B391" s="112">
        <v>1</v>
      </c>
      <c r="C391" s="112">
        <v>2</v>
      </c>
      <c r="D391" s="112">
        <v>3</v>
      </c>
      <c r="E391" s="112" t="s">
        <v>133</v>
      </c>
      <c r="F391" s="119"/>
      <c r="G391" s="104" t="s">
        <v>134</v>
      </c>
      <c r="H391" s="54" t="s">
        <v>135</v>
      </c>
    </row>
    <row r="392" spans="1:8" ht="24.95" customHeight="1" thickBot="1" x14ac:dyDescent="0.3">
      <c r="A392" s="113"/>
      <c r="B392" s="113"/>
      <c r="C392" s="113"/>
      <c r="D392" s="113"/>
      <c r="E392" s="113"/>
      <c r="F392" s="119"/>
      <c r="G392" s="105"/>
      <c r="H392" s="52">
        <v>13</v>
      </c>
    </row>
    <row r="393" spans="1:8" ht="35.1" customHeight="1" thickBot="1" x14ac:dyDescent="0.3">
      <c r="A393" s="63" t="s">
        <v>134</v>
      </c>
      <c r="B393" s="61">
        <v>175</v>
      </c>
      <c r="C393" s="61"/>
      <c r="D393" s="62"/>
      <c r="E393" s="61"/>
      <c r="F393" s="119"/>
      <c r="G393" s="106"/>
      <c r="H393" s="38" t="s">
        <v>146</v>
      </c>
    </row>
    <row r="394" spans="1:8" ht="9.9499999999999993" customHeight="1" x14ac:dyDescent="0.25">
      <c r="A394" s="107" t="s">
        <v>136</v>
      </c>
      <c r="B394" s="96">
        <v>117.5</v>
      </c>
      <c r="C394" s="96"/>
      <c r="D394" s="96"/>
      <c r="E394" s="96"/>
      <c r="F394" s="119"/>
      <c r="G394" s="104" t="s">
        <v>136</v>
      </c>
      <c r="H394" s="54" t="s">
        <v>135</v>
      </c>
    </row>
    <row r="395" spans="1:8" ht="24.95" customHeight="1" thickBot="1" x14ac:dyDescent="0.3">
      <c r="A395" s="108"/>
      <c r="B395" s="97"/>
      <c r="C395" s="97"/>
      <c r="D395" s="97"/>
      <c r="E395" s="97"/>
      <c r="F395" s="119"/>
      <c r="G395" s="105"/>
      <c r="H395" s="53" t="s">
        <v>151</v>
      </c>
    </row>
    <row r="396" spans="1:8" ht="9.9499999999999993" customHeight="1" x14ac:dyDescent="0.25">
      <c r="A396" s="107" t="s">
        <v>137</v>
      </c>
      <c r="B396" s="98">
        <v>202.5</v>
      </c>
      <c r="C396" s="109"/>
      <c r="D396" s="96"/>
      <c r="E396" s="98"/>
      <c r="F396" s="119"/>
      <c r="G396" s="105"/>
      <c r="H396" s="55" t="s">
        <v>138</v>
      </c>
    </row>
    <row r="397" spans="1:8" ht="24.95" customHeight="1" thickBot="1" x14ac:dyDescent="0.3">
      <c r="A397" s="108"/>
      <c r="B397" s="99"/>
      <c r="C397" s="110"/>
      <c r="D397" s="97"/>
      <c r="E397" s="99"/>
      <c r="F397" s="119"/>
      <c r="G397" s="105"/>
      <c r="H397" s="52">
        <v>3</v>
      </c>
    </row>
    <row r="398" spans="1:8" ht="35.1" customHeight="1" thickBot="1" x14ac:dyDescent="0.3">
      <c r="A398" s="100" t="s">
        <v>145</v>
      </c>
      <c r="B398" s="101"/>
      <c r="C398" s="39" t="s">
        <v>139</v>
      </c>
      <c r="D398" s="102"/>
      <c r="E398" s="103"/>
      <c r="F398" s="120"/>
      <c r="G398" s="106"/>
      <c r="H398" s="38" t="s">
        <v>147</v>
      </c>
    </row>
    <row r="399" spans="1:8" ht="35.1" customHeight="1" x14ac:dyDescent="0.25"/>
    <row r="400" spans="1:8" ht="35.1" customHeight="1" thickBot="1" x14ac:dyDescent="0.3"/>
    <row r="401" spans="1:8" ht="9.9499999999999993" customHeight="1" x14ac:dyDescent="0.25">
      <c r="A401" s="92" t="s">
        <v>124</v>
      </c>
      <c r="B401" s="93"/>
      <c r="C401" s="93"/>
      <c r="D401" s="94" t="s">
        <v>125</v>
      </c>
      <c r="E401" s="93"/>
      <c r="F401" s="94" t="s">
        <v>126</v>
      </c>
      <c r="G401" s="93"/>
      <c r="H401" s="95"/>
    </row>
    <row r="402" spans="1:8" ht="20.100000000000001" customHeight="1" thickBot="1" x14ac:dyDescent="0.3">
      <c r="A402" s="114" t="s">
        <v>101</v>
      </c>
      <c r="B402" s="115"/>
      <c r="C402" s="115"/>
      <c r="D402" s="110" t="s">
        <v>94</v>
      </c>
      <c r="E402" s="111"/>
      <c r="F402" s="110"/>
      <c r="G402" s="111"/>
      <c r="H402" s="99"/>
    </row>
    <row r="403" spans="1:8" ht="9.9499999999999993" customHeight="1" x14ac:dyDescent="0.25">
      <c r="A403" s="94" t="s">
        <v>127</v>
      </c>
      <c r="B403" s="93"/>
      <c r="C403" s="95"/>
      <c r="D403" s="116" t="s">
        <v>128</v>
      </c>
      <c r="E403" s="117"/>
      <c r="F403" s="118"/>
      <c r="G403" s="121" t="s">
        <v>129</v>
      </c>
      <c r="H403" s="122"/>
    </row>
    <row r="404" spans="1:8" ht="20.100000000000001" customHeight="1" thickBot="1" x14ac:dyDescent="0.3">
      <c r="A404" s="127" t="s">
        <v>12</v>
      </c>
      <c r="B404" s="128"/>
      <c r="C404" s="129"/>
      <c r="D404" s="130" t="s">
        <v>102</v>
      </c>
      <c r="E404" s="131"/>
      <c r="F404" s="119"/>
      <c r="G404" s="123"/>
      <c r="H404" s="124"/>
    </row>
    <row r="405" spans="1:8" ht="9.9499999999999993" customHeight="1" x14ac:dyDescent="0.25">
      <c r="A405" s="94" t="s">
        <v>130</v>
      </c>
      <c r="B405" s="93"/>
      <c r="C405" s="56" t="s">
        <v>131</v>
      </c>
      <c r="D405" s="94" t="s">
        <v>132</v>
      </c>
      <c r="E405" s="95"/>
      <c r="F405" s="119"/>
      <c r="G405" s="123"/>
      <c r="H405" s="124"/>
    </row>
    <row r="406" spans="1:8" ht="20.100000000000001" customHeight="1" thickBot="1" x14ac:dyDescent="0.3">
      <c r="A406" s="110">
        <v>75.599999999999994</v>
      </c>
      <c r="B406" s="111"/>
      <c r="C406" s="64">
        <v>83</v>
      </c>
      <c r="D406" s="110">
        <v>9</v>
      </c>
      <c r="E406" s="99"/>
      <c r="F406" s="119"/>
      <c r="G406" s="125"/>
      <c r="H406" s="126"/>
    </row>
    <row r="407" spans="1:8" ht="9.9499999999999993" customHeight="1" x14ac:dyDescent="0.25">
      <c r="A407" s="112"/>
      <c r="B407" s="112">
        <v>1</v>
      </c>
      <c r="C407" s="112">
        <v>2</v>
      </c>
      <c r="D407" s="112">
        <v>3</v>
      </c>
      <c r="E407" s="112" t="s">
        <v>133</v>
      </c>
      <c r="F407" s="119"/>
      <c r="G407" s="104" t="s">
        <v>134</v>
      </c>
      <c r="H407" s="54" t="s">
        <v>135</v>
      </c>
    </row>
    <row r="408" spans="1:8" ht="24.95" customHeight="1" thickBot="1" x14ac:dyDescent="0.3">
      <c r="A408" s="113"/>
      <c r="B408" s="113"/>
      <c r="C408" s="113"/>
      <c r="D408" s="113"/>
      <c r="E408" s="113"/>
      <c r="F408" s="119"/>
      <c r="G408" s="105"/>
      <c r="H408" s="52">
        <v>13</v>
      </c>
    </row>
    <row r="409" spans="1:8" ht="35.1" customHeight="1" thickBot="1" x14ac:dyDescent="0.3">
      <c r="A409" s="63" t="s">
        <v>134</v>
      </c>
      <c r="B409" s="61">
        <v>147.5</v>
      </c>
      <c r="C409" s="61"/>
      <c r="D409" s="62"/>
      <c r="E409" s="61"/>
      <c r="F409" s="119"/>
      <c r="G409" s="106"/>
      <c r="H409" s="38" t="s">
        <v>146</v>
      </c>
    </row>
    <row r="410" spans="1:8" ht="9.9499999999999993" customHeight="1" x14ac:dyDescent="0.25">
      <c r="A410" s="107" t="s">
        <v>136</v>
      </c>
      <c r="B410" s="96">
        <v>95</v>
      </c>
      <c r="C410" s="96"/>
      <c r="D410" s="96"/>
      <c r="E410" s="96"/>
      <c r="F410" s="119"/>
      <c r="G410" s="104" t="s">
        <v>136</v>
      </c>
      <c r="H410" s="54" t="s">
        <v>135</v>
      </c>
    </row>
    <row r="411" spans="1:8" ht="24.95" customHeight="1" thickBot="1" x14ac:dyDescent="0.3">
      <c r="A411" s="108"/>
      <c r="B411" s="97"/>
      <c r="C411" s="97"/>
      <c r="D411" s="97"/>
      <c r="E411" s="97"/>
      <c r="F411" s="119"/>
      <c r="G411" s="105"/>
      <c r="H411" s="53" t="s">
        <v>151</v>
      </c>
    </row>
    <row r="412" spans="1:8" ht="9.9499999999999993" customHeight="1" x14ac:dyDescent="0.25">
      <c r="A412" s="107" t="s">
        <v>137</v>
      </c>
      <c r="B412" s="98">
        <v>187.5</v>
      </c>
      <c r="C412" s="109"/>
      <c r="D412" s="96"/>
      <c r="E412" s="98"/>
      <c r="F412" s="119"/>
      <c r="G412" s="105"/>
      <c r="H412" s="55" t="s">
        <v>138</v>
      </c>
    </row>
    <row r="413" spans="1:8" ht="24.95" customHeight="1" thickBot="1" x14ac:dyDescent="0.3">
      <c r="A413" s="108"/>
      <c r="B413" s="99"/>
      <c r="C413" s="110"/>
      <c r="D413" s="97"/>
      <c r="E413" s="99"/>
      <c r="F413" s="119"/>
      <c r="G413" s="105"/>
      <c r="H413" s="52">
        <v>6</v>
      </c>
    </row>
    <row r="414" spans="1:8" ht="35.1" customHeight="1" thickBot="1" x14ac:dyDescent="0.3">
      <c r="A414" s="100" t="s">
        <v>145</v>
      </c>
      <c r="B414" s="101"/>
      <c r="C414" s="39" t="s">
        <v>139</v>
      </c>
      <c r="D414" s="102"/>
      <c r="E414" s="103"/>
      <c r="F414" s="120"/>
      <c r="G414" s="106"/>
      <c r="H414" s="38" t="s">
        <v>147</v>
      </c>
    </row>
    <row r="415" spans="1:8" ht="9.9499999999999993" customHeight="1" x14ac:dyDescent="0.25">
      <c r="A415" s="92" t="s">
        <v>124</v>
      </c>
      <c r="B415" s="93"/>
      <c r="C415" s="93"/>
      <c r="D415" s="94" t="s">
        <v>125</v>
      </c>
      <c r="E415" s="93"/>
      <c r="F415" s="94" t="s">
        <v>126</v>
      </c>
      <c r="G415" s="93"/>
      <c r="H415" s="95"/>
    </row>
    <row r="416" spans="1:8" ht="20.100000000000001" customHeight="1" thickBot="1" x14ac:dyDescent="0.3">
      <c r="A416" s="114" t="s">
        <v>103</v>
      </c>
      <c r="B416" s="115"/>
      <c r="C416" s="115"/>
      <c r="D416" s="110" t="s">
        <v>94</v>
      </c>
      <c r="E416" s="111"/>
      <c r="F416" s="110"/>
      <c r="G416" s="111"/>
      <c r="H416" s="99"/>
    </row>
    <row r="417" spans="1:8" ht="9.9499999999999993" customHeight="1" x14ac:dyDescent="0.25">
      <c r="A417" s="94" t="s">
        <v>127</v>
      </c>
      <c r="B417" s="93"/>
      <c r="C417" s="95"/>
      <c r="D417" s="116" t="s">
        <v>128</v>
      </c>
      <c r="E417" s="117"/>
      <c r="F417" s="118"/>
      <c r="G417" s="121" t="s">
        <v>129</v>
      </c>
      <c r="H417" s="122"/>
    </row>
    <row r="418" spans="1:8" ht="20.100000000000001" customHeight="1" thickBot="1" x14ac:dyDescent="0.3">
      <c r="A418" s="127" t="s">
        <v>25</v>
      </c>
      <c r="B418" s="128"/>
      <c r="C418" s="129"/>
      <c r="D418" s="130" t="s">
        <v>104</v>
      </c>
      <c r="E418" s="131"/>
      <c r="F418" s="119"/>
      <c r="G418" s="123"/>
      <c r="H418" s="124"/>
    </row>
    <row r="419" spans="1:8" ht="9.9499999999999993" customHeight="1" x14ac:dyDescent="0.25">
      <c r="A419" s="94" t="s">
        <v>130</v>
      </c>
      <c r="B419" s="93"/>
      <c r="C419" s="56" t="s">
        <v>131</v>
      </c>
      <c r="D419" s="94" t="s">
        <v>132</v>
      </c>
      <c r="E419" s="95"/>
      <c r="F419" s="119"/>
      <c r="G419" s="123"/>
      <c r="H419" s="124"/>
    </row>
    <row r="420" spans="1:8" ht="20.100000000000001" customHeight="1" thickBot="1" x14ac:dyDescent="0.3">
      <c r="A420" s="110">
        <v>142.69999999999999</v>
      </c>
      <c r="B420" s="111"/>
      <c r="C420" s="64" t="s">
        <v>161</v>
      </c>
      <c r="D420" s="110">
        <v>10</v>
      </c>
      <c r="E420" s="99"/>
      <c r="F420" s="119"/>
      <c r="G420" s="125"/>
      <c r="H420" s="126"/>
    </row>
    <row r="421" spans="1:8" ht="9.9499999999999993" customHeight="1" x14ac:dyDescent="0.25">
      <c r="A421" s="112"/>
      <c r="B421" s="112">
        <v>1</v>
      </c>
      <c r="C421" s="112">
        <v>2</v>
      </c>
      <c r="D421" s="112">
        <v>3</v>
      </c>
      <c r="E421" s="112" t="s">
        <v>133</v>
      </c>
      <c r="F421" s="119"/>
      <c r="G421" s="104" t="s">
        <v>134</v>
      </c>
      <c r="H421" s="54" t="s">
        <v>135</v>
      </c>
    </row>
    <row r="422" spans="1:8" ht="24.95" customHeight="1" thickBot="1" x14ac:dyDescent="0.3">
      <c r="A422" s="113"/>
      <c r="B422" s="113"/>
      <c r="C422" s="113"/>
      <c r="D422" s="113"/>
      <c r="E422" s="113"/>
      <c r="F422" s="119"/>
      <c r="G422" s="105"/>
      <c r="H422" s="52">
        <v>15</v>
      </c>
    </row>
    <row r="423" spans="1:8" ht="35.1" customHeight="1" thickBot="1" x14ac:dyDescent="0.3">
      <c r="A423" s="63" t="s">
        <v>134</v>
      </c>
      <c r="B423" s="61">
        <v>280</v>
      </c>
      <c r="C423" s="61"/>
      <c r="D423" s="62"/>
      <c r="E423" s="61"/>
      <c r="F423" s="119"/>
      <c r="G423" s="106"/>
      <c r="H423" s="38" t="s">
        <v>146</v>
      </c>
    </row>
    <row r="424" spans="1:8" ht="9.9499999999999993" customHeight="1" x14ac:dyDescent="0.25">
      <c r="A424" s="107" t="s">
        <v>136</v>
      </c>
      <c r="B424" s="96">
        <v>180</v>
      </c>
      <c r="C424" s="96"/>
      <c r="D424" s="96"/>
      <c r="E424" s="96"/>
      <c r="F424" s="119"/>
      <c r="G424" s="104" t="s">
        <v>136</v>
      </c>
      <c r="H424" s="54" t="s">
        <v>135</v>
      </c>
    </row>
    <row r="425" spans="1:8" ht="24.95" customHeight="1" thickBot="1" x14ac:dyDescent="0.3">
      <c r="A425" s="108"/>
      <c r="B425" s="97"/>
      <c r="C425" s="97"/>
      <c r="D425" s="97"/>
      <c r="E425" s="97"/>
      <c r="F425" s="119"/>
      <c r="G425" s="105"/>
      <c r="H425" s="53" t="s">
        <v>157</v>
      </c>
    </row>
    <row r="426" spans="1:8" ht="9.9499999999999993" customHeight="1" x14ac:dyDescent="0.25">
      <c r="A426" s="107" t="s">
        <v>137</v>
      </c>
      <c r="B426" s="98">
        <v>280</v>
      </c>
      <c r="C426" s="109"/>
      <c r="D426" s="96"/>
      <c r="E426" s="98"/>
      <c r="F426" s="119"/>
      <c r="G426" s="105"/>
      <c r="H426" s="55" t="s">
        <v>138</v>
      </c>
    </row>
    <row r="427" spans="1:8" ht="24.95" customHeight="1" thickBot="1" x14ac:dyDescent="0.3">
      <c r="A427" s="108"/>
      <c r="B427" s="99"/>
      <c r="C427" s="110"/>
      <c r="D427" s="97"/>
      <c r="E427" s="99"/>
      <c r="F427" s="119"/>
      <c r="G427" s="105"/>
      <c r="H427" s="52">
        <v>3</v>
      </c>
    </row>
    <row r="428" spans="1:8" ht="35.1" customHeight="1" thickBot="1" x14ac:dyDescent="0.3">
      <c r="A428" s="100" t="s">
        <v>145</v>
      </c>
      <c r="B428" s="101"/>
      <c r="C428" s="39" t="s">
        <v>139</v>
      </c>
      <c r="D428" s="102"/>
      <c r="E428" s="103"/>
      <c r="F428" s="120"/>
      <c r="G428" s="106"/>
      <c r="H428" s="38" t="s">
        <v>150</v>
      </c>
    </row>
    <row r="429" spans="1:8" ht="35.1" customHeight="1" x14ac:dyDescent="0.25"/>
    <row r="430" spans="1:8" ht="35.1" customHeight="1" thickBot="1" x14ac:dyDescent="0.3"/>
    <row r="431" spans="1:8" ht="9.9499999999999993" customHeight="1" x14ac:dyDescent="0.25">
      <c r="A431" s="92" t="s">
        <v>124</v>
      </c>
      <c r="B431" s="93"/>
      <c r="C431" s="93"/>
      <c r="D431" s="94" t="s">
        <v>125</v>
      </c>
      <c r="E431" s="93"/>
      <c r="F431" s="94" t="s">
        <v>126</v>
      </c>
      <c r="G431" s="93"/>
      <c r="H431" s="95"/>
    </row>
    <row r="432" spans="1:8" ht="20.100000000000001" customHeight="1" thickBot="1" x14ac:dyDescent="0.3">
      <c r="A432" s="114" t="s">
        <v>107</v>
      </c>
      <c r="B432" s="115"/>
      <c r="C432" s="115"/>
      <c r="D432" s="110" t="s">
        <v>94</v>
      </c>
      <c r="E432" s="111"/>
      <c r="F432" s="110"/>
      <c r="G432" s="111"/>
      <c r="H432" s="99"/>
    </row>
    <row r="433" spans="1:8" ht="9.9499999999999993" customHeight="1" x14ac:dyDescent="0.25">
      <c r="A433" s="94" t="s">
        <v>127</v>
      </c>
      <c r="B433" s="93"/>
      <c r="C433" s="95"/>
      <c r="D433" s="116" t="s">
        <v>128</v>
      </c>
      <c r="E433" s="117"/>
      <c r="F433" s="118"/>
      <c r="G433" s="121" t="s">
        <v>129</v>
      </c>
      <c r="H433" s="122"/>
    </row>
    <row r="434" spans="1:8" ht="20.100000000000001" customHeight="1" thickBot="1" x14ac:dyDescent="0.3">
      <c r="A434" s="127" t="s">
        <v>12</v>
      </c>
      <c r="B434" s="128"/>
      <c r="C434" s="129"/>
      <c r="D434" s="130" t="s">
        <v>108</v>
      </c>
      <c r="E434" s="131"/>
      <c r="F434" s="119"/>
      <c r="G434" s="123"/>
      <c r="H434" s="124"/>
    </row>
    <row r="435" spans="1:8" ht="9.9499999999999993" customHeight="1" x14ac:dyDescent="0.25">
      <c r="A435" s="94" t="s">
        <v>130</v>
      </c>
      <c r="B435" s="93"/>
      <c r="C435" s="56" t="s">
        <v>131</v>
      </c>
      <c r="D435" s="94" t="s">
        <v>132</v>
      </c>
      <c r="E435" s="95"/>
      <c r="F435" s="119"/>
      <c r="G435" s="123"/>
      <c r="H435" s="124"/>
    </row>
    <row r="436" spans="1:8" ht="20.100000000000001" customHeight="1" thickBot="1" x14ac:dyDescent="0.3">
      <c r="A436" s="110">
        <v>115.15</v>
      </c>
      <c r="B436" s="111"/>
      <c r="C436" s="64">
        <v>120</v>
      </c>
      <c r="D436" s="110">
        <v>11</v>
      </c>
      <c r="E436" s="99"/>
      <c r="F436" s="119"/>
      <c r="G436" s="125"/>
      <c r="H436" s="126"/>
    </row>
    <row r="437" spans="1:8" ht="9.9499999999999993" customHeight="1" x14ac:dyDescent="0.25">
      <c r="A437" s="112"/>
      <c r="B437" s="112">
        <v>1</v>
      </c>
      <c r="C437" s="112">
        <v>2</v>
      </c>
      <c r="D437" s="112">
        <v>3</v>
      </c>
      <c r="E437" s="112" t="s">
        <v>133</v>
      </c>
      <c r="F437" s="119"/>
      <c r="G437" s="104" t="s">
        <v>134</v>
      </c>
      <c r="H437" s="54" t="s">
        <v>135</v>
      </c>
    </row>
    <row r="438" spans="1:8" ht="24.95" customHeight="1" thickBot="1" x14ac:dyDescent="0.3">
      <c r="A438" s="113"/>
      <c r="B438" s="113"/>
      <c r="C438" s="113"/>
      <c r="D438" s="113"/>
      <c r="E438" s="113"/>
      <c r="F438" s="119"/>
      <c r="G438" s="105"/>
      <c r="H438" s="52">
        <v>21</v>
      </c>
    </row>
    <row r="439" spans="1:8" ht="35.1" customHeight="1" thickBot="1" x14ac:dyDescent="0.3">
      <c r="A439" s="63" t="s">
        <v>134</v>
      </c>
      <c r="B439" s="61">
        <v>190</v>
      </c>
      <c r="C439" s="61"/>
      <c r="D439" s="62"/>
      <c r="E439" s="61"/>
      <c r="F439" s="119"/>
      <c r="G439" s="106"/>
      <c r="H439" s="38" t="s">
        <v>146</v>
      </c>
    </row>
    <row r="440" spans="1:8" ht="9.9499999999999993" customHeight="1" x14ac:dyDescent="0.25">
      <c r="A440" s="107" t="s">
        <v>136</v>
      </c>
      <c r="B440" s="96">
        <v>155</v>
      </c>
      <c r="C440" s="96"/>
      <c r="D440" s="96"/>
      <c r="E440" s="96"/>
      <c r="F440" s="119"/>
      <c r="G440" s="104" t="s">
        <v>136</v>
      </c>
      <c r="H440" s="54" t="s">
        <v>135</v>
      </c>
    </row>
    <row r="441" spans="1:8" ht="24.95" customHeight="1" thickBot="1" x14ac:dyDescent="0.3">
      <c r="A441" s="108"/>
      <c r="B441" s="97"/>
      <c r="C441" s="97"/>
      <c r="D441" s="97"/>
      <c r="E441" s="97"/>
      <c r="F441" s="119"/>
      <c r="G441" s="105"/>
      <c r="H441" s="53" t="s">
        <v>158</v>
      </c>
    </row>
    <row r="442" spans="1:8" ht="9.9499999999999993" customHeight="1" x14ac:dyDescent="0.25">
      <c r="A442" s="107" t="s">
        <v>137</v>
      </c>
      <c r="B442" s="98">
        <v>240</v>
      </c>
      <c r="C442" s="109"/>
      <c r="D442" s="96"/>
      <c r="E442" s="98"/>
      <c r="F442" s="119"/>
      <c r="G442" s="105"/>
      <c r="H442" s="55" t="s">
        <v>138</v>
      </c>
    </row>
    <row r="443" spans="1:8" ht="24.95" customHeight="1" thickBot="1" x14ac:dyDescent="0.3">
      <c r="A443" s="108"/>
      <c r="B443" s="99"/>
      <c r="C443" s="110"/>
      <c r="D443" s="97"/>
      <c r="E443" s="99"/>
      <c r="F443" s="119"/>
      <c r="G443" s="105"/>
      <c r="H443" s="52">
        <v>8</v>
      </c>
    </row>
    <row r="444" spans="1:8" ht="35.1" customHeight="1" thickBot="1" x14ac:dyDescent="0.3">
      <c r="A444" s="100" t="s">
        <v>145</v>
      </c>
      <c r="B444" s="101"/>
      <c r="C444" s="39" t="s">
        <v>139</v>
      </c>
      <c r="D444" s="102"/>
      <c r="E444" s="103"/>
      <c r="F444" s="120"/>
      <c r="G444" s="106"/>
      <c r="H444" s="38" t="s">
        <v>150</v>
      </c>
    </row>
    <row r="445" spans="1:8" ht="35.1" customHeight="1" x14ac:dyDescent="0.25"/>
    <row r="446" spans="1:8" ht="35.1" customHeight="1" thickBot="1" x14ac:dyDescent="0.3"/>
    <row r="447" spans="1:8" ht="9.9499999999999993" customHeight="1" x14ac:dyDescent="0.25">
      <c r="A447" s="92" t="s">
        <v>124</v>
      </c>
      <c r="B447" s="93"/>
      <c r="C447" s="93"/>
      <c r="D447" s="94" t="s">
        <v>125</v>
      </c>
      <c r="E447" s="93"/>
      <c r="F447" s="94" t="s">
        <v>126</v>
      </c>
      <c r="G447" s="93"/>
      <c r="H447" s="95"/>
    </row>
    <row r="448" spans="1:8" ht="20.100000000000001" customHeight="1" thickBot="1" x14ac:dyDescent="0.3">
      <c r="A448" s="114" t="s">
        <v>112</v>
      </c>
      <c r="B448" s="115"/>
      <c r="C448" s="115"/>
      <c r="D448" s="110" t="s">
        <v>94</v>
      </c>
      <c r="E448" s="111"/>
      <c r="F448" s="110"/>
      <c r="G448" s="111"/>
      <c r="H448" s="99"/>
    </row>
    <row r="449" spans="1:8" ht="9.9499999999999993" customHeight="1" x14ac:dyDescent="0.25">
      <c r="A449" s="94" t="s">
        <v>127</v>
      </c>
      <c r="B449" s="93"/>
      <c r="C449" s="95"/>
      <c r="D449" s="116" t="s">
        <v>128</v>
      </c>
      <c r="E449" s="117"/>
      <c r="F449" s="118"/>
      <c r="G449" s="121" t="s">
        <v>129</v>
      </c>
      <c r="H449" s="122"/>
    </row>
    <row r="450" spans="1:8" ht="20.100000000000001" customHeight="1" thickBot="1" x14ac:dyDescent="0.3">
      <c r="A450" s="127" t="s">
        <v>10</v>
      </c>
      <c r="B450" s="128"/>
      <c r="C450" s="129"/>
      <c r="D450" s="130" t="s">
        <v>113</v>
      </c>
      <c r="E450" s="131"/>
      <c r="F450" s="119"/>
      <c r="G450" s="123"/>
      <c r="H450" s="124"/>
    </row>
    <row r="451" spans="1:8" ht="9.9499999999999993" customHeight="1" x14ac:dyDescent="0.25">
      <c r="A451" s="94" t="s">
        <v>130</v>
      </c>
      <c r="B451" s="93"/>
      <c r="C451" s="56" t="s">
        <v>131</v>
      </c>
      <c r="D451" s="94" t="s">
        <v>132</v>
      </c>
      <c r="E451" s="95"/>
      <c r="F451" s="119"/>
      <c r="G451" s="123"/>
      <c r="H451" s="124"/>
    </row>
    <row r="452" spans="1:8" ht="20.100000000000001" customHeight="1" thickBot="1" x14ac:dyDescent="0.3">
      <c r="A452" s="110">
        <v>104.85</v>
      </c>
      <c r="B452" s="111"/>
      <c r="C452" s="64">
        <v>105</v>
      </c>
      <c r="D452" s="110">
        <v>12</v>
      </c>
      <c r="E452" s="99"/>
      <c r="F452" s="119"/>
      <c r="G452" s="125"/>
      <c r="H452" s="126"/>
    </row>
    <row r="453" spans="1:8" ht="9.9499999999999993" customHeight="1" x14ac:dyDescent="0.25">
      <c r="A453" s="112"/>
      <c r="B453" s="112">
        <v>1</v>
      </c>
      <c r="C453" s="112">
        <v>2</v>
      </c>
      <c r="D453" s="112">
        <v>3</v>
      </c>
      <c r="E453" s="112" t="s">
        <v>133</v>
      </c>
      <c r="F453" s="119"/>
      <c r="G453" s="104" t="s">
        <v>134</v>
      </c>
      <c r="H453" s="54" t="s">
        <v>135</v>
      </c>
    </row>
    <row r="454" spans="1:8" ht="24.95" customHeight="1" thickBot="1" x14ac:dyDescent="0.3">
      <c r="A454" s="113"/>
      <c r="B454" s="113"/>
      <c r="C454" s="113"/>
      <c r="D454" s="113"/>
      <c r="E454" s="113"/>
      <c r="F454" s="119"/>
      <c r="G454" s="105"/>
      <c r="H454" s="52">
        <v>15</v>
      </c>
    </row>
    <row r="455" spans="1:8" ht="35.1" customHeight="1" thickBot="1" x14ac:dyDescent="0.3">
      <c r="A455" s="63" t="s">
        <v>134</v>
      </c>
      <c r="B455" s="61">
        <v>220</v>
      </c>
      <c r="C455" s="61"/>
      <c r="D455" s="62"/>
      <c r="E455" s="61"/>
      <c r="F455" s="119"/>
      <c r="G455" s="106"/>
      <c r="H455" s="38" t="s">
        <v>146</v>
      </c>
    </row>
    <row r="456" spans="1:8" ht="9.9499999999999993" customHeight="1" x14ac:dyDescent="0.25">
      <c r="A456" s="107" t="s">
        <v>136</v>
      </c>
      <c r="B456" s="96">
        <v>155</v>
      </c>
      <c r="C456" s="96"/>
      <c r="D456" s="96"/>
      <c r="E456" s="96"/>
      <c r="F456" s="119"/>
      <c r="G456" s="104" t="s">
        <v>136</v>
      </c>
      <c r="H456" s="54" t="s">
        <v>135</v>
      </c>
    </row>
    <row r="457" spans="1:8" ht="24.95" customHeight="1" thickBot="1" x14ac:dyDescent="0.3">
      <c r="A457" s="108"/>
      <c r="B457" s="97"/>
      <c r="C457" s="97"/>
      <c r="D457" s="97"/>
      <c r="E457" s="97"/>
      <c r="F457" s="119"/>
      <c r="G457" s="105"/>
      <c r="H457" s="53" t="s">
        <v>159</v>
      </c>
    </row>
    <row r="458" spans="1:8" ht="9.9499999999999993" customHeight="1" x14ac:dyDescent="0.25">
      <c r="A458" s="107" t="s">
        <v>137</v>
      </c>
      <c r="B458" s="98">
        <v>240</v>
      </c>
      <c r="C458" s="109"/>
      <c r="D458" s="96"/>
      <c r="E458" s="98"/>
      <c r="F458" s="119"/>
      <c r="G458" s="105"/>
      <c r="H458" s="55" t="s">
        <v>138</v>
      </c>
    </row>
    <row r="459" spans="1:8" ht="24.95" customHeight="1" thickBot="1" x14ac:dyDescent="0.3">
      <c r="A459" s="108"/>
      <c r="B459" s="99"/>
      <c r="C459" s="110"/>
      <c r="D459" s="97"/>
      <c r="E459" s="99"/>
      <c r="F459" s="119"/>
      <c r="G459" s="105"/>
      <c r="H459" s="52">
        <v>4</v>
      </c>
    </row>
    <row r="460" spans="1:8" ht="35.1" customHeight="1" thickBot="1" x14ac:dyDescent="0.3">
      <c r="A460" s="100" t="s">
        <v>145</v>
      </c>
      <c r="B460" s="101"/>
      <c r="C460" s="39" t="s">
        <v>139</v>
      </c>
      <c r="D460" s="102"/>
      <c r="E460" s="103"/>
      <c r="F460" s="120"/>
      <c r="G460" s="106"/>
      <c r="H460" s="38" t="s">
        <v>147</v>
      </c>
    </row>
    <row r="461" spans="1:8" ht="35.1" customHeight="1" x14ac:dyDescent="0.25"/>
    <row r="462" spans="1:8" ht="35.1" customHeight="1" x14ac:dyDescent="0.25"/>
  </sheetData>
  <mergeCells count="1050">
    <mergeCell ref="E458:E459"/>
    <mergeCell ref="A460:B460"/>
    <mergeCell ref="D460:E460"/>
    <mergeCell ref="A7:A8"/>
    <mergeCell ref="B7:B8"/>
    <mergeCell ref="C7:C8"/>
    <mergeCell ref="D7:D8"/>
    <mergeCell ref="E7:E8"/>
    <mergeCell ref="G7:G9"/>
    <mergeCell ref="A3:C3"/>
    <mergeCell ref="D3:E3"/>
    <mergeCell ref="F3:F14"/>
    <mergeCell ref="G3:H6"/>
    <mergeCell ref="A4:C4"/>
    <mergeCell ref="D4:E4"/>
    <mergeCell ref="A5:B5"/>
    <mergeCell ref="D5:E5"/>
    <mergeCell ref="A6:B6"/>
    <mergeCell ref="D6:E6"/>
    <mergeCell ref="A1:C1"/>
    <mergeCell ref="D1:E1"/>
    <mergeCell ref="F1:H1"/>
    <mergeCell ref="A2:C2"/>
    <mergeCell ref="D2:E2"/>
    <mergeCell ref="F2:H2"/>
    <mergeCell ref="A18:C18"/>
    <mergeCell ref="D18:E18"/>
    <mergeCell ref="F18:H18"/>
    <mergeCell ref="A19:C19"/>
    <mergeCell ref="D19:E19"/>
    <mergeCell ref="F19:F30"/>
    <mergeCell ref="G19:H22"/>
    <mergeCell ref="A20:C20"/>
    <mergeCell ref="D20:E20"/>
    <mergeCell ref="A21:B21"/>
    <mergeCell ref="E12:E13"/>
    <mergeCell ref="A14:B14"/>
    <mergeCell ref="D14:E14"/>
    <mergeCell ref="A10:A11"/>
    <mergeCell ref="B10:B11"/>
    <mergeCell ref="C10:C11"/>
    <mergeCell ref="D10:D11"/>
    <mergeCell ref="E10:E11"/>
    <mergeCell ref="G10:G14"/>
    <mergeCell ref="A12:A13"/>
    <mergeCell ref="B12:B13"/>
    <mergeCell ref="C12:C13"/>
    <mergeCell ref="D12:D13"/>
    <mergeCell ref="D28:D29"/>
    <mergeCell ref="E28:E29"/>
    <mergeCell ref="A30:B30"/>
    <mergeCell ref="D30:E30"/>
    <mergeCell ref="G23:G25"/>
    <mergeCell ref="A26:A27"/>
    <mergeCell ref="B26:B27"/>
    <mergeCell ref="C26:C27"/>
    <mergeCell ref="D26:D27"/>
    <mergeCell ref="E26:E27"/>
    <mergeCell ref="G26:G30"/>
    <mergeCell ref="A28:A29"/>
    <mergeCell ref="B28:B29"/>
    <mergeCell ref="C28:C29"/>
    <mergeCell ref="D21:E21"/>
    <mergeCell ref="A22:B22"/>
    <mergeCell ref="D22:E22"/>
    <mergeCell ref="A23:A24"/>
    <mergeCell ref="B23:B24"/>
    <mergeCell ref="C23:C24"/>
    <mergeCell ref="D23:D24"/>
    <mergeCell ref="E23:E24"/>
    <mergeCell ref="A37:B37"/>
    <mergeCell ref="D37:E37"/>
    <mergeCell ref="A38:B38"/>
    <mergeCell ref="D38:E38"/>
    <mergeCell ref="A39:A40"/>
    <mergeCell ref="B39:B40"/>
    <mergeCell ref="C39:C40"/>
    <mergeCell ref="D39:D40"/>
    <mergeCell ref="E39:E40"/>
    <mergeCell ref="F33:H33"/>
    <mergeCell ref="A34:C34"/>
    <mergeCell ref="D34:E34"/>
    <mergeCell ref="F34:H34"/>
    <mergeCell ref="A35:C35"/>
    <mergeCell ref="D35:E35"/>
    <mergeCell ref="F35:F46"/>
    <mergeCell ref="G35:H38"/>
    <mergeCell ref="A36:C36"/>
    <mergeCell ref="D36:E36"/>
    <mergeCell ref="F47:H47"/>
    <mergeCell ref="A48:C48"/>
    <mergeCell ref="D48:E48"/>
    <mergeCell ref="F48:H48"/>
    <mergeCell ref="A49:C49"/>
    <mergeCell ref="D49:E49"/>
    <mergeCell ref="F49:F60"/>
    <mergeCell ref="G49:H52"/>
    <mergeCell ref="A50:C50"/>
    <mergeCell ref="D50:E50"/>
    <mergeCell ref="D44:D45"/>
    <mergeCell ref="E44:E45"/>
    <mergeCell ref="A46:B46"/>
    <mergeCell ref="D46:E46"/>
    <mergeCell ref="G39:G41"/>
    <mergeCell ref="A42:A43"/>
    <mergeCell ref="B42:B43"/>
    <mergeCell ref="C42:C43"/>
    <mergeCell ref="D42:D43"/>
    <mergeCell ref="E42:E43"/>
    <mergeCell ref="G42:G46"/>
    <mergeCell ref="A44:A45"/>
    <mergeCell ref="B44:B45"/>
    <mergeCell ref="C44:C45"/>
    <mergeCell ref="D58:D59"/>
    <mergeCell ref="E58:E59"/>
    <mergeCell ref="A60:B60"/>
    <mergeCell ref="D60:E60"/>
    <mergeCell ref="G53:G55"/>
    <mergeCell ref="A56:A57"/>
    <mergeCell ref="B56:B57"/>
    <mergeCell ref="C56:C57"/>
    <mergeCell ref="D56:D57"/>
    <mergeCell ref="E56:E57"/>
    <mergeCell ref="G56:G60"/>
    <mergeCell ref="A58:A59"/>
    <mergeCell ref="B58:B59"/>
    <mergeCell ref="C58:C59"/>
    <mergeCell ref="A51:B51"/>
    <mergeCell ref="D51:E51"/>
    <mergeCell ref="A52:B52"/>
    <mergeCell ref="D52:E52"/>
    <mergeCell ref="A53:A54"/>
    <mergeCell ref="B53:B54"/>
    <mergeCell ref="C53:C54"/>
    <mergeCell ref="D53:D54"/>
    <mergeCell ref="E53:E54"/>
    <mergeCell ref="A67:B67"/>
    <mergeCell ref="D67:E67"/>
    <mergeCell ref="A68:B68"/>
    <mergeCell ref="D68:E68"/>
    <mergeCell ref="A69:A70"/>
    <mergeCell ref="B69:B70"/>
    <mergeCell ref="C69:C70"/>
    <mergeCell ref="D69:D70"/>
    <mergeCell ref="E69:E70"/>
    <mergeCell ref="F63:H63"/>
    <mergeCell ref="A64:C64"/>
    <mergeCell ref="D64:E64"/>
    <mergeCell ref="F64:H64"/>
    <mergeCell ref="A65:C65"/>
    <mergeCell ref="D65:E65"/>
    <mergeCell ref="F65:F76"/>
    <mergeCell ref="G65:H68"/>
    <mergeCell ref="A66:C66"/>
    <mergeCell ref="D66:E66"/>
    <mergeCell ref="F79:H79"/>
    <mergeCell ref="A80:C80"/>
    <mergeCell ref="D80:E80"/>
    <mergeCell ref="F80:H80"/>
    <mergeCell ref="A81:C81"/>
    <mergeCell ref="D81:E81"/>
    <mergeCell ref="F81:F92"/>
    <mergeCell ref="G81:H84"/>
    <mergeCell ref="A82:C82"/>
    <mergeCell ref="D82:E82"/>
    <mergeCell ref="D74:D75"/>
    <mergeCell ref="E74:E75"/>
    <mergeCell ref="A76:B76"/>
    <mergeCell ref="D76:E76"/>
    <mergeCell ref="G69:G71"/>
    <mergeCell ref="A72:A73"/>
    <mergeCell ref="B72:B73"/>
    <mergeCell ref="C72:C73"/>
    <mergeCell ref="D72:D73"/>
    <mergeCell ref="E72:E73"/>
    <mergeCell ref="G72:G76"/>
    <mergeCell ref="A74:A75"/>
    <mergeCell ref="B74:B75"/>
    <mergeCell ref="C74:C75"/>
    <mergeCell ref="D90:D91"/>
    <mergeCell ref="E90:E91"/>
    <mergeCell ref="A92:B92"/>
    <mergeCell ref="D92:E92"/>
    <mergeCell ref="G85:G87"/>
    <mergeCell ref="A88:A89"/>
    <mergeCell ref="B88:B89"/>
    <mergeCell ref="C88:C89"/>
    <mergeCell ref="D88:D89"/>
    <mergeCell ref="E88:E89"/>
    <mergeCell ref="G88:G92"/>
    <mergeCell ref="A90:A91"/>
    <mergeCell ref="B90:B91"/>
    <mergeCell ref="C90:C91"/>
    <mergeCell ref="A83:B83"/>
    <mergeCell ref="D83:E83"/>
    <mergeCell ref="A84:B84"/>
    <mergeCell ref="D84:E84"/>
    <mergeCell ref="A85:A86"/>
    <mergeCell ref="B85:B86"/>
    <mergeCell ref="C85:C86"/>
    <mergeCell ref="D85:D86"/>
    <mergeCell ref="E85:E86"/>
    <mergeCell ref="A97:B97"/>
    <mergeCell ref="D97:E97"/>
    <mergeCell ref="A98:B98"/>
    <mergeCell ref="D98:E98"/>
    <mergeCell ref="A99:A100"/>
    <mergeCell ref="B99:B100"/>
    <mergeCell ref="C99:C100"/>
    <mergeCell ref="D99:D100"/>
    <mergeCell ref="E99:E100"/>
    <mergeCell ref="F93:H93"/>
    <mergeCell ref="A94:C94"/>
    <mergeCell ref="D94:E94"/>
    <mergeCell ref="F94:H94"/>
    <mergeCell ref="A95:C95"/>
    <mergeCell ref="D95:E95"/>
    <mergeCell ref="F95:F106"/>
    <mergeCell ref="G95:H98"/>
    <mergeCell ref="A96:C96"/>
    <mergeCell ref="D96:E96"/>
    <mergeCell ref="F109:H109"/>
    <mergeCell ref="A110:C110"/>
    <mergeCell ref="D110:E110"/>
    <mergeCell ref="F110:H110"/>
    <mergeCell ref="A111:C111"/>
    <mergeCell ref="D111:E111"/>
    <mergeCell ref="F111:F122"/>
    <mergeCell ref="G111:H114"/>
    <mergeCell ref="A112:C112"/>
    <mergeCell ref="D112:E112"/>
    <mergeCell ref="D104:D105"/>
    <mergeCell ref="E104:E105"/>
    <mergeCell ref="A106:B106"/>
    <mergeCell ref="D106:E106"/>
    <mergeCell ref="G99:G101"/>
    <mergeCell ref="A102:A103"/>
    <mergeCell ref="B102:B103"/>
    <mergeCell ref="C102:C103"/>
    <mergeCell ref="D102:D103"/>
    <mergeCell ref="E102:E103"/>
    <mergeCell ref="G102:G106"/>
    <mergeCell ref="A104:A105"/>
    <mergeCell ref="B104:B105"/>
    <mergeCell ref="C104:C105"/>
    <mergeCell ref="D120:D121"/>
    <mergeCell ref="E120:E121"/>
    <mergeCell ref="A122:B122"/>
    <mergeCell ref="D122:E122"/>
    <mergeCell ref="G115:G117"/>
    <mergeCell ref="A118:A119"/>
    <mergeCell ref="B118:B119"/>
    <mergeCell ref="C118:C119"/>
    <mergeCell ref="D118:D119"/>
    <mergeCell ref="E118:E119"/>
    <mergeCell ref="G118:G122"/>
    <mergeCell ref="A120:A121"/>
    <mergeCell ref="B120:B121"/>
    <mergeCell ref="C120:C121"/>
    <mergeCell ref="A113:B113"/>
    <mergeCell ref="D113:E113"/>
    <mergeCell ref="A114:B114"/>
    <mergeCell ref="D114:E114"/>
    <mergeCell ref="A115:A116"/>
    <mergeCell ref="B115:B116"/>
    <mergeCell ref="C115:C116"/>
    <mergeCell ref="D115:D116"/>
    <mergeCell ref="E115:E116"/>
    <mergeCell ref="A129:B129"/>
    <mergeCell ref="D129:E129"/>
    <mergeCell ref="A130:B130"/>
    <mergeCell ref="D130:E130"/>
    <mergeCell ref="A131:A132"/>
    <mergeCell ref="B131:B132"/>
    <mergeCell ref="C131:C132"/>
    <mergeCell ref="D131:D132"/>
    <mergeCell ref="E131:E132"/>
    <mergeCell ref="F125:H125"/>
    <mergeCell ref="A126:C126"/>
    <mergeCell ref="D126:E126"/>
    <mergeCell ref="F126:H126"/>
    <mergeCell ref="A127:C127"/>
    <mergeCell ref="D127:E127"/>
    <mergeCell ref="F127:F138"/>
    <mergeCell ref="G127:H130"/>
    <mergeCell ref="A128:C128"/>
    <mergeCell ref="D128:E128"/>
    <mergeCell ref="A125:C125"/>
    <mergeCell ref="D125:E125"/>
    <mergeCell ref="F139:H139"/>
    <mergeCell ref="A140:C140"/>
    <mergeCell ref="D140:E140"/>
    <mergeCell ref="F140:H140"/>
    <mergeCell ref="A141:C141"/>
    <mergeCell ref="D141:E141"/>
    <mergeCell ref="F141:F152"/>
    <mergeCell ref="G141:H144"/>
    <mergeCell ref="A142:C142"/>
    <mergeCell ref="D142:E142"/>
    <mergeCell ref="D136:D137"/>
    <mergeCell ref="E136:E137"/>
    <mergeCell ref="A138:B138"/>
    <mergeCell ref="D138:E138"/>
    <mergeCell ref="G131:G133"/>
    <mergeCell ref="A134:A135"/>
    <mergeCell ref="B134:B135"/>
    <mergeCell ref="C134:C135"/>
    <mergeCell ref="D134:D135"/>
    <mergeCell ref="E134:E135"/>
    <mergeCell ref="G134:G138"/>
    <mergeCell ref="A136:A137"/>
    <mergeCell ref="B136:B137"/>
    <mergeCell ref="C136:C137"/>
    <mergeCell ref="A139:C139"/>
    <mergeCell ref="D139:E139"/>
    <mergeCell ref="D150:D151"/>
    <mergeCell ref="E150:E151"/>
    <mergeCell ref="A152:B152"/>
    <mergeCell ref="D152:E152"/>
    <mergeCell ref="G145:G147"/>
    <mergeCell ref="A148:A149"/>
    <mergeCell ref="B148:B149"/>
    <mergeCell ref="C148:C149"/>
    <mergeCell ref="D148:D149"/>
    <mergeCell ref="E148:E149"/>
    <mergeCell ref="G148:G152"/>
    <mergeCell ref="A150:A151"/>
    <mergeCell ref="B150:B151"/>
    <mergeCell ref="C150:C151"/>
    <mergeCell ref="A143:B143"/>
    <mergeCell ref="D143:E143"/>
    <mergeCell ref="A144:B144"/>
    <mergeCell ref="D144:E144"/>
    <mergeCell ref="A145:A146"/>
    <mergeCell ref="B145:B146"/>
    <mergeCell ref="C145:C146"/>
    <mergeCell ref="D145:D146"/>
    <mergeCell ref="E145:E146"/>
    <mergeCell ref="A159:B159"/>
    <mergeCell ref="D159:E159"/>
    <mergeCell ref="A160:B160"/>
    <mergeCell ref="D160:E160"/>
    <mergeCell ref="A161:A162"/>
    <mergeCell ref="B161:B162"/>
    <mergeCell ref="C161:C162"/>
    <mergeCell ref="D161:D162"/>
    <mergeCell ref="E161:E162"/>
    <mergeCell ref="F155:H155"/>
    <mergeCell ref="A156:C156"/>
    <mergeCell ref="D156:E156"/>
    <mergeCell ref="F156:H156"/>
    <mergeCell ref="A157:C157"/>
    <mergeCell ref="D157:E157"/>
    <mergeCell ref="F157:F168"/>
    <mergeCell ref="G157:H160"/>
    <mergeCell ref="A158:C158"/>
    <mergeCell ref="D158:E158"/>
    <mergeCell ref="F171:H171"/>
    <mergeCell ref="A172:C172"/>
    <mergeCell ref="D172:E172"/>
    <mergeCell ref="F172:H172"/>
    <mergeCell ref="A173:C173"/>
    <mergeCell ref="D173:E173"/>
    <mergeCell ref="F173:F184"/>
    <mergeCell ref="G173:H176"/>
    <mergeCell ref="A174:C174"/>
    <mergeCell ref="D174:E174"/>
    <mergeCell ref="D166:D167"/>
    <mergeCell ref="E166:E167"/>
    <mergeCell ref="A168:B168"/>
    <mergeCell ref="D168:E168"/>
    <mergeCell ref="G161:G163"/>
    <mergeCell ref="A164:A165"/>
    <mergeCell ref="B164:B165"/>
    <mergeCell ref="C164:C165"/>
    <mergeCell ref="D164:D165"/>
    <mergeCell ref="E164:E165"/>
    <mergeCell ref="G164:G168"/>
    <mergeCell ref="A166:A167"/>
    <mergeCell ref="B166:B167"/>
    <mergeCell ref="C166:C167"/>
    <mergeCell ref="D182:D183"/>
    <mergeCell ref="E182:E183"/>
    <mergeCell ref="A184:B184"/>
    <mergeCell ref="D184:E184"/>
    <mergeCell ref="G177:G179"/>
    <mergeCell ref="A180:A181"/>
    <mergeCell ref="B180:B181"/>
    <mergeCell ref="C180:C181"/>
    <mergeCell ref="D180:D181"/>
    <mergeCell ref="E180:E181"/>
    <mergeCell ref="G180:G184"/>
    <mergeCell ref="A182:A183"/>
    <mergeCell ref="B182:B183"/>
    <mergeCell ref="C182:C183"/>
    <mergeCell ref="A175:B175"/>
    <mergeCell ref="D175:E175"/>
    <mergeCell ref="A176:B176"/>
    <mergeCell ref="D176:E176"/>
    <mergeCell ref="A177:A178"/>
    <mergeCell ref="B177:B178"/>
    <mergeCell ref="C177:C178"/>
    <mergeCell ref="D177:D178"/>
    <mergeCell ref="E177:E178"/>
    <mergeCell ref="A189:B189"/>
    <mergeCell ref="D189:E189"/>
    <mergeCell ref="A190:B190"/>
    <mergeCell ref="D190:E190"/>
    <mergeCell ref="A191:A192"/>
    <mergeCell ref="B191:B192"/>
    <mergeCell ref="C191:C192"/>
    <mergeCell ref="D191:D192"/>
    <mergeCell ref="E191:E192"/>
    <mergeCell ref="F185:H185"/>
    <mergeCell ref="A186:C186"/>
    <mergeCell ref="D186:E186"/>
    <mergeCell ref="F186:H186"/>
    <mergeCell ref="A187:C187"/>
    <mergeCell ref="D187:E187"/>
    <mergeCell ref="F187:F198"/>
    <mergeCell ref="G187:H190"/>
    <mergeCell ref="A188:C188"/>
    <mergeCell ref="D188:E188"/>
    <mergeCell ref="F201:H201"/>
    <mergeCell ref="A202:C202"/>
    <mergeCell ref="D202:E202"/>
    <mergeCell ref="F202:H202"/>
    <mergeCell ref="A203:C203"/>
    <mergeCell ref="D203:E203"/>
    <mergeCell ref="F203:F214"/>
    <mergeCell ref="G203:H206"/>
    <mergeCell ref="A204:C204"/>
    <mergeCell ref="D204:E204"/>
    <mergeCell ref="D196:D197"/>
    <mergeCell ref="E196:E197"/>
    <mergeCell ref="A198:B198"/>
    <mergeCell ref="D198:E198"/>
    <mergeCell ref="G191:G193"/>
    <mergeCell ref="A194:A195"/>
    <mergeCell ref="B194:B195"/>
    <mergeCell ref="C194:C195"/>
    <mergeCell ref="D194:D195"/>
    <mergeCell ref="E194:E195"/>
    <mergeCell ref="G194:G198"/>
    <mergeCell ref="A196:A197"/>
    <mergeCell ref="B196:B197"/>
    <mergeCell ref="C196:C197"/>
    <mergeCell ref="D212:D213"/>
    <mergeCell ref="E212:E213"/>
    <mergeCell ref="A214:B214"/>
    <mergeCell ref="D214:E214"/>
    <mergeCell ref="G207:G209"/>
    <mergeCell ref="A210:A211"/>
    <mergeCell ref="B210:B211"/>
    <mergeCell ref="C210:C211"/>
    <mergeCell ref="D210:D211"/>
    <mergeCell ref="E210:E211"/>
    <mergeCell ref="G210:G214"/>
    <mergeCell ref="A212:A213"/>
    <mergeCell ref="B212:B213"/>
    <mergeCell ref="C212:C213"/>
    <mergeCell ref="A205:B205"/>
    <mergeCell ref="D205:E205"/>
    <mergeCell ref="A206:B206"/>
    <mergeCell ref="D206:E206"/>
    <mergeCell ref="A207:A208"/>
    <mergeCell ref="B207:B208"/>
    <mergeCell ref="C207:C208"/>
    <mergeCell ref="D207:D208"/>
    <mergeCell ref="E207:E208"/>
    <mergeCell ref="A222:B222"/>
    <mergeCell ref="D222:E222"/>
    <mergeCell ref="A223:A224"/>
    <mergeCell ref="B223:B224"/>
    <mergeCell ref="C223:C224"/>
    <mergeCell ref="D223:D224"/>
    <mergeCell ref="E223:E224"/>
    <mergeCell ref="F217:H217"/>
    <mergeCell ref="A218:C218"/>
    <mergeCell ref="D218:E218"/>
    <mergeCell ref="F218:H218"/>
    <mergeCell ref="A219:C219"/>
    <mergeCell ref="D219:E219"/>
    <mergeCell ref="F219:F230"/>
    <mergeCell ref="G219:H222"/>
    <mergeCell ref="A220:C220"/>
    <mergeCell ref="D220:E220"/>
    <mergeCell ref="F231:H231"/>
    <mergeCell ref="A232:C232"/>
    <mergeCell ref="D232:E232"/>
    <mergeCell ref="F232:H232"/>
    <mergeCell ref="A233:C233"/>
    <mergeCell ref="D233:E233"/>
    <mergeCell ref="F233:F244"/>
    <mergeCell ref="G233:H236"/>
    <mergeCell ref="A234:C234"/>
    <mergeCell ref="D234:E234"/>
    <mergeCell ref="D228:D229"/>
    <mergeCell ref="E228:E229"/>
    <mergeCell ref="A230:B230"/>
    <mergeCell ref="D230:E230"/>
    <mergeCell ref="G223:G225"/>
    <mergeCell ref="A226:A227"/>
    <mergeCell ref="B226:B227"/>
    <mergeCell ref="C226:C227"/>
    <mergeCell ref="D226:D227"/>
    <mergeCell ref="E226:E227"/>
    <mergeCell ref="G226:G230"/>
    <mergeCell ref="A228:A229"/>
    <mergeCell ref="B228:B229"/>
    <mergeCell ref="C228:C229"/>
    <mergeCell ref="F247:H247"/>
    <mergeCell ref="A248:C248"/>
    <mergeCell ref="D248:E248"/>
    <mergeCell ref="F248:H248"/>
    <mergeCell ref="A249:C249"/>
    <mergeCell ref="D249:E249"/>
    <mergeCell ref="F249:F260"/>
    <mergeCell ref="G249:H252"/>
    <mergeCell ref="A250:C250"/>
    <mergeCell ref="D250:E250"/>
    <mergeCell ref="D242:D243"/>
    <mergeCell ref="E242:E243"/>
    <mergeCell ref="A244:B244"/>
    <mergeCell ref="D244:E244"/>
    <mergeCell ref="G237:G239"/>
    <mergeCell ref="A240:A241"/>
    <mergeCell ref="B240:B241"/>
    <mergeCell ref="C240:C241"/>
    <mergeCell ref="D240:D241"/>
    <mergeCell ref="E240:E241"/>
    <mergeCell ref="G240:G244"/>
    <mergeCell ref="A242:A243"/>
    <mergeCell ref="B242:B243"/>
    <mergeCell ref="C242:C243"/>
    <mergeCell ref="A237:A238"/>
    <mergeCell ref="B237:B238"/>
    <mergeCell ref="C237:C238"/>
    <mergeCell ref="D237:D238"/>
    <mergeCell ref="E237:E238"/>
    <mergeCell ref="F263:H263"/>
    <mergeCell ref="A264:C264"/>
    <mergeCell ref="D264:E264"/>
    <mergeCell ref="F264:H264"/>
    <mergeCell ref="A265:C265"/>
    <mergeCell ref="D265:E265"/>
    <mergeCell ref="F265:F276"/>
    <mergeCell ref="G265:H268"/>
    <mergeCell ref="A266:C266"/>
    <mergeCell ref="D266:E266"/>
    <mergeCell ref="D258:D259"/>
    <mergeCell ref="E258:E259"/>
    <mergeCell ref="A260:B260"/>
    <mergeCell ref="D260:E260"/>
    <mergeCell ref="G253:G255"/>
    <mergeCell ref="A256:A257"/>
    <mergeCell ref="B256:B257"/>
    <mergeCell ref="C256:C257"/>
    <mergeCell ref="D256:D257"/>
    <mergeCell ref="E256:E257"/>
    <mergeCell ref="G256:G260"/>
    <mergeCell ref="A258:A259"/>
    <mergeCell ref="B258:B259"/>
    <mergeCell ref="C258:C259"/>
    <mergeCell ref="A253:A254"/>
    <mergeCell ref="B253:B254"/>
    <mergeCell ref="C253:C254"/>
    <mergeCell ref="D253:D254"/>
    <mergeCell ref="E253:E254"/>
    <mergeCell ref="A263:C263"/>
    <mergeCell ref="D263:E263"/>
    <mergeCell ref="D274:D275"/>
    <mergeCell ref="G269:G271"/>
    <mergeCell ref="A272:A273"/>
    <mergeCell ref="B272:B273"/>
    <mergeCell ref="C272:C273"/>
    <mergeCell ref="D272:D273"/>
    <mergeCell ref="E272:E273"/>
    <mergeCell ref="G272:G276"/>
    <mergeCell ref="A274:A275"/>
    <mergeCell ref="B274:B275"/>
    <mergeCell ref="C274:C275"/>
    <mergeCell ref="A267:B267"/>
    <mergeCell ref="D267:E267"/>
    <mergeCell ref="A268:B268"/>
    <mergeCell ref="D268:E268"/>
    <mergeCell ref="A269:A270"/>
    <mergeCell ref="B269:B270"/>
    <mergeCell ref="C269:C270"/>
    <mergeCell ref="D269:D270"/>
    <mergeCell ref="E269:E270"/>
    <mergeCell ref="E274:E275"/>
    <mergeCell ref="A276:B276"/>
    <mergeCell ref="D276:E276"/>
    <mergeCell ref="A281:B281"/>
    <mergeCell ref="D281:E281"/>
    <mergeCell ref="A282:B282"/>
    <mergeCell ref="D282:E282"/>
    <mergeCell ref="A283:A284"/>
    <mergeCell ref="B283:B284"/>
    <mergeCell ref="C283:C284"/>
    <mergeCell ref="D283:D284"/>
    <mergeCell ref="E283:E284"/>
    <mergeCell ref="F277:H277"/>
    <mergeCell ref="A278:C278"/>
    <mergeCell ref="D278:E278"/>
    <mergeCell ref="F278:H278"/>
    <mergeCell ref="A279:C279"/>
    <mergeCell ref="D279:E279"/>
    <mergeCell ref="F279:F290"/>
    <mergeCell ref="G279:H282"/>
    <mergeCell ref="A280:C280"/>
    <mergeCell ref="D280:E280"/>
    <mergeCell ref="A277:C277"/>
    <mergeCell ref="D277:E277"/>
    <mergeCell ref="F293:H293"/>
    <mergeCell ref="A294:C294"/>
    <mergeCell ref="D294:E294"/>
    <mergeCell ref="F294:H294"/>
    <mergeCell ref="A295:C295"/>
    <mergeCell ref="D295:E295"/>
    <mergeCell ref="F295:F306"/>
    <mergeCell ref="G295:H298"/>
    <mergeCell ref="A296:C296"/>
    <mergeCell ref="D296:E296"/>
    <mergeCell ref="D288:D289"/>
    <mergeCell ref="E288:E289"/>
    <mergeCell ref="A290:B290"/>
    <mergeCell ref="D290:E290"/>
    <mergeCell ref="G283:G285"/>
    <mergeCell ref="A286:A287"/>
    <mergeCell ref="B286:B287"/>
    <mergeCell ref="C286:C287"/>
    <mergeCell ref="D286:D287"/>
    <mergeCell ref="E286:E287"/>
    <mergeCell ref="G286:G290"/>
    <mergeCell ref="A288:A289"/>
    <mergeCell ref="B288:B289"/>
    <mergeCell ref="C288:C289"/>
    <mergeCell ref="D304:D305"/>
    <mergeCell ref="E304:E305"/>
    <mergeCell ref="A306:B306"/>
    <mergeCell ref="D306:E306"/>
    <mergeCell ref="G299:G301"/>
    <mergeCell ref="A302:A303"/>
    <mergeCell ref="B302:B303"/>
    <mergeCell ref="C302:C303"/>
    <mergeCell ref="D302:D303"/>
    <mergeCell ref="E302:E303"/>
    <mergeCell ref="G302:G306"/>
    <mergeCell ref="A304:A305"/>
    <mergeCell ref="B304:B305"/>
    <mergeCell ref="C304:C305"/>
    <mergeCell ref="A297:B297"/>
    <mergeCell ref="D297:E297"/>
    <mergeCell ref="A298:B298"/>
    <mergeCell ref="D298:E298"/>
    <mergeCell ref="A299:A300"/>
    <mergeCell ref="B299:B300"/>
    <mergeCell ref="C299:C300"/>
    <mergeCell ref="D299:D300"/>
    <mergeCell ref="E299:E300"/>
    <mergeCell ref="A313:B313"/>
    <mergeCell ref="D313:E313"/>
    <mergeCell ref="A314:B314"/>
    <mergeCell ref="D314:E314"/>
    <mergeCell ref="A315:A316"/>
    <mergeCell ref="B315:B316"/>
    <mergeCell ref="C315:C316"/>
    <mergeCell ref="D315:D316"/>
    <mergeCell ref="E315:E316"/>
    <mergeCell ref="F309:H309"/>
    <mergeCell ref="A310:C310"/>
    <mergeCell ref="D310:E310"/>
    <mergeCell ref="F310:H310"/>
    <mergeCell ref="A311:C311"/>
    <mergeCell ref="D311:E311"/>
    <mergeCell ref="F311:F322"/>
    <mergeCell ref="G311:H314"/>
    <mergeCell ref="A312:C312"/>
    <mergeCell ref="D312:E312"/>
    <mergeCell ref="F323:H323"/>
    <mergeCell ref="A324:C324"/>
    <mergeCell ref="D324:E324"/>
    <mergeCell ref="F324:H324"/>
    <mergeCell ref="A325:C325"/>
    <mergeCell ref="D325:E325"/>
    <mergeCell ref="F325:F336"/>
    <mergeCell ref="G325:H328"/>
    <mergeCell ref="A326:C326"/>
    <mergeCell ref="D326:E326"/>
    <mergeCell ref="D320:D321"/>
    <mergeCell ref="E320:E321"/>
    <mergeCell ref="A322:B322"/>
    <mergeCell ref="D322:E322"/>
    <mergeCell ref="G315:G317"/>
    <mergeCell ref="A318:A319"/>
    <mergeCell ref="B318:B319"/>
    <mergeCell ref="C318:C319"/>
    <mergeCell ref="D318:D319"/>
    <mergeCell ref="E318:E319"/>
    <mergeCell ref="G318:G322"/>
    <mergeCell ref="A320:A321"/>
    <mergeCell ref="B320:B321"/>
    <mergeCell ref="C320:C321"/>
    <mergeCell ref="D334:D335"/>
    <mergeCell ref="E334:E335"/>
    <mergeCell ref="A336:B336"/>
    <mergeCell ref="D336:E336"/>
    <mergeCell ref="G329:G331"/>
    <mergeCell ref="A332:A333"/>
    <mergeCell ref="B332:B333"/>
    <mergeCell ref="C332:C333"/>
    <mergeCell ref="D332:D333"/>
    <mergeCell ref="E332:E333"/>
    <mergeCell ref="G332:G336"/>
    <mergeCell ref="A334:A335"/>
    <mergeCell ref="B334:B335"/>
    <mergeCell ref="C334:C335"/>
    <mergeCell ref="A327:B327"/>
    <mergeCell ref="D327:E327"/>
    <mergeCell ref="A328:B328"/>
    <mergeCell ref="D328:E328"/>
    <mergeCell ref="A329:A330"/>
    <mergeCell ref="B329:B330"/>
    <mergeCell ref="C329:C330"/>
    <mergeCell ref="D329:D330"/>
    <mergeCell ref="E329:E330"/>
    <mergeCell ref="A343:B343"/>
    <mergeCell ref="D343:E343"/>
    <mergeCell ref="A344:B344"/>
    <mergeCell ref="D344:E344"/>
    <mergeCell ref="A345:A346"/>
    <mergeCell ref="B345:B346"/>
    <mergeCell ref="C345:C346"/>
    <mergeCell ref="D345:D346"/>
    <mergeCell ref="E345:E346"/>
    <mergeCell ref="F339:H339"/>
    <mergeCell ref="A340:C340"/>
    <mergeCell ref="D340:E340"/>
    <mergeCell ref="F340:H340"/>
    <mergeCell ref="A341:C341"/>
    <mergeCell ref="D341:E341"/>
    <mergeCell ref="F341:F352"/>
    <mergeCell ref="G341:H344"/>
    <mergeCell ref="A342:C342"/>
    <mergeCell ref="D342:E342"/>
    <mergeCell ref="F355:H355"/>
    <mergeCell ref="A356:C356"/>
    <mergeCell ref="D356:E356"/>
    <mergeCell ref="F356:H356"/>
    <mergeCell ref="A357:C357"/>
    <mergeCell ref="D357:E357"/>
    <mergeCell ref="F357:F368"/>
    <mergeCell ref="G357:H360"/>
    <mergeCell ref="A358:C358"/>
    <mergeCell ref="D358:E358"/>
    <mergeCell ref="D350:D351"/>
    <mergeCell ref="E350:E351"/>
    <mergeCell ref="A352:B352"/>
    <mergeCell ref="D352:E352"/>
    <mergeCell ref="G345:G347"/>
    <mergeCell ref="A348:A349"/>
    <mergeCell ref="B348:B349"/>
    <mergeCell ref="C348:C349"/>
    <mergeCell ref="D348:D349"/>
    <mergeCell ref="E348:E349"/>
    <mergeCell ref="G348:G352"/>
    <mergeCell ref="A350:A351"/>
    <mergeCell ref="B350:B351"/>
    <mergeCell ref="C350:C351"/>
    <mergeCell ref="D366:D367"/>
    <mergeCell ref="E366:E367"/>
    <mergeCell ref="A368:B368"/>
    <mergeCell ref="D368:E368"/>
    <mergeCell ref="G361:G363"/>
    <mergeCell ref="A364:A365"/>
    <mergeCell ref="B364:B365"/>
    <mergeCell ref="C364:C365"/>
    <mergeCell ref="D364:D365"/>
    <mergeCell ref="E364:E365"/>
    <mergeCell ref="G364:G368"/>
    <mergeCell ref="A366:A367"/>
    <mergeCell ref="B366:B367"/>
    <mergeCell ref="C366:C367"/>
    <mergeCell ref="A359:B359"/>
    <mergeCell ref="D359:E359"/>
    <mergeCell ref="A360:B360"/>
    <mergeCell ref="D360:E360"/>
    <mergeCell ref="A361:A362"/>
    <mergeCell ref="B361:B362"/>
    <mergeCell ref="C361:C362"/>
    <mergeCell ref="D361:D362"/>
    <mergeCell ref="E361:E362"/>
    <mergeCell ref="A373:B373"/>
    <mergeCell ref="D373:E373"/>
    <mergeCell ref="A374:B374"/>
    <mergeCell ref="D374:E374"/>
    <mergeCell ref="A375:A376"/>
    <mergeCell ref="B375:B376"/>
    <mergeCell ref="C375:C376"/>
    <mergeCell ref="D375:D376"/>
    <mergeCell ref="E375:E376"/>
    <mergeCell ref="F369:H369"/>
    <mergeCell ref="A370:C370"/>
    <mergeCell ref="D370:E370"/>
    <mergeCell ref="F370:H370"/>
    <mergeCell ref="A371:C371"/>
    <mergeCell ref="D371:E371"/>
    <mergeCell ref="F371:F382"/>
    <mergeCell ref="G371:H374"/>
    <mergeCell ref="A372:C372"/>
    <mergeCell ref="D372:E372"/>
    <mergeCell ref="F385:H385"/>
    <mergeCell ref="A386:C386"/>
    <mergeCell ref="D386:E386"/>
    <mergeCell ref="F386:H386"/>
    <mergeCell ref="A387:C387"/>
    <mergeCell ref="D387:E387"/>
    <mergeCell ref="F387:F398"/>
    <mergeCell ref="G387:H390"/>
    <mergeCell ref="A388:C388"/>
    <mergeCell ref="D388:E388"/>
    <mergeCell ref="D380:D381"/>
    <mergeCell ref="E380:E381"/>
    <mergeCell ref="A382:B382"/>
    <mergeCell ref="D382:E382"/>
    <mergeCell ref="G375:G377"/>
    <mergeCell ref="A378:A379"/>
    <mergeCell ref="B378:B379"/>
    <mergeCell ref="C378:C379"/>
    <mergeCell ref="D378:D379"/>
    <mergeCell ref="E378:E379"/>
    <mergeCell ref="G378:G382"/>
    <mergeCell ref="A380:A381"/>
    <mergeCell ref="B380:B381"/>
    <mergeCell ref="C380:C381"/>
    <mergeCell ref="D396:D397"/>
    <mergeCell ref="E396:E397"/>
    <mergeCell ref="A398:B398"/>
    <mergeCell ref="D398:E398"/>
    <mergeCell ref="G391:G393"/>
    <mergeCell ref="A394:A395"/>
    <mergeCell ref="B394:B395"/>
    <mergeCell ref="C394:C395"/>
    <mergeCell ref="D394:D395"/>
    <mergeCell ref="E394:E395"/>
    <mergeCell ref="G394:G398"/>
    <mergeCell ref="A396:A397"/>
    <mergeCell ref="B396:B397"/>
    <mergeCell ref="C396:C397"/>
    <mergeCell ref="A389:B389"/>
    <mergeCell ref="D389:E389"/>
    <mergeCell ref="A390:B390"/>
    <mergeCell ref="D390:E390"/>
    <mergeCell ref="A391:A392"/>
    <mergeCell ref="B391:B392"/>
    <mergeCell ref="C391:C392"/>
    <mergeCell ref="D391:D392"/>
    <mergeCell ref="E391:E392"/>
    <mergeCell ref="A406:B406"/>
    <mergeCell ref="D406:E406"/>
    <mergeCell ref="A407:A408"/>
    <mergeCell ref="B407:B408"/>
    <mergeCell ref="C407:C408"/>
    <mergeCell ref="D407:D408"/>
    <mergeCell ref="E407:E408"/>
    <mergeCell ref="F401:H401"/>
    <mergeCell ref="A402:C402"/>
    <mergeCell ref="D402:E402"/>
    <mergeCell ref="F402:H402"/>
    <mergeCell ref="A403:C403"/>
    <mergeCell ref="D403:E403"/>
    <mergeCell ref="F403:F414"/>
    <mergeCell ref="G403:H406"/>
    <mergeCell ref="A404:C404"/>
    <mergeCell ref="D404:E404"/>
    <mergeCell ref="F415:H415"/>
    <mergeCell ref="A416:C416"/>
    <mergeCell ref="D416:E416"/>
    <mergeCell ref="F416:H416"/>
    <mergeCell ref="A417:C417"/>
    <mergeCell ref="D417:E417"/>
    <mergeCell ref="F417:F428"/>
    <mergeCell ref="G417:H420"/>
    <mergeCell ref="A418:C418"/>
    <mergeCell ref="D418:E418"/>
    <mergeCell ref="D412:D413"/>
    <mergeCell ref="E412:E413"/>
    <mergeCell ref="A414:B414"/>
    <mergeCell ref="D414:E414"/>
    <mergeCell ref="G407:G409"/>
    <mergeCell ref="A410:A411"/>
    <mergeCell ref="B410:B411"/>
    <mergeCell ref="C410:C411"/>
    <mergeCell ref="D410:D411"/>
    <mergeCell ref="E410:E411"/>
    <mergeCell ref="G410:G414"/>
    <mergeCell ref="A412:A413"/>
    <mergeCell ref="B412:B413"/>
    <mergeCell ref="C412:C413"/>
    <mergeCell ref="F431:H431"/>
    <mergeCell ref="A432:C432"/>
    <mergeCell ref="D432:E432"/>
    <mergeCell ref="F432:H432"/>
    <mergeCell ref="A433:C433"/>
    <mergeCell ref="D433:E433"/>
    <mergeCell ref="F433:F444"/>
    <mergeCell ref="G433:H436"/>
    <mergeCell ref="A434:C434"/>
    <mergeCell ref="D434:E434"/>
    <mergeCell ref="D426:D427"/>
    <mergeCell ref="E426:E427"/>
    <mergeCell ref="A428:B428"/>
    <mergeCell ref="D428:E428"/>
    <mergeCell ref="G421:G423"/>
    <mergeCell ref="A424:A425"/>
    <mergeCell ref="B424:B425"/>
    <mergeCell ref="C424:C425"/>
    <mergeCell ref="D424:D425"/>
    <mergeCell ref="E424:E425"/>
    <mergeCell ref="G424:G428"/>
    <mergeCell ref="A426:A427"/>
    <mergeCell ref="B426:B427"/>
    <mergeCell ref="C426:C427"/>
    <mergeCell ref="A421:A422"/>
    <mergeCell ref="B421:B422"/>
    <mergeCell ref="C421:C422"/>
    <mergeCell ref="D421:D422"/>
    <mergeCell ref="E421:E422"/>
    <mergeCell ref="G437:G439"/>
    <mergeCell ref="A440:A441"/>
    <mergeCell ref="B440:B441"/>
    <mergeCell ref="C440:C441"/>
    <mergeCell ref="D440:D441"/>
    <mergeCell ref="E440:E441"/>
    <mergeCell ref="G440:G444"/>
    <mergeCell ref="A442:A443"/>
    <mergeCell ref="B442:B443"/>
    <mergeCell ref="C442:C443"/>
    <mergeCell ref="A435:B435"/>
    <mergeCell ref="D435:E435"/>
    <mergeCell ref="A436:B436"/>
    <mergeCell ref="D436:E436"/>
    <mergeCell ref="A437:A438"/>
    <mergeCell ref="B437:B438"/>
    <mergeCell ref="C437:C438"/>
    <mergeCell ref="D437:D438"/>
    <mergeCell ref="E437:E438"/>
    <mergeCell ref="C458:C459"/>
    <mergeCell ref="A451:B451"/>
    <mergeCell ref="D451:E451"/>
    <mergeCell ref="A452:B452"/>
    <mergeCell ref="D452:E452"/>
    <mergeCell ref="A453:A454"/>
    <mergeCell ref="B453:B454"/>
    <mergeCell ref="C453:C454"/>
    <mergeCell ref="D453:D454"/>
    <mergeCell ref="E453:E454"/>
    <mergeCell ref="F447:H447"/>
    <mergeCell ref="A448:C448"/>
    <mergeCell ref="D448:E448"/>
    <mergeCell ref="F448:H448"/>
    <mergeCell ref="A449:C449"/>
    <mergeCell ref="D449:E449"/>
    <mergeCell ref="F449:F460"/>
    <mergeCell ref="G449:H452"/>
    <mergeCell ref="A450:C450"/>
    <mergeCell ref="D450:E450"/>
    <mergeCell ref="A447:C447"/>
    <mergeCell ref="D447:E447"/>
    <mergeCell ref="G453:G455"/>
    <mergeCell ref="A456:A457"/>
    <mergeCell ref="B456:B457"/>
    <mergeCell ref="C456:C457"/>
    <mergeCell ref="D456:D457"/>
    <mergeCell ref="E456:E457"/>
    <mergeCell ref="G456:G460"/>
    <mergeCell ref="A458:A459"/>
    <mergeCell ref="B458:B459"/>
    <mergeCell ref="D458:D459"/>
    <mergeCell ref="A109:C109"/>
    <mergeCell ref="D109:E109"/>
    <mergeCell ref="F17:H17"/>
    <mergeCell ref="A33:C33"/>
    <mergeCell ref="D33:E33"/>
    <mergeCell ref="A47:C47"/>
    <mergeCell ref="D47:E47"/>
    <mergeCell ref="A63:C63"/>
    <mergeCell ref="D63:E63"/>
    <mergeCell ref="A17:C17"/>
    <mergeCell ref="D17:E17"/>
    <mergeCell ref="A79:C79"/>
    <mergeCell ref="D79:E79"/>
    <mergeCell ref="A93:C93"/>
    <mergeCell ref="D93:E93"/>
    <mergeCell ref="A247:C247"/>
    <mergeCell ref="D247:E247"/>
    <mergeCell ref="A201:C201"/>
    <mergeCell ref="D201:E201"/>
    <mergeCell ref="A217:C217"/>
    <mergeCell ref="D217:E217"/>
    <mergeCell ref="A231:C231"/>
    <mergeCell ref="D231:E231"/>
    <mergeCell ref="A155:C155"/>
    <mergeCell ref="D155:E155"/>
    <mergeCell ref="A171:C171"/>
    <mergeCell ref="D171:E171"/>
    <mergeCell ref="A185:C185"/>
    <mergeCell ref="D185:E185"/>
    <mergeCell ref="A251:B251"/>
    <mergeCell ref="D251:E251"/>
    <mergeCell ref="A252:B252"/>
    <mergeCell ref="D252:E252"/>
    <mergeCell ref="A235:B235"/>
    <mergeCell ref="D235:E235"/>
    <mergeCell ref="A236:B236"/>
    <mergeCell ref="D236:E236"/>
    <mergeCell ref="A221:B221"/>
    <mergeCell ref="D221:E221"/>
    <mergeCell ref="A431:C431"/>
    <mergeCell ref="D431:E431"/>
    <mergeCell ref="A385:C385"/>
    <mergeCell ref="D385:E385"/>
    <mergeCell ref="A401:C401"/>
    <mergeCell ref="D401:E401"/>
    <mergeCell ref="A415:C415"/>
    <mergeCell ref="D415:E415"/>
    <mergeCell ref="A339:C339"/>
    <mergeCell ref="D339:E339"/>
    <mergeCell ref="A355:C355"/>
    <mergeCell ref="D355:E355"/>
    <mergeCell ref="A369:C369"/>
    <mergeCell ref="D369:E369"/>
    <mergeCell ref="A293:C293"/>
    <mergeCell ref="D293:E293"/>
    <mergeCell ref="A309:C309"/>
    <mergeCell ref="D309:E309"/>
    <mergeCell ref="A323:C323"/>
    <mergeCell ref="D323:E323"/>
    <mergeCell ref="D442:D443"/>
    <mergeCell ref="E442:E443"/>
    <mergeCell ref="A444:B444"/>
    <mergeCell ref="D444:E444"/>
    <mergeCell ref="A419:B419"/>
    <mergeCell ref="D419:E419"/>
    <mergeCell ref="A420:B420"/>
    <mergeCell ref="D420:E420"/>
    <mergeCell ref="A405:B405"/>
    <mergeCell ref="D405:E405"/>
  </mergeCells>
  <printOptions horizontalCentered="1" verticalCentered="1"/>
  <pageMargins left="0.39370078740157483" right="0.39370078740157483" top="0.39370078740157483" bottom="0.39370078740157483" header="0" footer="0"/>
  <pageSetup paperSize="9" scale="86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Setup</vt:lpstr>
      <vt:lpstr>Weigh-In</vt:lpstr>
      <vt:lpstr>Start</vt:lpstr>
      <vt:lpstr>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tianfu</dc:creator>
  <cp:lastModifiedBy>tianfu</cp:lastModifiedBy>
  <cp:lastPrinted>2018-03-13T11:33:44Z</cp:lastPrinted>
  <dcterms:created xsi:type="dcterms:W3CDTF">2018-03-08T14:24:31Z</dcterms:created>
  <dcterms:modified xsi:type="dcterms:W3CDTF">2018-03-13T17:51:15Z</dcterms:modified>
</cp:coreProperties>
</file>