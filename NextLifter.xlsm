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8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J8" i="1" l="1"/>
  <c r="J10" i="1" l="1"/>
  <c r="J9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AO10" i="1"/>
  <c r="Y10" i="1"/>
  <c r="T10" i="1"/>
  <c r="O10" i="1"/>
  <c r="AO9" i="1"/>
  <c r="Y9" i="1"/>
  <c r="T9" i="1"/>
  <c r="O9" i="1"/>
  <c r="BB9" i="1"/>
  <c r="AC9" i="1"/>
  <c r="AC10" i="1"/>
  <c r="F5" i="8" l="1"/>
  <c r="R5" i="8" s="1"/>
  <c r="N6" i="8"/>
  <c r="A6" i="8"/>
  <c r="B7" i="8"/>
  <c r="U10" i="1"/>
  <c r="U9" i="1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B10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1" i="5"/>
  <c r="F10" i="5"/>
  <c r="BA6" i="1"/>
  <c r="AP8" i="1"/>
  <c r="AP10" i="1"/>
  <c r="BB8" i="1"/>
  <c r="BE5" i="1"/>
  <c r="AP9" i="1"/>
  <c r="F8" i="5" l="1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F9" i="1"/>
  <c r="F10" i="1"/>
  <c r="BZ10" i="1"/>
  <c r="AU10" i="1"/>
  <c r="BZ9" i="1"/>
  <c r="AU9" i="1"/>
  <c r="Z9" i="1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9" i="1"/>
  <c r="H10" i="1"/>
  <c r="AV1" i="1"/>
  <c r="BE6" i="1"/>
  <c r="AQ9" i="1"/>
  <c r="AQ10" i="1"/>
  <c r="AQ8" i="1"/>
  <c r="A13" i="8" l="1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Z10" i="1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Y5" i="1"/>
  <c r="AY4" i="1"/>
  <c r="BD6" i="1"/>
  <c r="S10" i="8" l="1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10" i="1"/>
  <c r="AB10" i="1" s="1"/>
  <c r="AA9" i="1"/>
  <c r="AB9" i="1" s="1"/>
  <c r="AA8" i="1"/>
  <c r="AD8" i="1"/>
  <c r="F3" i="8"/>
  <c r="Q3" i="8"/>
  <c r="F4" i="8"/>
  <c r="A2" i="1"/>
  <c r="F4" i="1"/>
  <c r="C2" i="1"/>
  <c r="P3" i="2"/>
  <c r="AN10" i="1"/>
  <c r="A3" i="1"/>
  <c r="AN9" i="1"/>
  <c r="A4" i="1"/>
  <c r="AN8" i="1"/>
  <c r="F13" i="8" l="1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AH9" i="1"/>
  <c r="AH10" i="1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AJ9" i="1"/>
  <c r="AJ10" i="1"/>
  <c r="R22" i="2"/>
  <c r="Q23" i="2"/>
  <c r="R23" i="2" s="1"/>
  <c r="R21" i="2"/>
  <c r="S3" i="8"/>
  <c r="H3" i="8"/>
  <c r="J9" i="4"/>
  <c r="S4" i="8"/>
  <c r="I4" i="8"/>
  <c r="U4" i="8" s="1"/>
  <c r="L6" i="4"/>
  <c r="AI9" i="1"/>
  <c r="AI8" i="1"/>
  <c r="AK9" i="1"/>
  <c r="AK10" i="1"/>
  <c r="AI10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AL10" i="1"/>
  <c r="AD10" i="1" s="1"/>
  <c r="AL9" i="1"/>
  <c r="AD9" i="1" s="1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B2" i="1"/>
  <c r="BC2" i="1" s="1"/>
  <c r="BD2" i="1" s="1"/>
  <c r="BE2" i="1" s="1"/>
  <c r="BF2" i="1" s="1"/>
  <c r="BG2" i="1" s="1"/>
  <c r="BH2" i="1" s="1"/>
  <c r="BA9" i="1"/>
  <c r="BA10" i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09:54:40 115/Good
SQ-1 09:55:47 - 
SQ-1 09:55:55 - 115
SQ-1 13:04:24 115/Good
SQ-1 13:04:48 - 115
SQ-1 13:12:26 115/Good
SQ-1 13:25:29 115/Good
SQ-1 14:52:36 - 115
SQ-1 14:52:41 115/Good
SQ-2 14:52:51 - 120
SQ-1 17:26:35 -115/No-Lift
SQ-2 10:38:43 120/Good
SQ-2 10:38:53 - 120
SQ-2 14:57:29 120/Good
SQ-3 14:57:46 - 125
SQ-3 16:35:14 125/Good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13:12:40 67,5/Good
BP-2 14:53:00 - 70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13:21:40 150/Good
DL-1 13:25:43 150/Good
DL-2 13:25:51 - 160
DL-2 13:25:59 160/Good
DL-2 14:31:26 - 160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13:04:40 -190/No-Lift
SQ-1 13:04:45 - 190
SQ-1 13:12:29 190/Good
SQ-2 14:52:55 - 200
SQ-2 10:38:48 200/Good
SQ-2 10:38:55 - 200
SQ-2 15:25:52 200/Good
SQ-2 15:26:01 - 200
SQ-2 15:26:08 -200/No-Lift
SQ-2 15:26:13 - 200
SQ-2 15:26:33 200/Good
SQ-3 15:26:36 - 210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13:12:41 140/Good
BP-2 14:53:01 - 145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13:21:41 200/Good
DL-2 13:25:54 - 210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<sst xmlns="http://schemas.openxmlformats.org/spreadsheetml/2006/main" count="474" uniqueCount="208">
  <si>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</si>
  <si>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</si>
  <si>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</si>
  <si>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</si>
  <si>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</si>
  <si>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</si>
  <si>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</si>
  <si>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</si>
  <si>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</si>
  <si>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</si>
  <si>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</si>
  <si>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</si>
  <si>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</si>
  <si>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</si>
  <si>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</si>
  <si>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</si>
  <si>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</si>
  <si>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</si>
  <si>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</si>
  <si>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</si>
  <si>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</si>
  <si>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</si>
  <si>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</si>
  <si>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</si>
  <si>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</si>
  <si>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</si>
  <si>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</si>
  <si>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</si>
  <si>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</si>
  <si>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</si>
  <si>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</si>
  <si>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</si>
  <si>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</si>
  <si>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</si>
  <si>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</si>
  <si>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</si>
  <si>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</si>
  <si>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</si>
  <si>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</si>
  <si>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</si>
  <si>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</si>
  <si>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</si>
  <si>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</si>
  <si>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</si>
  <si>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</si>
  <si>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</si>
  <si>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</si>
  <si>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</si>
  <si>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</si>
  <si>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</si>
  <si>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</si>
  <si>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</si>
  <si>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</si>
  <si>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</si>
  <si>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</si>
  <si>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</si>
  <si>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</si>
  <si>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</si>
  <si>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</si>
  <si>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</si>
  <si>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</si>
  <si>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</si>
  <si>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</si>
  <si>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</si>
  <si>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</si>
  <si>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</si>
  <si>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</si>
  <si>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</si>
  <si>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</si>
  <si>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</si>
  <si>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</si>
  <si>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</si>
  <si>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</si>
  <si>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</si>
  <si>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</si>
  <si>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</si>
  <si>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</si>
  <si>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</si>
  <si>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</si>
  <si>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</si>
  <si>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</si>
  <si>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</si>
  <si>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</si>
  <si>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</si>
  <si>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</si>
  <si>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</si>
  <si>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</si>
  <si>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</si>
  <si>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</si>
  <si>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</si>
  <si>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</si>
  <si>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</si>
  <si>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</si>
  <si>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</si>
  <si>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</si>
  <si>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</si>
  <si>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</si>
  <si>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</si>
  <si>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</si>
  <si>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</si>
  <si>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</si>
  <si>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</si>
  <si>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</si>
  <si>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</si>
  <si>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</si>
  <si>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</si>
  <si>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</si>
  <si>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</si>
  <si>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</si>
  <si>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</si>
  <si>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</si>
  <si>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</si>
  <si>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</si>
  <si>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</si>
  <si>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</si>
  <si>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</si>
  <si>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</si>
  <si>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</si>
  <si>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</si>
  <si>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</si>
  <si>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</si>
  <si>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</si>
  <si>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</si>
  <si>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</si>
  <si>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</si>
  <si>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</si>
  <si>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</si>
  <si>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</si>
  <si>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</si>
  <si>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</si>
  <si>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</si>
  <si>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</si>
  <si>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</si>
  <si>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</si>
  <si>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</si>
  <si>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</si>
  <si>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</si>
  <si>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</si>
  <si>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</si>
  <si>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</si>
  <si>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</si>
  <si>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</si>
  <si>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</si>
  <si>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</si>
  <si>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</si>
  <si>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</si>
  <si>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</si>
  <si>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</si>
  <si>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</si>
  <si>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</si>
  <si>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</si>
  <si>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Powerlifting Results Name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</si>
  <si>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</si>
  <si>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</si>
  <si>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</si>
  <si>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</si>
  <si>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</si>
  <si>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</si>
  <si>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</si>
  <si>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</si>
  <si>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</si>
  <si>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</si>
  <si>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</si>
  <si>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</si>
  <si>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</si>
  <si>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</si>
  <si>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</si>
  <si>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</si>
  <si>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</si>
  <si>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</si>
  <si>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</si>
  <si>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</si>
  <si>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</si>
  <si>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</si>
  <si>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</si>
  <si>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</si>
  <si>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</si>
  <si>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</si>
  <si>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</si>
  <si>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</si>
  <si>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</si>
  <si>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</si>
  <si>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</si>
  <si>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</si>
  <si>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</si>
  <si>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</si>
  <si>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</si>
  <si>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</si>
  <si>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</si>
  <si>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 Cup</t>
  </si>
  <si>
    <t>GSK</t>
  </si>
  <si>
    <t>Göteborgs SK</t>
  </si>
  <si>
    <t>GKK</t>
  </si>
  <si>
    <t>Göteborg KK</t>
  </si>
  <si>
    <t>Grp A</t>
  </si>
  <si>
    <t>Tianfu Yun</t>
  </si>
  <si>
    <t>Isabelle Karlsson</t>
  </si>
  <si>
    <t>13i</t>
  </si>
  <si>
    <t>6/6</t>
  </si>
  <si>
    <t>Age-Wilks</t>
  </si>
  <si>
    <t>Wilks</t>
  </si>
  <si>
    <t>1-M-O-83-PL</t>
  </si>
  <si>
    <t>1-F-O-63-PL</t>
  </si>
  <si>
    <t>Exempel Exempelsson</t>
  </si>
  <si>
    <t>8</t>
  </si>
  <si>
    <t>Born</t>
  </si>
  <si>
    <t>Born yymmdd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</si>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</sst>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48"/>
      <name val="Arial"/>
      <family val="2"/>
    </font>
    <font>
      <sz val="10"/>
      <name val="Arial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trike/>
      <sz val="10"/>
      <color indexed="9"/>
      <name val="Arial"/>
      <family val="2"/>
    </font>
    <font>
      <sz val="10"/>
      <color indexed="8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29" fillId="0" borderId="43" xfId="0" applyFont="1" applyFill="1" applyBorder="1" applyAlignment="1">
      <alignment horizontal="center" vertical="top" shrinkToFit="1"/>
    </xf>
    <xf numFmtId="0" fontId="29" fillId="0" borderId="36" xfId="0" applyFont="1" applyFill="1" applyBorder="1" applyAlignment="1">
      <alignment horizontal="center" vertical="top" shrinkToFit="1"/>
    </xf>
    <xf numFmtId="0" fontId="29" fillId="0" borderId="44" xfId="0" applyFont="1" applyFill="1" applyBorder="1" applyAlignment="1">
      <alignment horizontal="center" vertical="top" shrinkToFit="1"/>
    </xf>
    <xf numFmtId="0" fontId="29" fillId="0" borderId="35" xfId="0" applyFont="1" applyFill="1" applyBorder="1" applyAlignment="1">
      <alignment horizontal="center" vertical="top" shrinkToFit="1"/>
    </xf>
    <xf numFmtId="0" fontId="30" fillId="0" borderId="45" xfId="0" applyFont="1" applyFill="1" applyBorder="1" applyAlignment="1">
      <alignment horizontal="center" vertical="center" shrinkToFit="1"/>
    </xf>
    <xf numFmtId="0" fontId="30" fillId="0" borderId="4" xfId="0" applyFont="1" applyFill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  <protection locked="0"/>
    </xf>
    <xf numFmtId="0" fontId="31" fillId="0" borderId="2" xfId="0" applyFont="1" applyBorder="1" applyAlignment="1" applyProtection="1">
      <alignment horizontal="center" vertical="center" shrinkToFit="1"/>
      <protection locked="0"/>
    </xf>
    <xf numFmtId="0" fontId="31" fillId="0" borderId="19" xfId="0" applyFont="1" applyBorder="1" applyAlignment="1" applyProtection="1">
      <alignment horizontal="center" vertical="center" shrinkToFit="1"/>
      <protection locked="0"/>
    </xf>
    <xf numFmtId="0" fontId="31" fillId="0" borderId="19" xfId="0" applyFont="1" applyBorder="1" applyAlignment="1" applyProtection="1">
      <alignment vertical="center" shrinkToFit="1"/>
      <protection locked="0"/>
    </xf>
    <xf numFmtId="0" fontId="32" fillId="0" borderId="0" xfId="0" applyFont="1" applyBorder="1"/>
    <xf numFmtId="0" fontId="32" fillId="0" borderId="0" xfId="0" applyNumberFormat="1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49" fontId="32" fillId="0" borderId="0" xfId="0" applyNumberFormat="1" applyFont="1" applyBorder="1" applyAlignment="1">
      <alignment horizontal="center"/>
    </xf>
    <xf numFmtId="167" fontId="32" fillId="0" borderId="0" xfId="0" applyNumberFormat="1" applyFont="1" applyBorder="1"/>
    <xf numFmtId="0" fontId="3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 wrapText="1"/>
    </xf>
    <xf numFmtId="1" fontId="32" fillId="0" borderId="0" xfId="0" applyNumberFormat="1" applyFont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34" fillId="0" borderId="0" xfId="0" applyFont="1" applyFill="1" applyBorder="1" applyAlignment="1">
      <alignment horizontal="center" wrapText="1"/>
    </xf>
    <xf numFmtId="0" fontId="35" fillId="11" borderId="0" xfId="0" applyFont="1" applyFill="1" applyBorder="1" applyAlignment="1">
      <alignment horizontal="center" vertical="center"/>
    </xf>
    <xf numFmtId="0" fontId="35" fillId="0" borderId="0" xfId="0" applyFont="1" applyBorder="1"/>
    <xf numFmtId="166" fontId="32" fillId="0" borderId="0" xfId="0" applyNumberFormat="1" applyFont="1" applyBorder="1" applyAlignment="1">
      <alignment horizontal="center"/>
    </xf>
    <xf numFmtId="0" fontId="32" fillId="0" borderId="1" xfId="0" applyFont="1" applyBorder="1"/>
    <xf numFmtId="0" fontId="36" fillId="0" borderId="2" xfId="0" applyFont="1" applyFill="1" applyBorder="1" applyAlignment="1">
      <alignment horizontal="center" vertical="center" shrinkToFit="1"/>
    </xf>
    <xf numFmtId="0" fontId="36" fillId="0" borderId="3" xfId="0" applyFont="1" applyFill="1" applyBorder="1" applyAlignment="1">
      <alignment horizontal="center" vertical="center" shrinkToFit="1"/>
    </xf>
    <xf numFmtId="0" fontId="37" fillId="0" borderId="43" xfId="0" applyFont="1" applyBorder="1" applyAlignment="1">
      <alignment horizontal="center" vertical="center"/>
    </xf>
    <xf numFmtId="0" fontId="37" fillId="0" borderId="36" xfId="0" applyFont="1" applyBorder="1" applyAlignment="1">
      <alignment horizontal="center" vertical="center"/>
    </xf>
    <xf numFmtId="0" fontId="38" fillId="0" borderId="0" xfId="0" applyFont="1" applyBorder="1" applyAlignment="1">
      <alignment horizontal="center"/>
    </xf>
    <xf numFmtId="169" fontId="32" fillId="0" borderId="0" xfId="0" applyNumberFormat="1" applyFont="1" applyBorder="1"/>
    <xf numFmtId="0" fontId="35" fillId="0" borderId="0" xfId="0" applyFont="1" applyBorder="1" applyAlignment="1">
      <alignment horizontal="center"/>
    </xf>
    <xf numFmtId="0" fontId="36" fillId="0" borderId="1" xfId="0" applyFont="1" applyFill="1" applyBorder="1" applyAlignment="1">
      <alignment horizontal="center" vertical="center" shrinkToFit="1"/>
    </xf>
    <xf numFmtId="0" fontId="37" fillId="0" borderId="43" xfId="0" applyFont="1" applyBorder="1" applyAlignment="1">
      <alignment horizontal="center" vertical="center" shrinkToFit="1"/>
    </xf>
    <xf numFmtId="0" fontId="37" fillId="0" borderId="36" xfId="0" applyFont="1" applyBorder="1" applyAlignment="1">
      <alignment horizontal="center" vertical="center" shrinkToFit="1"/>
    </xf>
    <xf numFmtId="169" fontId="34" fillId="2" borderId="0" xfId="0" applyNumberFormat="1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/>
    </xf>
    <xf numFmtId="0" fontId="34" fillId="2" borderId="0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6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4" fillId="2" borderId="0" xfId="0" applyFont="1" applyFill="1" applyBorder="1"/>
    <xf numFmtId="0" fontId="34" fillId="2" borderId="2" xfId="0" applyFont="1" applyFill="1" applyBorder="1" applyAlignment="1">
      <alignment horizontal="center" vertical="center"/>
    </xf>
    <xf numFmtId="0" fontId="34" fillId="2" borderId="3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32" fillId="0" borderId="0" xfId="0" applyNumberFormat="1" applyFont="1" applyBorder="1" applyAlignment="1">
      <alignment horizontal="center"/>
    </xf>
    <xf numFmtId="166" fontId="34" fillId="2" borderId="0" xfId="0" applyNumberFormat="1" applyFont="1" applyFill="1" applyBorder="1" applyAlignment="1">
      <alignment horizontal="center" vertical="center" wrapText="1"/>
    </xf>
    <xf numFmtId="0" fontId="32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32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4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/>
    <xf numFmtId="0" fontId="32" fillId="0" borderId="5" xfId="0" applyNumberFormat="1" applyFont="1" applyFill="1" applyBorder="1" applyAlignment="1">
      <alignment horizontal="center"/>
    </xf>
    <xf numFmtId="0" fontId="32" fillId="0" borderId="5" xfId="0" applyFont="1" applyFill="1" applyBorder="1" applyAlignment="1">
      <alignment horizontal="center"/>
    </xf>
    <xf numFmtId="49" fontId="32" fillId="0" borderId="5" xfId="0" applyNumberFormat="1" applyFont="1" applyFill="1" applyBorder="1" applyAlignment="1">
      <alignment horizontal="center"/>
    </xf>
    <xf numFmtId="167" fontId="32" fillId="0" borderId="5" xfId="0" applyNumberFormat="1" applyFont="1" applyFill="1" applyBorder="1"/>
    <xf numFmtId="0" fontId="33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32" fillId="0" borderId="5" xfId="0" applyFont="1" applyBorder="1" applyAlignment="1">
      <alignment horizontal="center"/>
    </xf>
    <xf numFmtId="169" fontId="32" fillId="0" borderId="5" xfId="0" applyNumberFormat="1" applyFont="1" applyFill="1" applyBorder="1" applyAlignment="1">
      <alignment horizontal="center"/>
    </xf>
    <xf numFmtId="0" fontId="34" fillId="2" borderId="5" xfId="0" applyFont="1" applyFill="1" applyBorder="1" applyAlignment="1">
      <alignment horizontal="center"/>
    </xf>
    <xf numFmtId="0" fontId="34" fillId="2" borderId="5" xfId="0" applyFont="1" applyFill="1" applyBorder="1"/>
    <xf numFmtId="166" fontId="32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4" fillId="2" borderId="1" xfId="0" applyFont="1" applyFill="1" applyBorder="1" applyAlignment="1">
      <alignment vertical="center"/>
    </xf>
    <xf numFmtId="0" fontId="34" fillId="2" borderId="1" xfId="0" applyFont="1" applyFill="1" applyBorder="1" applyAlignment="1">
      <alignment horizontal="center" vertical="center" wrapText="1"/>
    </xf>
    <xf numFmtId="0" fontId="34" fillId="2" borderId="1" xfId="0" applyFont="1" applyFill="1" applyBorder="1" applyAlignment="1">
      <alignment vertical="center" wrapText="1"/>
    </xf>
    <xf numFmtId="0" fontId="34" fillId="2" borderId="1" xfId="0" applyNumberFormat="1" applyFont="1" applyFill="1" applyBorder="1" applyAlignment="1">
      <alignment horizontal="center" vertical="center" wrapText="1"/>
    </xf>
    <xf numFmtId="49" fontId="34" fillId="2" borderId="1" xfId="0" applyNumberFormat="1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5" fillId="11" borderId="1" xfId="0" applyFont="1" applyFill="1" applyBorder="1" applyAlignment="1">
      <alignment horizontal="center" vertical="center" wrapText="1"/>
    </xf>
    <xf numFmtId="166" fontId="34" fillId="2" borderId="1" xfId="0" applyNumberFormat="1" applyFont="1" applyFill="1" applyBorder="1" applyAlignment="1">
      <alignment horizontal="center" vertical="center" wrapText="1"/>
    </xf>
    <xf numFmtId="0" fontId="32" fillId="0" borderId="1" xfId="0" applyFont="1" applyBorder="1" applyAlignment="1" applyProtection="1">
      <alignment horizontal="center"/>
      <protection locked="0"/>
    </xf>
    <xf numFmtId="0" fontId="32" fillId="0" borderId="1" xfId="0" applyFont="1" applyBorder="1" applyAlignment="1" applyProtection="1">
      <alignment shrinkToFit="1"/>
      <protection locked="0"/>
    </xf>
    <xf numFmtId="0" fontId="32" fillId="0" borderId="1" xfId="0" applyFont="1" applyBorder="1" applyAlignment="1" applyProtection="1">
      <alignment horizontal="center" shrinkToFit="1"/>
      <protection locked="0"/>
    </xf>
    <xf numFmtId="164" fontId="32" fillId="0" borderId="1" xfId="0" applyNumberFormat="1" applyFont="1" applyBorder="1" applyAlignment="1">
      <alignment shrinkToFit="1"/>
    </xf>
    <xf numFmtId="0" fontId="32" fillId="0" borderId="1" xfId="0" applyNumberFormat="1" applyFont="1" applyBorder="1" applyAlignment="1" applyProtection="1">
      <alignment horizontal="center"/>
      <protection locked="0"/>
    </xf>
    <xf numFmtId="0" fontId="32" fillId="2" borderId="1" xfId="0" applyFont="1" applyFill="1" applyBorder="1" applyAlignment="1" applyProtection="1">
      <alignment horizontal="center" shrinkToFit="1"/>
    </xf>
    <xf numFmtId="49" fontId="32" fillId="0" borderId="1" xfId="0" applyNumberFormat="1" applyFont="1" applyBorder="1" applyAlignment="1" applyProtection="1">
      <alignment horizontal="center"/>
      <protection locked="0"/>
    </xf>
    <xf numFmtId="167" fontId="32" fillId="2" borderId="1" xfId="0" applyNumberFormat="1" applyFont="1" applyFill="1" applyBorder="1" applyAlignment="1" applyProtection="1">
      <alignment horizontal="center"/>
    </xf>
    <xf numFmtId="0" fontId="32" fillId="0" borderId="1" xfId="0" applyFont="1" applyBorder="1" applyAlignment="1">
      <alignment horizontal="center" shrinkToFit="1"/>
    </xf>
    <xf numFmtId="167" fontId="33" fillId="2" borderId="1" xfId="0" applyNumberFormat="1" applyFont="1" applyFill="1" applyBorder="1" applyAlignment="1">
      <alignment horizontal="center"/>
    </xf>
    <xf numFmtId="0" fontId="33" fillId="0" borderId="1" xfId="0" applyFont="1" applyBorder="1" applyAlignment="1">
      <alignment horizontal="center"/>
    </xf>
    <xf numFmtId="169" fontId="32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32" fillId="0" borderId="1" xfId="0" applyNumberFormat="1" applyFont="1" applyBorder="1" applyAlignment="1">
      <alignment horizontal="center"/>
    </xf>
    <xf numFmtId="0" fontId="47" fillId="5" borderId="1" xfId="0" applyFont="1" applyFill="1" applyBorder="1" applyAlignment="1" applyProtection="1">
      <alignment horizontal="center"/>
      <protection locked="0"/>
    </xf>
    <xf numFmtId="0" fontId="48" fillId="12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19" fontId="32" fillId="0" borderId="1" xfId="0" applyNumberFormat="1" applyFont="1" applyBorder="1"/>
    <xf numFmtId="0" fontId="32" fillId="0" borderId="1" xfId="0" applyFont="1" applyBorder="1" applyAlignment="1"/>
    <xf numFmtId="0" fontId="32" fillId="0" borderId="1" xfId="0" applyNumberFormat="1" applyFont="1" applyBorder="1" applyAlignment="1">
      <alignment horizontal="center"/>
    </xf>
    <xf numFmtId="49" fontId="32" fillId="0" borderId="1" xfId="0" applyNumberFormat="1" applyFont="1" applyBorder="1" applyAlignment="1">
      <alignment horizontal="center"/>
    </xf>
    <xf numFmtId="167" fontId="32" fillId="0" borderId="1" xfId="0" applyNumberFormat="1" applyFont="1" applyBorder="1"/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10" fillId="12" borderId="1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71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</c:strCache>
            </c:strRef>
          </c:tx>
          <c:overlay val="0"/>
          <c:txPr>
            <a:bodyPr/>
            <a:lstStyle/>
            <a:p>
              <a:pPr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23</xdr:col>
      <xdr:colOff>1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0</xdr:colOff>
      <xdr:row>2</xdr:row>
      <xdr:rowOff>0</xdr:rowOff>
    </xdr:from>
    <xdr:to>
      <xdr:col>11</xdr:col>
      <xdr:colOff>507581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4969293" y="965033"/>
          <a:ext cx="858502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12</xdr:col>
      <xdr:colOff>0</xdr:colOff>
      <xdr:row>2</xdr:row>
      <xdr:rowOff>0</xdr:rowOff>
    </xdr:from>
    <xdr:to>
      <xdr:col>14</xdr:col>
      <xdr:colOff>0</xdr:colOff>
      <xdr:row>3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5827796" y="965033"/>
          <a:ext cx="1015165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13</xdr:col>
      <xdr:colOff>507582</xdr:colOff>
      <xdr:row>2</xdr:row>
      <xdr:rowOff>0</xdr:rowOff>
    </xdr:from>
    <xdr:to>
      <xdr:col>15</xdr:col>
      <xdr:colOff>350920</xdr:colOff>
      <xdr:row>3</xdr:row>
      <xdr:rowOff>1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42960" y="965033"/>
          <a:ext cx="858503" cy="325856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72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12</xdr:col>
      <xdr:colOff>0</xdr:colOff>
      <xdr:row>2</xdr:row>
      <xdr:rowOff>323849</xdr:rowOff>
    </xdr:from>
    <xdr:to>
      <xdr:col>15</xdr:col>
      <xdr:colOff>352424</xdr:colOff>
      <xdr:row>4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676775" y="1285874"/>
          <a:ext cx="1866899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O8" sqref="O8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184" t="s">
        <v>189</v>
      </c>
      <c r="C3" s="185"/>
      <c r="D3" s="185"/>
      <c r="E3" s="185"/>
      <c r="F3" s="186"/>
      <c r="H3" s="170" t="s">
        <v>163</v>
      </c>
      <c r="I3" s="171"/>
      <c r="J3" s="172"/>
      <c r="K3" s="178" t="s">
        <v>164</v>
      </c>
      <c r="L3" s="179"/>
      <c r="M3" s="176" t="s">
        <v>178</v>
      </c>
      <c r="O3" s="154" t="s">
        <v>150</v>
      </c>
      <c r="P3" s="155"/>
      <c r="Q3" s="155"/>
      <c r="R3" s="156"/>
      <c r="W3" s="1" t="s">
        <v>62</v>
      </c>
    </row>
    <row r="4" spans="1:23" ht="13.5" customHeight="1" thickBot="1" x14ac:dyDescent="0.25">
      <c r="B4" s="187"/>
      <c r="C4" s="188"/>
      <c r="D4" s="188"/>
      <c r="E4" s="188"/>
      <c r="F4" s="189"/>
      <c r="H4" s="173"/>
      <c r="I4" s="174"/>
      <c r="J4" s="175"/>
      <c r="K4" s="180"/>
      <c r="L4" s="181"/>
      <c r="M4" s="177"/>
      <c r="O4" s="157"/>
      <c r="P4" s="158"/>
      <c r="Q4" s="158"/>
      <c r="R4" s="159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152</v>
      </c>
      <c r="P5" s="160" t="s">
        <v>153</v>
      </c>
      <c r="Q5" s="160"/>
      <c r="R5" s="161"/>
      <c r="W5" s="1" t="s">
        <v>64</v>
      </c>
    </row>
    <row r="6" spans="1:23" ht="13.5" customHeight="1" thickBot="1" x14ac:dyDescent="0.25">
      <c r="H6" s="9"/>
      <c r="I6" s="6">
        <f ca="1">ABS(Lifting!C2)</f>
        <v>210</v>
      </c>
      <c r="J6" s="10">
        <f ca="1">2*(J9*I9+J10*I10+J11*I11+J12*I12+J13*I13+J14*I14+J15*I15+J16*I16+J17*I17+J18*I18+J19*I19)+55</f>
        <v>55</v>
      </c>
      <c r="K6" s="9"/>
      <c r="L6" s="6">
        <f ca="1">I6</f>
        <v>210</v>
      </c>
      <c r="M6" s="10">
        <f ca="1">2*(M9*L9+M10*L10+M11*L11+M12*L12+M13*L13+M14*L14+M15*L15+M16*L16+M17*L17+M18*L18+M19*L19)+25</f>
        <v>210</v>
      </c>
      <c r="O6" s="11" t="s">
        <v>190</v>
      </c>
      <c r="P6" s="137" t="s">
        <v>191</v>
      </c>
      <c r="Q6" s="137"/>
      <c r="R6" s="138"/>
      <c r="W6" s="1" t="s">
        <v>65</v>
      </c>
    </row>
    <row r="7" spans="1:23" x14ac:dyDescent="0.2">
      <c r="B7" s="184" t="s">
        <v>61</v>
      </c>
      <c r="C7" s="185"/>
      <c r="D7" s="185"/>
      <c r="E7" s="185"/>
      <c r="F7" s="186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192</v>
      </c>
      <c r="P7" s="151" t="s">
        <v>193</v>
      </c>
      <c r="Q7" s="137"/>
      <c r="R7" s="138"/>
      <c r="W7" s="1"/>
    </row>
    <row r="8" spans="1:23" ht="13.5" thickBot="1" x14ac:dyDescent="0.25">
      <c r="B8" s="187"/>
      <c r="C8" s="188"/>
      <c r="D8" s="188"/>
      <c r="E8" s="188"/>
      <c r="F8" s="189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151"/>
      <c r="Q8" s="137"/>
      <c r="R8" s="138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151"/>
      <c r="Q9" s="137"/>
      <c r="R9" s="138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151"/>
      <c r="Q10" s="137"/>
      <c r="R10" s="138"/>
    </row>
    <row r="11" spans="1:23" x14ac:dyDescent="0.2">
      <c r="B11" s="14" t="s">
        <v>73</v>
      </c>
      <c r="C11" s="190" t="s">
        <v>74</v>
      </c>
      <c r="D11" s="191"/>
      <c r="E11" s="192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3</v>
      </c>
      <c r="O11" s="97"/>
      <c r="P11" s="151"/>
      <c r="Q11" s="137"/>
      <c r="R11" s="138"/>
    </row>
    <row r="12" spans="1:23" x14ac:dyDescent="0.2">
      <c r="B12" s="68" t="s">
        <v>75</v>
      </c>
      <c r="C12" s="132" t="s">
        <v>76</v>
      </c>
      <c r="D12" s="133"/>
      <c r="E12" s="134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0</v>
      </c>
      <c r="O12" s="97"/>
      <c r="P12" s="151"/>
      <c r="Q12" s="137"/>
      <c r="R12" s="138"/>
    </row>
    <row r="13" spans="1:23" x14ac:dyDescent="0.2">
      <c r="B13" s="68" t="s">
        <v>143</v>
      </c>
      <c r="C13" s="132" t="s">
        <v>144</v>
      </c>
      <c r="D13" s="133"/>
      <c r="E13" s="134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1</v>
      </c>
      <c r="O13" s="97"/>
      <c r="P13" s="151"/>
      <c r="Q13" s="137"/>
      <c r="R13" s="138"/>
    </row>
    <row r="14" spans="1:23" x14ac:dyDescent="0.2">
      <c r="B14" s="68" t="s">
        <v>48</v>
      </c>
      <c r="C14" s="132" t="s">
        <v>175</v>
      </c>
      <c r="D14" s="133"/>
      <c r="E14" s="134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151"/>
      <c r="Q14" s="137"/>
      <c r="R14" s="138"/>
    </row>
    <row r="15" spans="1:23" x14ac:dyDescent="0.2">
      <c r="B15" s="68" t="s">
        <v>162</v>
      </c>
      <c r="C15" s="132" t="s">
        <v>176</v>
      </c>
      <c r="D15" s="133"/>
      <c r="E15" s="134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151"/>
      <c r="Q15" s="137"/>
      <c r="R15" s="138"/>
    </row>
    <row r="16" spans="1:23" x14ac:dyDescent="0.2">
      <c r="B16" s="68"/>
      <c r="C16" s="132"/>
      <c r="D16" s="133"/>
      <c r="E16" s="134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151"/>
      <c r="Q16" s="137"/>
      <c r="R16" s="138"/>
    </row>
    <row r="17" spans="2:19" x14ac:dyDescent="0.2">
      <c r="B17" s="68"/>
      <c r="C17" s="132"/>
      <c r="D17" s="133"/>
      <c r="E17" s="134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151"/>
      <c r="Q17" s="137"/>
      <c r="R17" s="138"/>
    </row>
    <row r="18" spans="2:19" x14ac:dyDescent="0.2">
      <c r="B18" s="68"/>
      <c r="C18" s="132"/>
      <c r="D18" s="133"/>
      <c r="E18" s="134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151"/>
      <c r="Q18" s="137"/>
      <c r="R18" s="138"/>
    </row>
    <row r="19" spans="2:19" x14ac:dyDescent="0.2">
      <c r="B19" s="68"/>
      <c r="C19" s="132"/>
      <c r="D19" s="133"/>
      <c r="E19" s="134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151"/>
      <c r="Q19" s="137"/>
      <c r="R19" s="138"/>
    </row>
    <row r="20" spans="2:19" x14ac:dyDescent="0.2">
      <c r="B20" s="68"/>
      <c r="C20" s="132"/>
      <c r="D20" s="133"/>
      <c r="E20" s="134"/>
      <c r="F20" s="69"/>
      <c r="H20" s="182" t="s">
        <v>177</v>
      </c>
      <c r="I20" s="183"/>
      <c r="J20" s="98">
        <v>55</v>
      </c>
      <c r="K20" s="152" t="s">
        <v>177</v>
      </c>
      <c r="L20" s="153"/>
      <c r="M20" s="99">
        <v>25</v>
      </c>
      <c r="O20" s="11"/>
      <c r="P20" s="137"/>
      <c r="Q20" s="137"/>
      <c r="R20" s="138"/>
    </row>
    <row r="21" spans="2:19" x14ac:dyDescent="0.2">
      <c r="B21" s="68"/>
      <c r="C21" s="132"/>
      <c r="D21" s="133"/>
      <c r="E21" s="134"/>
      <c r="F21" s="69"/>
      <c r="H21" s="162">
        <f>H9*I9+H10*I10+H11*I11+H12*I12+H13*I13+H14*I14+H15*I15+H16*I16+H17*I17+H18*I18+H19*I19+55</f>
        <v>1080</v>
      </c>
      <c r="I21" s="166" t="s">
        <v>77</v>
      </c>
      <c r="J21" s="167"/>
      <c r="K21" s="164">
        <f>K9*L9+K10*L10+K11*L11+K12*L12+K13*L13+K14*L14+K15*L15+K16*L16+K17*L17+K18*L18+K19*L19+25</f>
        <v>485</v>
      </c>
      <c r="L21" s="166" t="s">
        <v>78</v>
      </c>
      <c r="M21" s="167"/>
      <c r="O21" s="11"/>
      <c r="P21" s="137"/>
      <c r="Q21" s="137"/>
      <c r="R21" s="138"/>
    </row>
    <row r="22" spans="2:19" ht="13.5" thickBot="1" x14ac:dyDescent="0.25">
      <c r="B22" s="68"/>
      <c r="C22" s="132"/>
      <c r="D22" s="133"/>
      <c r="E22" s="134"/>
      <c r="F22" s="69"/>
      <c r="H22" s="163"/>
      <c r="I22" s="168"/>
      <c r="J22" s="169"/>
      <c r="K22" s="165"/>
      <c r="L22" s="168"/>
      <c r="M22" s="169"/>
      <c r="O22" s="11"/>
      <c r="P22" s="137"/>
      <c r="Q22" s="137"/>
      <c r="R22" s="138"/>
    </row>
    <row r="23" spans="2:19" ht="13.5" thickBot="1" x14ac:dyDescent="0.25">
      <c r="B23" s="68"/>
      <c r="C23" s="132"/>
      <c r="D23" s="133"/>
      <c r="E23" s="134"/>
      <c r="F23" s="69"/>
      <c r="K23" s="8"/>
      <c r="O23" s="11"/>
      <c r="P23" s="137"/>
      <c r="Q23" s="137"/>
      <c r="R23" s="138"/>
    </row>
    <row r="24" spans="2:19" x14ac:dyDescent="0.2">
      <c r="B24" s="68"/>
      <c r="C24" s="132"/>
      <c r="D24" s="133"/>
      <c r="E24" s="134"/>
      <c r="F24" s="69"/>
      <c r="K24" s="139" t="s">
        <v>79</v>
      </c>
      <c r="L24" s="140"/>
      <c r="M24" s="141"/>
      <c r="O24" s="11"/>
      <c r="P24" s="137"/>
      <c r="Q24" s="137"/>
      <c r="R24" s="138"/>
    </row>
    <row r="25" spans="2:19" ht="13.5" thickBot="1" x14ac:dyDescent="0.25">
      <c r="B25" s="68"/>
      <c r="C25" s="132"/>
      <c r="D25" s="133"/>
      <c r="E25" s="134"/>
      <c r="F25" s="69"/>
      <c r="I25" s="90"/>
      <c r="J25" s="90"/>
      <c r="K25" s="142"/>
      <c r="L25" s="143"/>
      <c r="M25" s="144"/>
      <c r="N25" s="18"/>
      <c r="O25" s="11"/>
      <c r="P25" s="137"/>
      <c r="Q25" s="137"/>
      <c r="R25" s="138"/>
      <c r="S25" s="18"/>
    </row>
    <row r="26" spans="2:19" x14ac:dyDescent="0.2">
      <c r="B26" s="68"/>
      <c r="C26" s="132"/>
      <c r="D26" s="133"/>
      <c r="E26" s="134"/>
      <c r="F26" s="69"/>
      <c r="G26" s="18"/>
      <c r="H26" s="90"/>
      <c r="I26" s="90"/>
      <c r="J26" s="90"/>
      <c r="K26" s="145" t="s">
        <v>188</v>
      </c>
      <c r="L26" s="146"/>
      <c r="M26" s="147"/>
      <c r="N26" s="18"/>
      <c r="O26" s="11"/>
      <c r="P26" s="137"/>
      <c r="Q26" s="137"/>
      <c r="R26" s="138"/>
      <c r="S26" s="18"/>
    </row>
    <row r="27" spans="2:19" ht="12.75" customHeight="1" thickBot="1" x14ac:dyDescent="0.25">
      <c r="B27" s="68"/>
      <c r="C27" s="132"/>
      <c r="D27" s="133"/>
      <c r="E27" s="134"/>
      <c r="F27" s="69"/>
      <c r="G27" s="19"/>
      <c r="I27" s="90"/>
      <c r="J27" s="90"/>
      <c r="K27" s="148"/>
      <c r="L27" s="149"/>
      <c r="M27" s="150"/>
      <c r="N27" s="18"/>
      <c r="O27" s="11"/>
      <c r="P27" s="137"/>
      <c r="Q27" s="137"/>
      <c r="R27" s="138"/>
      <c r="S27" s="18"/>
    </row>
    <row r="28" spans="2:19" ht="12.75" customHeight="1" x14ac:dyDescent="0.2">
      <c r="B28" s="68"/>
      <c r="C28" s="132"/>
      <c r="D28" s="133"/>
      <c r="E28" s="134"/>
      <c r="F28" s="69"/>
      <c r="G28" s="19"/>
      <c r="H28" s="90"/>
      <c r="I28" s="90"/>
      <c r="J28" s="90"/>
      <c r="N28" s="18"/>
      <c r="O28" s="11"/>
      <c r="P28" s="137"/>
      <c r="Q28" s="137"/>
      <c r="R28" s="138"/>
      <c r="S28" s="18"/>
    </row>
    <row r="29" spans="2:19" ht="13.5" customHeight="1" thickBot="1" x14ac:dyDescent="0.25">
      <c r="B29" s="68"/>
      <c r="C29" s="132"/>
      <c r="D29" s="133"/>
      <c r="E29" s="134"/>
      <c r="F29" s="69"/>
      <c r="G29" s="19"/>
      <c r="N29" s="18"/>
      <c r="O29" s="20"/>
      <c r="P29" s="135"/>
      <c r="Q29" s="135"/>
      <c r="R29" s="136"/>
      <c r="S29" s="18"/>
    </row>
    <row r="30" spans="2:19" x14ac:dyDescent="0.2">
      <c r="B30" s="68"/>
      <c r="C30" s="132"/>
      <c r="D30" s="133"/>
      <c r="E30" s="134"/>
      <c r="F30" s="69"/>
      <c r="K30" s="8"/>
    </row>
    <row r="31" spans="2:19" x14ac:dyDescent="0.2">
      <c r="B31" s="68"/>
      <c r="C31" s="132"/>
      <c r="D31" s="133"/>
      <c r="E31" s="134"/>
      <c r="F31" s="69"/>
      <c r="I31" s="90"/>
      <c r="J31" s="90"/>
      <c r="K31" s="8"/>
    </row>
    <row r="32" spans="2:19" x14ac:dyDescent="0.2">
      <c r="B32" s="68"/>
      <c r="C32" s="132"/>
      <c r="D32" s="133"/>
      <c r="E32" s="134"/>
      <c r="F32" s="69"/>
      <c r="H32" s="90"/>
      <c r="I32" s="90"/>
      <c r="J32" s="90"/>
      <c r="K32" s="8"/>
    </row>
    <row r="33" spans="2:11" x14ac:dyDescent="0.2">
      <c r="B33" s="68"/>
      <c r="C33" s="132"/>
      <c r="D33" s="133"/>
      <c r="E33" s="134"/>
      <c r="F33" s="69"/>
      <c r="K33" s="8"/>
    </row>
    <row r="34" spans="2:11" x14ac:dyDescent="0.2">
      <c r="B34" s="68"/>
      <c r="C34" s="132"/>
      <c r="D34" s="133"/>
      <c r="E34" s="134"/>
      <c r="F34" s="69"/>
    </row>
    <row r="35" spans="2:11" x14ac:dyDescent="0.2">
      <c r="B35" s="68"/>
      <c r="C35" s="132"/>
      <c r="D35" s="133"/>
      <c r="E35" s="134"/>
      <c r="F35" s="69"/>
    </row>
    <row r="36" spans="2:11" x14ac:dyDescent="0.2">
      <c r="B36" s="68"/>
      <c r="C36" s="132"/>
      <c r="D36" s="133"/>
      <c r="E36" s="134"/>
      <c r="F36" s="69"/>
      <c r="K36" s="8"/>
    </row>
    <row r="37" spans="2:11" x14ac:dyDescent="0.2">
      <c r="B37" s="68"/>
      <c r="C37" s="132"/>
      <c r="D37" s="133"/>
      <c r="E37" s="134"/>
      <c r="F37" s="69"/>
    </row>
    <row r="38" spans="2:11" x14ac:dyDescent="0.2">
      <c r="B38" s="68"/>
      <c r="C38" s="132"/>
      <c r="D38" s="133"/>
      <c r="E38" s="134"/>
      <c r="F38" s="69"/>
    </row>
    <row r="39" spans="2:11" x14ac:dyDescent="0.2">
      <c r="B39" s="68"/>
      <c r="C39" s="132"/>
      <c r="D39" s="133"/>
      <c r="E39" s="134"/>
      <c r="F39" s="69"/>
    </row>
    <row r="40" spans="2:11" x14ac:dyDescent="0.2">
      <c r="B40" s="68"/>
      <c r="C40" s="132"/>
      <c r="D40" s="133"/>
      <c r="E40" s="134"/>
      <c r="F40" s="69"/>
    </row>
    <row r="41" spans="2:11" x14ac:dyDescent="0.2">
      <c r="B41" s="68"/>
      <c r="C41" s="132"/>
      <c r="D41" s="133"/>
      <c r="E41" s="134"/>
      <c r="F41" s="69"/>
    </row>
    <row r="42" spans="2:11" x14ac:dyDescent="0.2">
      <c r="B42" s="68"/>
      <c r="C42" s="132"/>
      <c r="D42" s="133"/>
      <c r="E42" s="134"/>
      <c r="F42" s="69"/>
    </row>
    <row r="43" spans="2:11" x14ac:dyDescent="0.2">
      <c r="B43" s="68"/>
      <c r="C43" s="132"/>
      <c r="D43" s="133"/>
      <c r="E43" s="134"/>
      <c r="F43" s="69"/>
    </row>
    <row r="44" spans="2:11" x14ac:dyDescent="0.2">
      <c r="B44" s="68"/>
      <c r="C44" s="132"/>
      <c r="D44" s="133"/>
      <c r="E44" s="134"/>
      <c r="F44" s="69"/>
    </row>
    <row r="45" spans="2:11" x14ac:dyDescent="0.2">
      <c r="B45" s="68"/>
      <c r="C45" s="132"/>
      <c r="D45" s="133"/>
      <c r="E45" s="134"/>
      <c r="F45" s="69"/>
    </row>
    <row r="46" spans="2:11" x14ac:dyDescent="0.2">
      <c r="B46" s="68"/>
      <c r="C46" s="132"/>
      <c r="D46" s="133"/>
      <c r="E46" s="134"/>
      <c r="F46" s="69"/>
    </row>
    <row r="47" spans="2:11" x14ac:dyDescent="0.2">
      <c r="B47" s="68"/>
      <c r="C47" s="132"/>
      <c r="D47" s="133"/>
      <c r="E47" s="134"/>
      <c r="F47" s="69"/>
    </row>
    <row r="48" spans="2:11" x14ac:dyDescent="0.2">
      <c r="B48" s="68"/>
      <c r="C48" s="132"/>
      <c r="D48" s="133"/>
      <c r="E48" s="134"/>
      <c r="F48" s="69"/>
    </row>
    <row r="49" spans="2:6" x14ac:dyDescent="0.2">
      <c r="B49" s="68"/>
      <c r="C49" s="132"/>
      <c r="D49" s="133"/>
      <c r="E49" s="134"/>
      <c r="F49" s="69"/>
    </row>
    <row r="50" spans="2:6" x14ac:dyDescent="0.2">
      <c r="B50" s="68"/>
      <c r="C50" s="132"/>
      <c r="D50" s="133"/>
      <c r="E50" s="134"/>
      <c r="F50" s="69"/>
    </row>
    <row r="51" spans="2:6" x14ac:dyDescent="0.2">
      <c r="B51" s="68"/>
      <c r="C51" s="132"/>
      <c r="D51" s="133"/>
      <c r="E51" s="134"/>
      <c r="F51" s="69"/>
    </row>
    <row r="52" spans="2:6" x14ac:dyDescent="0.2">
      <c r="B52" s="68"/>
      <c r="C52" s="132"/>
      <c r="D52" s="133"/>
      <c r="E52" s="134"/>
      <c r="F52" s="69"/>
    </row>
    <row r="53" spans="2:6" x14ac:dyDescent="0.2">
      <c r="B53" s="68"/>
      <c r="C53" s="132"/>
      <c r="D53" s="133"/>
      <c r="E53" s="134"/>
      <c r="F53" s="69"/>
    </row>
    <row r="54" spans="2:6" x14ac:dyDescent="0.2">
      <c r="B54" s="68"/>
      <c r="C54" s="132"/>
      <c r="D54" s="133"/>
      <c r="E54" s="134"/>
      <c r="F54" s="69"/>
    </row>
    <row r="55" spans="2:6" x14ac:dyDescent="0.2">
      <c r="B55" s="68"/>
      <c r="C55" s="132"/>
      <c r="D55" s="133"/>
      <c r="E55" s="134"/>
      <c r="F55" s="69"/>
    </row>
    <row r="56" spans="2:6" x14ac:dyDescent="0.2">
      <c r="B56" s="68"/>
      <c r="C56" s="132"/>
      <c r="D56" s="133"/>
      <c r="E56" s="134"/>
      <c r="F56" s="69"/>
    </row>
    <row r="57" spans="2:6" x14ac:dyDescent="0.2">
      <c r="B57" s="68"/>
      <c r="C57" s="132"/>
      <c r="D57" s="133"/>
      <c r="E57" s="134"/>
      <c r="F57" s="69"/>
    </row>
    <row r="58" spans="2:6" x14ac:dyDescent="0.2">
      <c r="B58" s="68"/>
      <c r="C58" s="132"/>
      <c r="D58" s="133"/>
      <c r="E58" s="134"/>
      <c r="F58" s="69"/>
    </row>
    <row r="59" spans="2:6" x14ac:dyDescent="0.2">
      <c r="B59" s="68"/>
      <c r="C59" s="132"/>
      <c r="D59" s="133"/>
      <c r="E59" s="134"/>
      <c r="F59" s="69"/>
    </row>
    <row r="60" spans="2:6" x14ac:dyDescent="0.2">
      <c r="B60" s="68"/>
      <c r="C60" s="132"/>
      <c r="D60" s="133"/>
      <c r="E60" s="134"/>
      <c r="F60" s="69"/>
    </row>
    <row r="61" spans="2:6" x14ac:dyDescent="0.2">
      <c r="B61" s="68"/>
      <c r="C61" s="132"/>
      <c r="D61" s="133"/>
      <c r="E61" s="134"/>
      <c r="F61" s="69"/>
    </row>
    <row r="62" spans="2:6" x14ac:dyDescent="0.2">
      <c r="B62" s="68"/>
      <c r="C62" s="132"/>
      <c r="D62" s="133"/>
      <c r="E62" s="134"/>
      <c r="F62" s="69"/>
    </row>
    <row r="63" spans="2:6" x14ac:dyDescent="0.2">
      <c r="B63" s="68"/>
      <c r="C63" s="132"/>
      <c r="D63" s="133"/>
      <c r="E63" s="134"/>
      <c r="F63" s="69"/>
    </row>
    <row r="64" spans="2:6" x14ac:dyDescent="0.2">
      <c r="B64" s="68"/>
      <c r="C64" s="132"/>
      <c r="D64" s="133"/>
      <c r="E64" s="134"/>
      <c r="F64" s="69"/>
    </row>
    <row r="65" spans="2:6" x14ac:dyDescent="0.2">
      <c r="B65" s="68"/>
      <c r="C65" s="132"/>
      <c r="D65" s="133"/>
      <c r="E65" s="134"/>
      <c r="F65" s="69"/>
    </row>
    <row r="66" spans="2:6" x14ac:dyDescent="0.2">
      <c r="B66" s="68"/>
      <c r="C66" s="132"/>
      <c r="D66" s="133"/>
      <c r="E66" s="134"/>
      <c r="F66" s="69"/>
    </row>
    <row r="67" spans="2:6" x14ac:dyDescent="0.2">
      <c r="B67" s="68"/>
      <c r="C67" s="132"/>
      <c r="D67" s="133"/>
      <c r="E67" s="134"/>
      <c r="F67" s="69"/>
    </row>
    <row r="68" spans="2:6" x14ac:dyDescent="0.2">
      <c r="B68" s="68"/>
      <c r="C68" s="132"/>
      <c r="D68" s="133"/>
      <c r="E68" s="134"/>
      <c r="F68" s="69"/>
    </row>
    <row r="69" spans="2:6" x14ac:dyDescent="0.2">
      <c r="B69" s="68"/>
      <c r="C69" s="132"/>
      <c r="D69" s="133"/>
      <c r="E69" s="134"/>
      <c r="F69" s="69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70" priority="7" stopIfTrue="1" operator="equal">
      <formula>"Color"</formula>
    </cfRule>
  </conditionalFormatting>
  <conditionalFormatting sqref="H5:J19 H21:J22">
    <cfRule type="expression" dxfId="69" priority="3" stopIfTrue="1">
      <formula>AND($M$3="Kg")</formula>
    </cfRule>
  </conditionalFormatting>
  <conditionalFormatting sqref="K5:M19 K21:M22 K20">
    <cfRule type="expression" dxfId="68" priority="4" stopIfTrue="1">
      <formula>AND($M$3="Lb")</formula>
    </cfRule>
  </conditionalFormatting>
  <conditionalFormatting sqref="H20:J20">
    <cfRule type="expression" dxfId="67" priority="2" stopIfTrue="1">
      <formula>AND($M$3="Kg")</formula>
    </cfRule>
  </conditionalFormatting>
  <conditionalFormatting sqref="M20">
    <cfRule type="expression" dxfId="66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184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179</v>
      </c>
      <c r="B14" t="str">
        <f>'Weigh-In'!E2</f>
        <v>Bwt (kg)</v>
      </c>
      <c r="I14" t="s">
        <v>182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173</v>
      </c>
      <c r="D15" s="87" t="s">
        <v>174</v>
      </c>
      <c r="E15" s="5" t="s">
        <v>173</v>
      </c>
      <c r="F15" s="5" t="s">
        <v>174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169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170</v>
      </c>
      <c r="K16" s="5" t="s">
        <v>180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0</v>
      </c>
      <c r="Q18" s="5">
        <f ca="1">2*(Q21*P21+Q22*P22+Q23*P23+Q24*P24+Q25*P25+Q26*P26+Q27*P27+Q28*P28+Q29*P29+Q30*P30+Q31*P31)+Q36</f>
        <v>25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172</v>
      </c>
      <c r="K20" s="5" t="s">
        <v>181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0</v>
      </c>
      <c r="R23" s="5" t="str">
        <f ca="1">IF(Q23=0,"",IF(Q23&gt;1,CONCATENATE(Q23,"/",P23," "),CONCATENATE(P23," ")))</f>
        <v/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170</v>
      </c>
      <c r="F24" s="5" t="s">
        <v>170</v>
      </c>
      <c r="G24" s="5" t="s">
        <v>180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173</v>
      </c>
      <c r="D25" s="5" t="s">
        <v>92</v>
      </c>
      <c r="E25" s="5" t="s">
        <v>173</v>
      </c>
      <c r="F25" s="5" t="s">
        <v>174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171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0</v>
      </c>
      <c r="R28" s="5" t="str">
        <f t="shared" ca="1" si="4"/>
        <v/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172</v>
      </c>
      <c r="F33" s="5" t="s">
        <v>172</v>
      </c>
      <c r="G33" s="5" t="s">
        <v>181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185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186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/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6"/>
  <sheetViews>
    <sheetView showGridLines="0" tabSelected="1" showOutlineSymbols="0" zoomScaleNormal="100" workbookViewId="0">
      <pane xSplit="7" ySplit="7" topLeftCell="H8" activePane="bottomRight" state="frozen"/>
      <selection pane="topRight" activeCell="H1" sqref="H1"/>
      <selection pane="bottomLeft" activeCell="A7" sqref="A7"/>
      <selection pane="bottomRight" activeCell="N10" sqref="N10"/>
    </sheetView>
  </sheetViews>
  <sheetFormatPr defaultColWidth="9.140625" defaultRowHeight="12.75" x14ac:dyDescent="0.2"/>
  <cols>
    <col min="1" max="1" width="4.28515625" style="264" customWidth="1"/>
    <col min="2" max="2" width="17.7109375" style="319" customWidth="1"/>
    <col min="3" max="3" width="9.7109375" style="240" customWidth="1"/>
    <col min="4" max="4" width="6.5703125" style="264" customWidth="1"/>
    <col min="5" max="5" width="6.28515625" style="264" customWidth="1"/>
    <col min="6" max="6" width="6.7109375" style="240" customWidth="1"/>
    <col min="7" max="7" width="6" style="264" customWidth="1"/>
    <col min="8" max="8" width="6.28515625" style="240" hidden="1" customWidth="1"/>
    <col min="9" max="9" width="7" style="320" hidden="1" customWidth="1"/>
    <col min="10" max="10" width="6.28515625" style="240" hidden="1" customWidth="1"/>
    <col min="11" max="11" width="5.28515625" style="264" customWidth="1"/>
    <col min="12" max="15" width="7.5703125" style="264" customWidth="1"/>
    <col min="16" max="16" width="5.28515625" style="321" customWidth="1"/>
    <col min="17" max="20" width="7.5703125" style="264" customWidth="1"/>
    <col min="21" max="21" width="6.5703125" style="264" customWidth="1"/>
    <col min="22" max="24" width="6.85546875" style="264" customWidth="1"/>
    <col min="25" max="25" width="7.140625" style="264" customWidth="1"/>
    <col min="26" max="26" width="7.5703125" style="264" customWidth="1"/>
    <col min="27" max="27" width="10.28515625" style="264" customWidth="1"/>
    <col min="28" max="28" width="10.28515625" style="264" hidden="1" customWidth="1"/>
    <col min="29" max="29" width="5.7109375" style="264" hidden="1" customWidth="1"/>
    <col min="30" max="30" width="13.42578125" style="264" hidden="1" customWidth="1"/>
    <col min="31" max="31" width="9.140625" style="264" hidden="1" customWidth="1"/>
    <col min="32" max="33" width="9.140625" style="240" hidden="1" customWidth="1"/>
    <col min="34" max="34" width="18.5703125" style="322" hidden="1" customWidth="1"/>
    <col min="35" max="35" width="6" style="264" hidden="1" customWidth="1"/>
    <col min="36" max="36" width="6.42578125" style="264" hidden="1" customWidth="1"/>
    <col min="37" max="37" width="9" style="264" hidden="1" customWidth="1"/>
    <col min="38" max="38" width="7" style="264" hidden="1" customWidth="1"/>
    <col min="39" max="39" width="9.140625" style="240" hidden="1" customWidth="1"/>
    <col min="40" max="43" width="5.85546875" style="311" hidden="1" customWidth="1"/>
    <col min="44" max="47" width="9.140625" style="240" hidden="1" customWidth="1"/>
    <col min="48" max="48" width="20" style="312" hidden="1" customWidth="1"/>
    <col min="49" max="49" width="6.7109375" style="240" hidden="1" customWidth="1"/>
    <col min="50" max="63" width="9.140625" style="240" hidden="1" customWidth="1"/>
    <col min="64" max="66" width="6.85546875" style="240" hidden="1" customWidth="1"/>
    <col min="67" max="67" width="9.140625" style="314" hidden="1" customWidth="1"/>
    <col min="68" max="68" width="9.140625" style="240" hidden="1" customWidth="1"/>
    <col min="69" max="71" width="6.85546875" style="240" hidden="1" customWidth="1"/>
    <col min="72" max="72" width="9.140625" style="314" hidden="1" customWidth="1"/>
    <col min="73" max="73" width="9.140625" style="240" hidden="1" customWidth="1"/>
    <col min="74" max="76" width="6.85546875" style="240" hidden="1" customWidth="1"/>
    <col min="77" max="78" width="9.140625" style="314" hidden="1" customWidth="1"/>
    <col min="79" max="79" width="9.140625" style="240" hidden="1" customWidth="1"/>
    <col min="80" max="95" width="9.140625" style="240" customWidth="1"/>
    <col min="96" max="16384" width="9.140625" style="240"/>
  </cols>
  <sheetData>
    <row r="1" spans="1:125" ht="50.25" customHeight="1" x14ac:dyDescent="0.2">
      <c r="A1" s="224" t="s">
        <v>195</v>
      </c>
      <c r="B1" s="225"/>
      <c r="C1" s="225"/>
      <c r="D1" s="225"/>
      <c r="E1" s="225"/>
      <c r="F1" s="225"/>
      <c r="G1" s="226"/>
      <c r="H1" s="227"/>
      <c r="I1" s="228"/>
      <c r="J1" s="227"/>
      <c r="K1" s="229"/>
      <c r="L1" s="229"/>
      <c r="M1" s="229"/>
      <c r="N1" s="229"/>
      <c r="O1" s="229"/>
      <c r="P1" s="230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29"/>
      <c r="AD1" s="229"/>
      <c r="AE1" s="229"/>
      <c r="AF1" s="227"/>
      <c r="AG1" s="227"/>
      <c r="AH1" s="231"/>
      <c r="AI1" s="229"/>
      <c r="AJ1" s="229"/>
      <c r="AK1" s="229"/>
      <c r="AL1" s="229"/>
      <c r="AM1" s="227"/>
      <c r="AN1" s="232"/>
      <c r="AO1" s="232"/>
      <c r="AP1" s="232"/>
      <c r="AQ1" s="232"/>
      <c r="AR1" s="227"/>
      <c r="AS1" s="233" t="str">
        <f>CONCATENATE("Lists!E2:E",IF(Lists!E1=1,11,IF(OR(Lists!E1=4,Lists!E1=3,Lists!E1=2),5,8)))</f>
        <v>Lists!E2:E11</v>
      </c>
      <c r="AT1" s="227"/>
      <c r="AU1" s="227"/>
      <c r="AV1" s="234">
        <f ca="1">COUNTIF(INDIRECT("AU1:AU200"),1)</f>
        <v>2</v>
      </c>
      <c r="AW1" s="235"/>
      <c r="AX1" s="227"/>
      <c r="AY1" s="227"/>
      <c r="AZ1" s="236"/>
      <c r="BA1" s="237" t="s">
        <v>23</v>
      </c>
      <c r="BB1" s="237" t="s">
        <v>24</v>
      </c>
      <c r="BC1" s="237" t="s">
        <v>25</v>
      </c>
      <c r="BD1" s="237" t="s">
        <v>43</v>
      </c>
      <c r="BE1" s="237" t="s">
        <v>44</v>
      </c>
      <c r="BF1" s="237" t="s">
        <v>45</v>
      </c>
      <c r="BG1" s="237" t="s">
        <v>46</v>
      </c>
      <c r="BH1" s="237" t="s">
        <v>47</v>
      </c>
      <c r="BI1" s="238"/>
      <c r="BJ1" s="227"/>
      <c r="BK1" s="227"/>
      <c r="BL1" s="227">
        <v>1</v>
      </c>
      <c r="BM1" s="227"/>
      <c r="BN1" s="227"/>
      <c r="BO1" s="239"/>
      <c r="BP1" s="227"/>
      <c r="BQ1" s="227"/>
      <c r="BR1" s="227"/>
      <c r="BS1" s="227"/>
      <c r="BT1" s="239"/>
      <c r="BU1" s="227"/>
      <c r="BV1" s="227"/>
      <c r="BW1" s="227"/>
      <c r="BX1" s="227"/>
      <c r="BY1" s="239"/>
      <c r="BZ1" s="239"/>
      <c r="CA1" s="227"/>
      <c r="CB1" s="227"/>
      <c r="CC1" s="227"/>
      <c r="CD1" s="227"/>
      <c r="CE1" s="227"/>
      <c r="CF1" s="227"/>
      <c r="CG1" s="227"/>
      <c r="CH1" s="227"/>
      <c r="CI1" s="227"/>
      <c r="CJ1" s="227"/>
      <c r="CK1" s="227"/>
      <c r="CL1" s="227"/>
      <c r="CM1" s="227"/>
      <c r="CN1" s="227"/>
      <c r="CO1" s="227"/>
      <c r="CP1" s="227"/>
      <c r="CQ1" s="227"/>
      <c r="CR1" s="227"/>
      <c r="CS1" s="227"/>
      <c r="CT1" s="227"/>
      <c r="CU1" s="227"/>
      <c r="CV1" s="227"/>
      <c r="CW1" s="227"/>
      <c r="CX1" s="227"/>
      <c r="CY1" s="227"/>
      <c r="CZ1" s="227"/>
      <c r="DA1" s="227"/>
      <c r="DB1" s="227"/>
      <c r="DC1" s="227"/>
      <c r="DD1" s="227"/>
      <c r="DE1" s="227"/>
      <c r="DF1" s="227"/>
      <c r="DG1" s="227"/>
      <c r="DH1" s="227"/>
      <c r="DI1" s="227"/>
      <c r="DJ1" s="227"/>
      <c r="DK1" s="227"/>
      <c r="DL1" s="227"/>
      <c r="DM1" s="227"/>
      <c r="DN1" s="227"/>
      <c r="DO1" s="227"/>
      <c r="DP1" s="227"/>
      <c r="DQ1" s="227"/>
      <c r="DR1" s="227"/>
      <c r="DS1" s="227"/>
      <c r="DT1" s="227"/>
      <c r="DU1" s="227"/>
    </row>
    <row r="2" spans="1:125" ht="25.5" customHeight="1" x14ac:dyDescent="0.2">
      <c r="A2" s="241" t="str">
        <f ca="1">CONCATENATE(INDIRECT(ADDRESS(AY5,6)),IF(F7="WtCls (lb)"," lb cls"," kg cls"))</f>
        <v>83 kg cls</v>
      </c>
      <c r="B2" s="242"/>
      <c r="C2" s="193">
        <f ca="1">INDIRECT(AY4)</f>
        <v>210</v>
      </c>
      <c r="D2" s="194"/>
      <c r="E2" s="197" t="str">
        <f>Setup!M3</f>
        <v>Kg</v>
      </c>
      <c r="F2" s="243">
        <f ca="1">ROUND(IF(E2="kg",C2*2.2046,C2/2.2046),1)</f>
        <v>463</v>
      </c>
      <c r="G2" s="244"/>
      <c r="H2" s="227"/>
      <c r="I2" s="228"/>
      <c r="J2" s="227"/>
      <c r="K2" s="229"/>
      <c r="L2" s="229"/>
      <c r="M2" s="229"/>
      <c r="N2" s="229"/>
      <c r="O2" s="229"/>
      <c r="P2" s="230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7"/>
      <c r="AG2" s="227"/>
      <c r="AH2" s="231"/>
      <c r="AI2" s="229"/>
      <c r="AJ2" s="229"/>
      <c r="AK2" s="229"/>
      <c r="AL2" s="229"/>
      <c r="AM2" s="227"/>
      <c r="AN2" s="232"/>
      <c r="AO2" s="232"/>
      <c r="AP2" s="232"/>
      <c r="AQ2" s="232"/>
      <c r="AR2" s="227"/>
      <c r="AS2" s="229" t="str">
        <f ca="1">CONCATENATE("B9:B",BA6)</f>
        <v>B9:B10</v>
      </c>
      <c r="AT2" s="245" t="s">
        <v>129</v>
      </c>
      <c r="AU2" s="229" t="s">
        <v>110</v>
      </c>
      <c r="AV2" s="246"/>
      <c r="AW2" s="235"/>
      <c r="AX2" s="227"/>
      <c r="AY2" s="227"/>
      <c r="AZ2" s="227"/>
      <c r="BA2" s="237">
        <f>IF(BA1=RIGHT($A$7,1),0,BH2+1)</f>
        <v>0</v>
      </c>
      <c r="BB2" s="237">
        <f t="shared" ref="BB2:BH2" si="0">IF(BB1=RIGHT($A$7,1),0,BA2+1)</f>
        <v>1</v>
      </c>
      <c r="BC2" s="237">
        <f t="shared" si="0"/>
        <v>2</v>
      </c>
      <c r="BD2" s="237">
        <f t="shared" si="0"/>
        <v>3</v>
      </c>
      <c r="BE2" s="237">
        <f t="shared" si="0"/>
        <v>4</v>
      </c>
      <c r="BF2" s="237">
        <f t="shared" si="0"/>
        <v>5</v>
      </c>
      <c r="BG2" s="237">
        <f t="shared" si="0"/>
        <v>6</v>
      </c>
      <c r="BH2" s="237">
        <f t="shared" si="0"/>
        <v>7</v>
      </c>
      <c r="BI2" s="247"/>
      <c r="BJ2" s="227"/>
      <c r="BK2" s="227"/>
      <c r="BL2" s="227">
        <v>1</v>
      </c>
      <c r="BM2" s="227"/>
      <c r="BN2" s="227"/>
      <c r="BO2" s="239"/>
      <c r="BP2" s="227"/>
      <c r="BQ2" s="227"/>
      <c r="BR2" s="227"/>
      <c r="BS2" s="227"/>
      <c r="BT2" s="239"/>
      <c r="BU2" s="227"/>
      <c r="BV2" s="227"/>
      <c r="BW2" s="227"/>
      <c r="BX2" s="227"/>
      <c r="BY2" s="239"/>
      <c r="BZ2" s="239"/>
      <c r="CA2" s="227"/>
      <c r="CB2" s="227"/>
      <c r="CC2" s="227"/>
      <c r="CD2" s="227"/>
      <c r="CE2" s="227"/>
      <c r="CF2" s="227"/>
      <c r="CG2" s="227"/>
      <c r="CH2" s="227"/>
      <c r="CI2" s="227"/>
      <c r="CJ2" s="227"/>
      <c r="CK2" s="227"/>
      <c r="CL2" s="227"/>
      <c r="CM2" s="227"/>
      <c r="CN2" s="227"/>
      <c r="CO2" s="227"/>
      <c r="CP2" s="227"/>
      <c r="CQ2" s="227"/>
      <c r="CR2" s="227"/>
      <c r="CS2" s="227"/>
      <c r="CT2" s="227"/>
      <c r="CU2" s="227"/>
      <c r="CV2" s="227"/>
      <c r="CW2" s="227"/>
      <c r="CX2" s="227"/>
      <c r="CY2" s="227"/>
      <c r="CZ2" s="227"/>
      <c r="DA2" s="227"/>
      <c r="DB2" s="227"/>
      <c r="DC2" s="227"/>
      <c r="DD2" s="227"/>
      <c r="DE2" s="227"/>
      <c r="DF2" s="227"/>
      <c r="DG2" s="227"/>
      <c r="DH2" s="227"/>
      <c r="DI2" s="227"/>
      <c r="DJ2" s="227"/>
      <c r="DK2" s="227"/>
      <c r="DL2" s="227"/>
      <c r="DM2" s="227"/>
      <c r="DN2" s="227"/>
      <c r="DO2" s="227"/>
      <c r="DP2" s="227"/>
      <c r="DQ2" s="227"/>
      <c r="DR2" s="227"/>
      <c r="DS2" s="227"/>
      <c r="DT2" s="227"/>
      <c r="DU2" s="227"/>
    </row>
    <row r="3" spans="1:125" ht="25.5" customHeight="1" x14ac:dyDescent="0.2">
      <c r="A3" s="248" t="str">
        <f ca="1">INDIRECT(CONCATENATE("Setup!C",MATCH(INDIRECT(ADDRESS(AY5,4)),Setup!B:B,0)))</f>
        <v>Open Men</v>
      </c>
      <c r="B3" s="248"/>
      <c r="C3" s="195"/>
      <c r="D3" s="196"/>
      <c r="E3" s="198"/>
      <c r="F3" s="249" t="str">
        <f>IF(E2="Kg","Pounds", "Kilograms")</f>
        <v>Pounds</v>
      </c>
      <c r="G3" s="250"/>
      <c r="H3" s="227"/>
      <c r="I3" s="228"/>
      <c r="J3" s="227"/>
      <c r="K3" s="229"/>
      <c r="L3" s="229"/>
      <c r="M3" s="229"/>
      <c r="N3" s="229"/>
      <c r="O3" s="229"/>
      <c r="P3" s="230"/>
      <c r="Q3" s="229"/>
      <c r="R3" s="229"/>
      <c r="S3" s="229"/>
      <c r="T3" s="229"/>
      <c r="U3" s="229"/>
      <c r="V3" s="229"/>
      <c r="W3" s="229"/>
      <c r="X3" s="229"/>
      <c r="Y3" s="229"/>
      <c r="Z3" s="229"/>
      <c r="AA3" s="229"/>
      <c r="AB3" s="229"/>
      <c r="AC3" s="229"/>
      <c r="AD3" s="229"/>
      <c r="AE3" s="229"/>
      <c r="AF3" s="227"/>
      <c r="AG3" s="227"/>
      <c r="AH3" s="231"/>
      <c r="AI3" s="229"/>
      <c r="AJ3" s="229"/>
      <c r="AK3" s="229"/>
      <c r="AL3" s="229"/>
      <c r="AM3" s="227"/>
      <c r="AN3" s="232"/>
      <c r="AO3" s="232"/>
      <c r="AP3" s="232"/>
      <c r="AQ3" s="232"/>
      <c r="AR3" s="227"/>
      <c r="AS3" s="233" t="str">
        <f>CONCATENATE("Setup!B12:B",COUNTA(Setup!B:B)+8)</f>
        <v>Setup!B12:B15</v>
      </c>
      <c r="AT3" s="245" t="s">
        <v>12</v>
      </c>
      <c r="AU3" s="229" t="s">
        <v>118</v>
      </c>
      <c r="AV3" s="251" t="s">
        <v>113</v>
      </c>
      <c r="AW3" s="252"/>
      <c r="AX3" s="252"/>
      <c r="AY3" s="253" t="s">
        <v>112</v>
      </c>
      <c r="AZ3" s="227"/>
      <c r="BA3" s="254" t="s">
        <v>50</v>
      </c>
      <c r="BB3" s="233" t="s">
        <v>7</v>
      </c>
      <c r="BC3" s="227"/>
      <c r="BD3" s="253" t="s">
        <v>55</v>
      </c>
      <c r="BE3" s="253" t="s">
        <v>51</v>
      </c>
      <c r="BF3" s="253" t="s">
        <v>54</v>
      </c>
      <c r="BG3" s="253" t="s">
        <v>149</v>
      </c>
      <c r="BH3" s="227"/>
      <c r="BI3" s="227"/>
      <c r="BJ3" s="227"/>
      <c r="BK3" s="227"/>
      <c r="BL3" s="227">
        <v>1</v>
      </c>
      <c r="BM3" s="227"/>
      <c r="BN3" s="227"/>
      <c r="BO3" s="239"/>
      <c r="BP3" s="227"/>
      <c r="BQ3" s="227"/>
      <c r="BR3" s="227"/>
      <c r="BS3" s="227"/>
      <c r="BT3" s="239"/>
      <c r="BU3" s="227"/>
      <c r="BV3" s="227"/>
      <c r="BW3" s="227"/>
      <c r="BX3" s="227"/>
      <c r="BY3" s="239"/>
      <c r="BZ3" s="239"/>
      <c r="CA3" s="227"/>
      <c r="CB3" s="227"/>
      <c r="CC3" s="227"/>
      <c r="CD3" s="227"/>
      <c r="CE3" s="227"/>
      <c r="CF3" s="227"/>
      <c r="CG3" s="227"/>
      <c r="CH3" s="227"/>
      <c r="CI3" s="227"/>
      <c r="CJ3" s="227"/>
      <c r="CK3" s="227"/>
      <c r="CL3" s="227"/>
      <c r="CM3" s="227"/>
      <c r="CN3" s="227"/>
      <c r="CO3" s="227"/>
      <c r="CP3" s="227"/>
      <c r="CQ3" s="227"/>
      <c r="CR3" s="227"/>
      <c r="CS3" s="227"/>
      <c r="CT3" s="227"/>
      <c r="CU3" s="227"/>
      <c r="CV3" s="227"/>
      <c r="CW3" s="227"/>
      <c r="CX3" s="227"/>
      <c r="CY3" s="227"/>
      <c r="CZ3" s="227"/>
      <c r="DA3" s="227"/>
      <c r="DB3" s="227"/>
      <c r="DC3" s="227"/>
      <c r="DD3" s="227"/>
      <c r="DE3" s="227"/>
      <c r="DF3" s="227"/>
      <c r="DG3" s="227"/>
      <c r="DH3" s="227"/>
      <c r="DI3" s="227"/>
      <c r="DJ3" s="227"/>
      <c r="DK3" s="227"/>
      <c r="DL3" s="227"/>
      <c r="DM3" s="227"/>
      <c r="DN3" s="227"/>
      <c r="DO3" s="227"/>
      <c r="DP3" s="227"/>
      <c r="DQ3" s="227"/>
      <c r="DR3" s="227"/>
      <c r="DS3" s="227"/>
      <c r="DT3" s="227"/>
      <c r="DU3" s="227"/>
    </row>
    <row r="4" spans="1:125" ht="25.5" customHeight="1" x14ac:dyDescent="0.2">
      <c r="A4" s="255" t="str">
        <f ca="1">OFFSET(Setup!P1,MATCH(INDIRECT(ADDRESS(AY5,3)),Setup!O:O,0)-1,0)</f>
        <v>Göteborgs SK</v>
      </c>
      <c r="B4" s="256"/>
      <c r="C4" s="257" t="s">
        <v>34</v>
      </c>
      <c r="D4" s="258"/>
      <c r="E4" s="258"/>
      <c r="F4" s="259" t="str">
        <f ca="1">CONCATENATE(IF(BD4&lt;20,"Rack = ","Total = "),INDIRECT(ADDRESS(AY5,IF(LEFT(C4,1)="S",11,IF(LEFT(C4,1)="B",16,26)))))</f>
        <v>Rack = 13i</v>
      </c>
      <c r="G4" s="255"/>
      <c r="H4" s="227"/>
      <c r="I4" s="228"/>
      <c r="J4" s="227"/>
      <c r="K4" s="229"/>
      <c r="L4" s="229"/>
      <c r="M4" s="229"/>
      <c r="N4" s="229"/>
      <c r="O4" s="229"/>
      <c r="P4" s="230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/>
      <c r="AF4" s="227"/>
      <c r="AG4" s="227"/>
      <c r="AH4" s="231"/>
      <c r="AI4" s="229"/>
      <c r="AJ4" s="229"/>
      <c r="AK4" s="229"/>
      <c r="AL4" s="229"/>
      <c r="AM4" s="227"/>
      <c r="AN4" s="232"/>
      <c r="AO4" s="232"/>
      <c r="AP4" s="232"/>
      <c r="AQ4" s="232"/>
      <c r="AR4" s="227"/>
      <c r="AS4" s="233" t="str">
        <f>CONCATENATE("Setup!O6:O",COUNTA(Setup!O:O)+3)</f>
        <v>Setup!O6:O7</v>
      </c>
      <c r="AT4" s="245" t="s">
        <v>21</v>
      </c>
      <c r="AU4" s="229" t="s">
        <v>119</v>
      </c>
      <c r="AV4" s="251" t="s">
        <v>114</v>
      </c>
      <c r="AW4" s="227"/>
      <c r="AX4" s="227"/>
      <c r="AY4" s="229" t="str">
        <f ca="1">ADDRESS(MATCH(A1,INDIRECT(AS2),0)+8,BD4)</f>
        <v>$N$10</v>
      </c>
      <c r="AZ4" s="227"/>
      <c r="BA4" s="229" t="str">
        <f ca="1">CONCATENATE("B",$BA$5,":","B",BA6)</f>
        <v>B9:B10</v>
      </c>
      <c r="BB4" s="254">
        <v>14</v>
      </c>
      <c r="BC4" s="260" t="s">
        <v>57</v>
      </c>
      <c r="BD4" s="229">
        <f ca="1">OFFSET(Lists!C1,MATCH(C4,Attempts,0),0)</f>
        <v>14</v>
      </c>
      <c r="BE4" s="229" t="s">
        <v>23</v>
      </c>
      <c r="BF4" s="233" t="str">
        <f>CONCATENATE("$A$",BF5,":$A$",BF6)</f>
        <v>$A$9:$A$10</v>
      </c>
      <c r="BG4" s="229">
        <f>IF(C4="Squat 3",17,22)</f>
        <v>17</v>
      </c>
      <c r="BH4" s="227"/>
      <c r="BI4" s="227"/>
      <c r="BJ4" s="227"/>
      <c r="BK4" s="227"/>
      <c r="BL4" s="227">
        <v>1</v>
      </c>
      <c r="BM4" s="227"/>
      <c r="BN4" s="227"/>
      <c r="BO4" s="239"/>
      <c r="BP4" s="227"/>
      <c r="BQ4" s="227"/>
      <c r="BR4" s="227"/>
      <c r="BS4" s="227"/>
      <c r="BT4" s="239"/>
      <c r="BU4" s="227"/>
      <c r="BV4" s="227"/>
      <c r="BW4" s="227"/>
      <c r="BX4" s="227"/>
      <c r="BY4" s="239"/>
      <c r="BZ4" s="239"/>
      <c r="CA4" s="227"/>
      <c r="CB4" s="227"/>
      <c r="CC4" s="227"/>
      <c r="CD4" s="227"/>
      <c r="CE4" s="227"/>
      <c r="CF4" s="227"/>
      <c r="CG4" s="227"/>
      <c r="CH4" s="227"/>
      <c r="CI4" s="227"/>
      <c r="CJ4" s="227"/>
      <c r="CK4" s="227"/>
      <c r="CL4" s="227"/>
      <c r="CM4" s="227"/>
      <c r="CN4" s="227"/>
      <c r="CO4" s="227"/>
      <c r="CP4" s="227"/>
      <c r="CQ4" s="227"/>
      <c r="CR4" s="227"/>
      <c r="CS4" s="227"/>
      <c r="CT4" s="227"/>
      <c r="CU4" s="227"/>
      <c r="CV4" s="227"/>
      <c r="CW4" s="227"/>
      <c r="CX4" s="227"/>
      <c r="CY4" s="227"/>
      <c r="CZ4" s="227"/>
      <c r="DA4" s="227"/>
      <c r="DB4" s="227"/>
      <c r="DC4" s="227"/>
      <c r="DD4" s="227"/>
      <c r="DE4" s="227"/>
      <c r="DF4" s="227"/>
      <c r="DG4" s="227"/>
      <c r="DH4" s="227"/>
      <c r="DI4" s="227"/>
      <c r="DJ4" s="227"/>
      <c r="DK4" s="227"/>
      <c r="DL4" s="227"/>
      <c r="DM4" s="227"/>
      <c r="DN4" s="227"/>
      <c r="DO4" s="227"/>
      <c r="DP4" s="227"/>
      <c r="DQ4" s="227"/>
      <c r="DR4" s="227"/>
      <c r="DS4" s="227"/>
      <c r="DT4" s="227"/>
      <c r="DU4" s="227"/>
    </row>
    <row r="5" spans="1:125" ht="25.5" customHeight="1" x14ac:dyDescent="0.2">
      <c r="A5" s="261" t="s">
        <v>165</v>
      </c>
      <c r="B5" s="262"/>
      <c r="C5" s="263"/>
      <c r="E5" s="265"/>
      <c r="F5" s="266" t="s">
        <v>6</v>
      </c>
      <c r="G5" s="267" t="s">
        <v>167</v>
      </c>
      <c r="H5" s="227"/>
      <c r="I5" s="228"/>
      <c r="J5" s="227"/>
      <c r="K5" s="229"/>
      <c r="L5" s="229"/>
      <c r="M5" s="229"/>
      <c r="N5" s="229"/>
      <c r="O5" s="229"/>
      <c r="P5" s="230"/>
      <c r="Q5" s="229"/>
      <c r="R5" s="229"/>
      <c r="S5" s="229"/>
      <c r="T5" s="229"/>
      <c r="U5" s="229"/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7"/>
      <c r="AG5" s="227"/>
      <c r="AH5" s="231"/>
      <c r="AI5" s="229"/>
      <c r="AJ5" s="229"/>
      <c r="AK5" s="229"/>
      <c r="AL5" s="229"/>
      <c r="AM5" s="227">
        <f ca="1">INDIRECT(ADDRESS(AY5,36))</f>
        <v>1407</v>
      </c>
      <c r="AN5" s="232"/>
      <c r="AO5" s="232"/>
      <c r="AP5" s="232"/>
      <c r="AQ5" s="232"/>
      <c r="AR5" s="227"/>
      <c r="AS5" s="227"/>
      <c r="AT5" s="245" t="s">
        <v>22</v>
      </c>
      <c r="AU5" s="229" t="s">
        <v>120</v>
      </c>
      <c r="AV5" s="268"/>
      <c r="AW5" s="254" t="s">
        <v>42</v>
      </c>
      <c r="AX5" s="229">
        <v>275</v>
      </c>
      <c r="AY5" s="229">
        <f ca="1">MATCH(A1,INDIRECT(AS2),0)+8</f>
        <v>10</v>
      </c>
      <c r="AZ5" s="229" t="s">
        <v>23</v>
      </c>
      <c r="BA5" s="229">
        <v>9</v>
      </c>
      <c r="BB5" s="254">
        <v>9</v>
      </c>
      <c r="BC5" s="260" t="s">
        <v>58</v>
      </c>
      <c r="BD5" s="229">
        <f ca="1">IF(BD4&lt;20,IF(BD4&lt;15,15,20),25)</f>
        <v>15</v>
      </c>
      <c r="BE5" s="229">
        <f ca="1">MATCH($BE$4,INDIRECT(BF4),0)+8</f>
        <v>9</v>
      </c>
      <c r="BF5" s="229">
        <v>9</v>
      </c>
      <c r="BG5" s="229">
        <f>BB6+1</f>
        <v>11</v>
      </c>
      <c r="BH5" s="227"/>
      <c r="BI5" s="227"/>
      <c r="BJ5" s="227"/>
      <c r="BK5" s="227"/>
      <c r="BL5" s="227">
        <v>1</v>
      </c>
      <c r="BM5" s="227"/>
      <c r="BN5" s="227"/>
      <c r="BO5" s="227"/>
      <c r="BP5" s="227"/>
      <c r="BQ5" s="227"/>
      <c r="BR5" s="227"/>
      <c r="BS5" s="227"/>
      <c r="BT5" s="227"/>
      <c r="BU5" s="227"/>
      <c r="BV5" s="227"/>
      <c r="BW5" s="227"/>
      <c r="BX5" s="227"/>
      <c r="BY5" s="227"/>
      <c r="BZ5" s="269"/>
      <c r="CA5" s="270">
        <f ca="1">NOW()-TODAY()</f>
        <v>0.69160034722153796</v>
      </c>
      <c r="CB5" s="227"/>
      <c r="CC5" s="227"/>
      <c r="CD5" s="227"/>
      <c r="CE5" s="227"/>
      <c r="CF5" s="227"/>
      <c r="CG5" s="227"/>
      <c r="CH5" s="227"/>
      <c r="CI5" s="227"/>
      <c r="CJ5" s="227"/>
      <c r="CK5" s="227"/>
      <c r="CL5" s="227"/>
      <c r="CM5" s="227"/>
      <c r="CN5" s="227"/>
      <c r="CO5" s="227"/>
      <c r="CP5" s="227"/>
      <c r="CQ5" s="227"/>
      <c r="CR5" s="227"/>
      <c r="CS5" s="227"/>
      <c r="CT5" s="227"/>
      <c r="CU5" s="227"/>
      <c r="CV5" s="227"/>
      <c r="CW5" s="227"/>
      <c r="CX5" s="227"/>
      <c r="CY5" s="227"/>
      <c r="CZ5" s="227"/>
      <c r="DA5" s="227"/>
      <c r="DB5" s="227"/>
      <c r="DC5" s="227"/>
      <c r="DD5" s="227"/>
      <c r="DE5" s="227"/>
      <c r="DF5" s="227"/>
      <c r="DG5" s="227"/>
      <c r="DH5" s="227"/>
      <c r="DI5" s="227"/>
      <c r="DJ5" s="227"/>
      <c r="DK5" s="227"/>
      <c r="DL5" s="227"/>
      <c r="DM5" s="227"/>
      <c r="DN5" s="227"/>
      <c r="DO5" s="227"/>
      <c r="DP5" s="227"/>
      <c r="DQ5" s="227"/>
      <c r="DR5" s="227"/>
      <c r="DS5" s="227"/>
      <c r="DT5" s="227"/>
      <c r="DU5" s="227"/>
    </row>
    <row r="6" spans="1:125" s="263" customFormat="1" ht="25.5" hidden="1" customHeight="1" x14ac:dyDescent="0.2">
      <c r="A6" s="271"/>
      <c r="B6" s="272"/>
      <c r="C6" s="273"/>
      <c r="D6" s="274"/>
      <c r="E6" s="274"/>
      <c r="F6" s="275"/>
      <c r="G6" s="276"/>
      <c r="H6" s="277"/>
      <c r="I6" s="278"/>
      <c r="J6" s="277"/>
      <c r="K6" s="279"/>
      <c r="L6" s="279"/>
      <c r="M6" s="279"/>
      <c r="N6" s="279"/>
      <c r="O6" s="279"/>
      <c r="P6" s="280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7"/>
      <c r="AF6" s="277"/>
      <c r="AG6" s="277"/>
      <c r="AH6" s="281"/>
      <c r="AI6" s="279"/>
      <c r="AJ6" s="279"/>
      <c r="AK6" s="279"/>
      <c r="AL6" s="279"/>
      <c r="AM6" s="277"/>
      <c r="AN6" s="282"/>
      <c r="AO6" s="282"/>
      <c r="AP6" s="282"/>
      <c r="AQ6" s="282"/>
      <c r="AR6" s="277"/>
      <c r="AS6" s="277"/>
      <c r="AT6" s="283" t="s">
        <v>133</v>
      </c>
      <c r="AU6" s="284" t="s">
        <v>121</v>
      </c>
      <c r="AV6" s="285" t="str">
        <f>CONCATENATE("AV9:AV",BF6)</f>
        <v>AV9:AV10</v>
      </c>
      <c r="AW6" s="286" t="s">
        <v>2</v>
      </c>
      <c r="AX6" s="279" t="s">
        <v>48</v>
      </c>
      <c r="AY6" s="277"/>
      <c r="AZ6" s="284"/>
      <c r="BA6" s="284">
        <f ca="1">COUNTIF(INDIRECT(BF4),AZ5)+8</f>
        <v>10</v>
      </c>
      <c r="BB6" s="286">
        <v>10</v>
      </c>
      <c r="BC6" s="287" t="s">
        <v>59</v>
      </c>
      <c r="BD6" s="284">
        <f ca="1">MATCH(A1,INDIRECT(AS2),0)+8</f>
        <v>10</v>
      </c>
      <c r="BE6" s="279">
        <f ca="1">COUNTIF(INDIRECT(BF4),BE4)+BE5-1</f>
        <v>10</v>
      </c>
      <c r="BF6" s="284">
        <f>COUNTA($BL:$BL)</f>
        <v>10</v>
      </c>
      <c r="BG6" s="284">
        <f ca="1">COUNTIF(A:A,INDIRECT(ADDRESS(BG5,1)))+BG5-1</f>
        <v>10</v>
      </c>
      <c r="BH6" s="277"/>
      <c r="BI6" s="277"/>
      <c r="BJ6" s="277"/>
      <c r="BK6" s="277"/>
      <c r="BL6" s="277">
        <v>1</v>
      </c>
      <c r="BM6" s="277"/>
      <c r="BN6" s="277"/>
      <c r="BO6" s="288"/>
      <c r="BP6" s="277"/>
      <c r="BQ6" s="277"/>
      <c r="BR6" s="277"/>
      <c r="BS6" s="277"/>
      <c r="BT6" s="288"/>
      <c r="BU6" s="277"/>
      <c r="BV6" s="277"/>
      <c r="BW6" s="277"/>
      <c r="BX6" s="277"/>
      <c r="BY6" s="288"/>
      <c r="BZ6" s="288"/>
      <c r="CA6" s="277"/>
      <c r="CB6" s="277"/>
      <c r="CC6" s="277"/>
      <c r="CD6" s="277"/>
      <c r="CE6" s="277"/>
      <c r="CF6" s="277"/>
      <c r="CG6" s="277"/>
      <c r="CH6" s="277"/>
      <c r="CI6" s="277"/>
      <c r="CJ6" s="277"/>
      <c r="CK6" s="277"/>
      <c r="CL6" s="277"/>
      <c r="CM6" s="277"/>
      <c r="CN6" s="277"/>
      <c r="CO6" s="277"/>
      <c r="CP6" s="277"/>
      <c r="CQ6" s="277"/>
      <c r="CR6" s="277"/>
      <c r="CS6" s="277"/>
      <c r="CT6" s="277"/>
      <c r="CU6" s="277"/>
      <c r="CV6" s="277"/>
      <c r="CW6" s="277"/>
      <c r="CX6" s="277"/>
      <c r="CY6" s="277"/>
      <c r="CZ6" s="277"/>
      <c r="DA6" s="277"/>
      <c r="DB6" s="277"/>
      <c r="DC6" s="277"/>
      <c r="DD6" s="277"/>
      <c r="DE6" s="277"/>
      <c r="DF6" s="277"/>
      <c r="DG6" s="277"/>
      <c r="DH6" s="277"/>
      <c r="DI6" s="277"/>
      <c r="DJ6" s="277"/>
      <c r="DK6" s="277"/>
      <c r="DL6" s="277"/>
      <c r="DM6" s="277"/>
      <c r="DN6" s="277"/>
      <c r="DO6" s="277"/>
      <c r="DP6" s="277"/>
      <c r="DQ6" s="277"/>
      <c r="DR6" s="277"/>
      <c r="DS6" s="277"/>
      <c r="DT6" s="277"/>
      <c r="DU6" s="277"/>
    </row>
    <row r="7" spans="1:125" s="292" customFormat="1" ht="27" customHeight="1" x14ac:dyDescent="0.2">
      <c r="A7" s="289" t="s">
        <v>194</v>
      </c>
      <c r="B7" s="290" t="s">
        <v>0</v>
      </c>
      <c r="C7" s="291" t="s">
        <v>41</v>
      </c>
      <c r="D7" s="291" t="s">
        <v>2</v>
      </c>
      <c r="E7" s="291" t="str">
        <f>'Weigh-In'!E2</f>
        <v>Bwt (kg)</v>
      </c>
      <c r="F7" s="291" t="str">
        <f>IF(E7="Bwt (lb)","WtCls (lb)","WtCls (kg)")</f>
        <v>WtCls (kg)</v>
      </c>
      <c r="G7" s="291" t="s">
        <v>1</v>
      </c>
      <c r="H7" s="292" t="s">
        <v>5</v>
      </c>
      <c r="I7" s="293" t="s">
        <v>205</v>
      </c>
      <c r="J7" s="291" t="s">
        <v>4</v>
      </c>
      <c r="K7" s="291" t="s">
        <v>8</v>
      </c>
      <c r="L7" s="291" t="s">
        <v>9</v>
      </c>
      <c r="M7" s="291" t="s">
        <v>10</v>
      </c>
      <c r="N7" s="291" t="s">
        <v>11</v>
      </c>
      <c r="O7" s="291" t="s">
        <v>12</v>
      </c>
      <c r="P7" s="294" t="s">
        <v>13</v>
      </c>
      <c r="Q7" s="291" t="s">
        <v>14</v>
      </c>
      <c r="R7" s="291" t="s">
        <v>15</v>
      </c>
      <c r="S7" s="291" t="s">
        <v>16</v>
      </c>
      <c r="T7" s="291" t="s">
        <v>21</v>
      </c>
      <c r="U7" s="291" t="s">
        <v>17</v>
      </c>
      <c r="V7" s="291" t="s">
        <v>18</v>
      </c>
      <c r="W7" s="291" t="s">
        <v>19</v>
      </c>
      <c r="X7" s="291" t="s">
        <v>20</v>
      </c>
      <c r="Y7" s="291" t="s">
        <v>22</v>
      </c>
      <c r="Z7" s="289" t="s">
        <v>129</v>
      </c>
      <c r="AA7" s="291" t="s">
        <v>200</v>
      </c>
      <c r="AB7" s="291" t="s">
        <v>199</v>
      </c>
      <c r="AC7" s="291" t="s">
        <v>26</v>
      </c>
      <c r="AD7" s="295" t="s">
        <v>135</v>
      </c>
      <c r="AE7" s="291" t="s">
        <v>27</v>
      </c>
      <c r="AG7" s="292">
        <v>10</v>
      </c>
      <c r="AH7" s="296" t="s">
        <v>115</v>
      </c>
      <c r="AI7" s="291" t="s">
        <v>116</v>
      </c>
      <c r="AJ7" s="291" t="s">
        <v>155</v>
      </c>
      <c r="AK7" s="291" t="s">
        <v>156</v>
      </c>
      <c r="AL7" s="291" t="s">
        <v>142</v>
      </c>
      <c r="AN7" s="297" t="s">
        <v>157</v>
      </c>
      <c r="AO7" s="297" t="s">
        <v>158</v>
      </c>
      <c r="AP7" s="297" t="s">
        <v>159</v>
      </c>
      <c r="AQ7" s="297" t="s">
        <v>160</v>
      </c>
      <c r="AU7" s="297" t="str">
        <f ca="1">OFFSET(AU1,MATCH(Z7,AT2:AT6,0),0)</f>
        <v>PL</v>
      </c>
      <c r="AW7" s="297"/>
      <c r="AX7" s="298"/>
      <c r="AY7" s="298"/>
      <c r="AZ7" s="298"/>
      <c r="BA7" s="299" t="s">
        <v>154</v>
      </c>
      <c r="BB7" s="291" t="s">
        <v>53</v>
      </c>
      <c r="BL7" s="291" t="s">
        <v>9</v>
      </c>
      <c r="BM7" s="291" t="s">
        <v>10</v>
      </c>
      <c r="BN7" s="291" t="s">
        <v>11</v>
      </c>
      <c r="BO7" s="300" t="s">
        <v>28</v>
      </c>
      <c r="BP7" s="291" t="s">
        <v>13</v>
      </c>
      <c r="BQ7" s="291" t="s">
        <v>14</v>
      </c>
      <c r="BR7" s="291" t="s">
        <v>15</v>
      </c>
      <c r="BS7" s="291" t="s">
        <v>16</v>
      </c>
      <c r="BT7" s="300" t="s">
        <v>29</v>
      </c>
      <c r="BU7" s="291" t="s">
        <v>17</v>
      </c>
      <c r="BV7" s="291" t="s">
        <v>18</v>
      </c>
      <c r="BW7" s="291" t="s">
        <v>19</v>
      </c>
      <c r="BX7" s="291" t="s">
        <v>20</v>
      </c>
      <c r="BY7" s="300" t="s">
        <v>30</v>
      </c>
      <c r="BZ7" s="300" t="s">
        <v>161</v>
      </c>
      <c r="CA7" s="292" t="s">
        <v>168</v>
      </c>
    </row>
    <row r="8" spans="1:125" ht="19.5" hidden="1" customHeight="1" x14ac:dyDescent="0.2">
      <c r="A8" s="301"/>
      <c r="B8" s="302" t="s">
        <v>111</v>
      </c>
      <c r="C8" s="302"/>
      <c r="D8" s="303"/>
      <c r="E8" s="303">
        <v>0</v>
      </c>
      <c r="F8" s="303" t="e">
        <f>IF(LEFT(D8,1)="M",VLOOKUP(IF($E$7="Bwt (kg)",E8,E8/2.2046),Lists!$B$16:$D$24,IF(ISERROR(FIND("J",D8)),3,2)),VLOOKUP(IF($E$7="Bwt (kg)",E8,E8/2.2046),Lists!$B$26:$D$33,IF(ISERROR(FIND("J",D8)),3,2)))</f>
        <v>#N/A</v>
      </c>
      <c r="G8" s="303">
        <v>0</v>
      </c>
      <c r="H8" s="304">
        <f>IF(AND(VALUE(E8)&gt;0,OR(LEFT(D8,1)="M",LEFT(D8,1)="F")),IF(LEFT(D8,1)="M",Wilks_Men(IF(RIGHT($F$7,4)="(lb)",E8/2.2046,E8)),Wilks_Women(IF(RIGHT($F$7,4)="(lb)",E8/2.2046,E8))),0)</f>
        <v>0</v>
      </c>
      <c r="I8" s="305">
        <v>0</v>
      </c>
      <c r="J8" s="264">
        <f ca="1">IF(I8,VLOOKUP(INT((NOW()-DATE(LEFT(I8,2),MID(I8,3,2),RIGHT(I8,2)))/365.25),DATA!$A$2:$B$53,2,TRUE),0)</f>
        <v>0</v>
      </c>
      <c r="K8" s="303"/>
      <c r="L8" s="301">
        <v>0</v>
      </c>
      <c r="M8" s="301"/>
      <c r="N8" s="301"/>
      <c r="O8" s="306">
        <f t="shared" ref="O8" si="1">IF(MAX(BL8:BN8)&gt;0,MAX(ABS(L8)*BL8,ABS(M8)*BM8,ABS(N8)*BN8),0)</f>
        <v>0</v>
      </c>
      <c r="P8" s="307"/>
      <c r="Q8" s="301">
        <v>0</v>
      </c>
      <c r="R8" s="301"/>
      <c r="S8" s="301"/>
      <c r="T8" s="306">
        <f t="shared" ref="T8" si="2">IF(MAX(BQ8:BS8)&gt;0,MAX(ABS(Q8)*BQ8,ABS(R8)*BR8,ABS(S8)*BS8),0)</f>
        <v>0</v>
      </c>
      <c r="U8" s="306">
        <f t="shared" ref="U8" si="3">IF(OR(O8=0,T8=0),0,O8+T8)</f>
        <v>0</v>
      </c>
      <c r="V8" s="301">
        <v>0</v>
      </c>
      <c r="W8" s="301"/>
      <c r="X8" s="301"/>
      <c r="Y8" s="306">
        <f t="shared" ref="Y8" si="4">IF(MAX(BV8:BX8)&gt;0,MAX(ABS(V8)*BV8,ABS(W8)*BW8,ABS(X8)*BX8),0)</f>
        <v>0</v>
      </c>
      <c r="Z8" s="306">
        <f t="shared" ref="Z8" ca="1" si="5">AU8*IF($AU$7="SQ",O8,IF($AU$7="BP",T8,IF($AU$7="DL",Y8,IF($AU$7="PP",IF(OR(T8=0,Y8=0),0,T8+Y8),IF(OR($U8=0,$Y8=0),0,$O8+$T8+$Y8)))))</f>
        <v>0</v>
      </c>
      <c r="AA8" s="308">
        <f t="shared" ref="AA8" ca="1" si="6">IF($E$2="Lb",Z8*H8/2.2046,Z8*H8)</f>
        <v>0</v>
      </c>
      <c r="AB8" s="308">
        <f t="shared" ref="AB8" ca="1" si="7">IF(AND(I8&gt;23,I8&lt;40),0,AA8*J8)</f>
        <v>0</v>
      </c>
      <c r="AC8" s="301" t="e">
        <f ca="1">OFFSET(Setup!$F$1,MATCH(D8,INDIRECT("Setup!B1:B100"),0)-1,0)</f>
        <v>#N/A</v>
      </c>
      <c r="AD8" s="309" t="str">
        <f t="shared" ref="AD8" ca="1" si="8">IF(OR(Z8=0,AU8=0,AH8=0),"",CONCATENATE(AL8,"-",D8,IF(AC8&gt;1,"","-"),IF(AC8&gt;1,"",F8),"-",$AU$7))</f>
        <v/>
      </c>
      <c r="AE8" s="303"/>
      <c r="AH8" s="310">
        <f ca="1">AU8*(IF(OR(D8="",E8=""),0,MATCH(D8,INDIRECT("Setup!B1:B100"),0)*100000000+IF(AC8=1,(MATCH(F8,Lists!$I$16:$I$32,0)),0)*1000000+IF(Z8=0,0,IF(AC8=1,AN8*1000,IF(AC8=2,AA8,AB8))+IF(AC8=1,AP8+AQ8/1000,0))))</f>
        <v>0</v>
      </c>
      <c r="AI8" s="264">
        <f t="shared" ref="AI8" ca="1" si="9">RANK(AH8,INDIRECT("AH1:AH200"),0)</f>
        <v>3</v>
      </c>
      <c r="AJ8" s="264">
        <f t="shared" ref="AJ8" ca="1" si="10">INT(AH8/1000000)</f>
        <v>0</v>
      </c>
      <c r="AK8" s="264">
        <f ca="1">RANK(AJ8,INDIRECT("AJ1:AJ200"),0)</f>
        <v>3</v>
      </c>
      <c r="AL8" s="264">
        <f t="shared" ref="AL8" ca="1" si="11">AI8-AK8+1</f>
        <v>1</v>
      </c>
      <c r="AN8" s="311">
        <f t="shared" ref="AN8" ca="1" si="12">RANK(Z8,INDIRECT("Z1:Z200"),-1)</f>
        <v>1</v>
      </c>
      <c r="AO8" s="311">
        <f t="shared" ref="AO8" si="13">E8</f>
        <v>0</v>
      </c>
      <c r="AP8" s="311">
        <f t="shared" ref="AP8" ca="1" si="14">RANK(AO8,INDIRECT("AO1:AO200"))</f>
        <v>3</v>
      </c>
      <c r="AQ8" s="311">
        <f t="shared" ref="AQ8" ca="1" si="15">RANK(BZ8,INDIRECT("BZ:BZ"),-1)</f>
        <v>1</v>
      </c>
      <c r="AU8" s="311">
        <f t="shared" ref="AU8" ca="1" si="16">IF(ISERROR(FIND($AU$7,AE8)),0,1)</f>
        <v>0</v>
      </c>
      <c r="AW8" s="311"/>
      <c r="AX8" s="313"/>
      <c r="AY8" s="313"/>
      <c r="AZ8" s="313"/>
      <c r="BA8" s="264" t="e">
        <f t="shared" ref="BA8:BA9" si="17">HLOOKUP($A8,$BA$1:$BH$2,2,FALSE)</f>
        <v>#N/A</v>
      </c>
      <c r="BB8" s="240" t="str">
        <f t="shared" ref="BB8:BB9" ca="1" si="18">IF(OR(INDIRECT(ADDRESS(ROW(BB8),$BB$4))="",INDIRECT(ADDRESS(ROW(BB8),$BB$4))=0),"",ABS(INDIRECT(ADDRESS(ROW(BB8),$BB$4)))+0.0001*INDIRECT(ADDRESS(ROW(BB8),7)))</f>
        <v/>
      </c>
      <c r="BL8" s="240">
        <v>0</v>
      </c>
      <c r="BM8" s="240">
        <v>0</v>
      </c>
      <c r="BN8" s="240">
        <v>0</v>
      </c>
      <c r="BQ8" s="240">
        <v>0</v>
      </c>
      <c r="BR8" s="240">
        <v>0</v>
      </c>
      <c r="BS8" s="240">
        <v>0</v>
      </c>
      <c r="BV8" s="240">
        <v>0</v>
      </c>
      <c r="BW8" s="240">
        <v>0</v>
      </c>
      <c r="BX8" s="240">
        <v>0</v>
      </c>
      <c r="BY8" s="314">
        <f>IF(BX8=1,3,IF(BW8=1,2,IF(BV8=1,1,0)))</f>
        <v>0</v>
      </c>
      <c r="BZ8" s="314">
        <f t="shared" ref="BZ8" ca="1" si="19">IF($AU$7="SQ",BO8,IF($AU$7="BP",BT8,BY8))</f>
        <v>0</v>
      </c>
    </row>
    <row r="9" spans="1:125" ht="19.5" customHeight="1" x14ac:dyDescent="0.2">
      <c r="A9" s="301" t="s">
        <v>23</v>
      </c>
      <c r="B9" s="302" t="s">
        <v>196</v>
      </c>
      <c r="C9" s="302" t="s">
        <v>192</v>
      </c>
      <c r="D9" s="303" t="s">
        <v>162</v>
      </c>
      <c r="E9" s="303">
        <v>61</v>
      </c>
      <c r="F9" s="303">
        <f>IF(LEFT(D9,1)="M",VLOOKUP(IF($E$7="Bwt (kg)",E9,E9/2.2046),Lists!$B$16:$D$24,IF(ISERROR(FIND("J",D9)),3,2)),VLOOKUP(IF($E$7="Bwt (kg)",E9,E9/2.2046),Lists!$B$26:$D$33,IF(ISERROR(FIND("J",D9)),3,2)))</f>
        <v>63</v>
      </c>
      <c r="G9" s="303">
        <v>2</v>
      </c>
      <c r="H9" s="304">
        <f>IF(AND(VALUE(E9)&gt;0,OR(LEFT(D9,1)="M",LEFT(D9,1)="F")),IF(LEFT(D9,1)="M",Wilks_Men(IF(RIGHT($F$7,4)="(lb)",E9/2.2046,E9)),Wilks_Women(IF(RIGHT($F$7,4)="(lb)",E9/2.2046,E9))),0)</f>
        <v>1.1007000207901001</v>
      </c>
      <c r="I9" s="305">
        <v>26</v>
      </c>
      <c r="J9" s="264">
        <f>IF(I9,VLOOKUP(I9,DATA!$A$2:$B$53,2,TRUE),0)</f>
        <v>1</v>
      </c>
      <c r="K9" s="303">
        <v>12</v>
      </c>
      <c r="L9" s="315">
        <v>-115</v>
      </c>
      <c r="M9" s="316">
        <v>120</v>
      </c>
      <c r="N9" s="325">
        <v>125</v>
      </c>
      <c r="O9" s="306">
        <f>IF(MAX(BL9:BN9)&gt;0,MAX(ABS(L9)*BL9,ABS(M9)*BM9,ABS(N9)*BN9),0)</f>
        <v>125</v>
      </c>
      <c r="P9" s="307" t="s">
        <v>198</v>
      </c>
      <c r="Q9" s="316">
        <v>67.5</v>
      </c>
      <c r="R9" s="317">
        <v>70</v>
      </c>
      <c r="S9" s="301"/>
      <c r="T9" s="306">
        <f>IF(MAX(BQ9:BS9)&gt;0,MAX(ABS(Q9)*BQ9,ABS(R9)*BR9,ABS(S9)*BS9),0)</f>
        <v>67.5</v>
      </c>
      <c r="U9" s="306">
        <f>IF(OR(O9=0,T9=0),0,O9+T9)</f>
        <v>192.5</v>
      </c>
      <c r="V9" s="316">
        <v>150</v>
      </c>
      <c r="W9" s="317">
        <v>160</v>
      </c>
      <c r="X9" s="301"/>
      <c r="Y9" s="306">
        <f>IF(MAX(BV9:BX9)&gt;0,MAX(ABS(V9)*BV9,ABS(W9)*BW9,ABS(X9)*BX9),0)</f>
        <v>150</v>
      </c>
      <c r="Z9" s="306">
        <f ca="1">AU9*IF($AU$7="SQ",O9,IF($AU$7="BP",T9,IF($AU$7="DL",Y9,IF($AU$7="PP",IF(OR(T9=0,Y9=0),0,T9+Y9),IF(OR($U9=0,$Y9=0),0,$O9+$T9+$Y9)))))</f>
        <v>342.5</v>
      </c>
      <c r="AA9" s="308">
        <f ca="1">IF($E$2="Lb",Z9*H9/2.2046,Z9*H9)</f>
        <v>376.98975712060928</v>
      </c>
      <c r="AB9" s="308">
        <f>IF(AND(I9&gt;23,I9&lt;40),0,AA9*J9)</f>
        <v>0</v>
      </c>
      <c r="AC9" s="301">
        <f ca="1">OFFSET(Setup!$F$1,MATCH(D9,INDIRECT("Setup!B1:B100"),0)-1,0)</f>
        <v>1</v>
      </c>
      <c r="AD9" s="309" t="str">
        <f ca="1">IF(OR(Z9=0,AU9=0,AH9=0),"",CONCATENATE(AL9,"-",D9,IF(AC9&gt;1,"","-"),IF(AC9&gt;1,"",F9),"-",$AU$7))</f>
        <v>1-F-O-63-PL</v>
      </c>
      <c r="AE9" s="303" t="s">
        <v>110</v>
      </c>
      <c r="AH9" s="310">
        <f ca="1">AU9*(IF(OR(D9="",E9=""),0,MATCH(D9,INDIRECT("Setup!B1:B100"),0)*100000000+IF(AC9=1,(MATCH(F9,Lists!$I$16:$I$32,0)),0)*1000000+IF(Z9=0,0,IF(AC9=1,AN9*1000,IF(AC9=2,AA9,AB9))+IF(AC9=1,AP9+AQ9/1000,0))))</f>
        <v>1511002002.003</v>
      </c>
      <c r="AI9" s="264">
        <f ca="1">RANK(AH9,INDIRECT("AH1:AH200"),0)</f>
        <v>1</v>
      </c>
      <c r="AJ9" s="264">
        <f ca="1">INT(AH9/1000000)</f>
        <v>1511</v>
      </c>
      <c r="AK9" s="264">
        <f ca="1">RANK(AJ9,INDIRECT("AJ1:AJ200"),0)</f>
        <v>1</v>
      </c>
      <c r="AL9" s="264">
        <f ca="1">AI9-AK9+1</f>
        <v>1</v>
      </c>
      <c r="AN9" s="311">
        <f ca="1">RANK(Z9,INDIRECT("Z1:Z200"),-1)</f>
        <v>2</v>
      </c>
      <c r="AO9" s="311">
        <f>E9</f>
        <v>61</v>
      </c>
      <c r="AP9" s="311">
        <f ca="1">RANK(AO9,INDIRECT("AO1:AO200"))</f>
        <v>2</v>
      </c>
      <c r="AQ9" s="311">
        <f ca="1">RANK(BZ9,INDIRECT("BZ:BZ"),-1)</f>
        <v>3</v>
      </c>
      <c r="AU9" s="311">
        <f ca="1">IF(ISERROR(FIND($AU$7,AE9)),0,1)</f>
        <v>1</v>
      </c>
      <c r="AW9" s="311"/>
      <c r="AX9" s="313"/>
      <c r="AY9" s="313"/>
      <c r="AZ9" s="313"/>
      <c r="BA9" s="264">
        <f>HLOOKUP($A9,$BA$1:$BH$2,2,FALSE)</f>
        <v>0</v>
      </c>
      <c r="BB9" s="240">
        <f ca="1">IF(OR(INDIRECT(ADDRESS(ROW(BB9),$BB$4))="",INDIRECT(ADDRESS(ROW(BB9),$BB$4))=0),"",ABS(INDIRECT(ADDRESS(ROW(BB9),$BB$4)))+0.0001*INDIRECT(ADDRESS(ROW(BB9),7)))</f>
        <v>125.00020000000001</v>
      </c>
      <c r="BL9" s="240">
        <v>-1</v>
      </c>
      <c r="BM9" s="240">
        <v>1</v>
      </c>
      <c r="BN9" s="240">
        <v>1</v>
      </c>
      <c r="BO9" s="314">
        <v>43017.691134259258</v>
      </c>
      <c r="BQ9" s="240">
        <v>1</v>
      </c>
      <c r="BR9" s="240">
        <v>0</v>
      </c>
      <c r="BS9" s="240">
        <v>0</v>
      </c>
      <c r="BT9" s="314">
        <v>43003.550462962965</v>
      </c>
      <c r="BV9" s="240">
        <v>1</v>
      </c>
      <c r="BW9" s="240">
        <v>0</v>
      </c>
      <c r="BX9" s="240">
        <v>0</v>
      </c>
      <c r="BY9" s="314">
        <v>43003.559710648151</v>
      </c>
      <c r="BZ9" s="314">
        <f ca="1">IF($AU$7="SQ",BO9,IF($AU$7="BP",BT9,BY9))</f>
        <v>43003.559710648151</v>
      </c>
      <c r="CA9" s="318">
        <v>0.69182870370370375</v>
      </c>
    </row>
    <row r="10" spans="1:125" ht="19.5" customHeight="1" x14ac:dyDescent="0.2">
      <c r="A10" s="301" t="s">
        <v>23</v>
      </c>
      <c r="B10" s="302" t="s">
        <v>195</v>
      </c>
      <c r="C10" s="302" t="s">
        <v>190</v>
      </c>
      <c r="D10" s="303" t="s">
        <v>48</v>
      </c>
      <c r="E10" s="303">
        <v>77</v>
      </c>
      <c r="F10" s="303">
        <f>IF(LEFT(D10,1)="M",VLOOKUP(IF($E$7="Bwt (kg)",E10,E10/2.2046),Lists!$B$16:$D$24,IF(ISERROR(FIND("J",D10)),3,2)),VLOOKUP(IF($E$7="Bwt (kg)",E10,E10/2.2046),Lists!$B$26:$D$33,IF(ISERROR(FIND("J",D10)),3,2)))</f>
        <v>83</v>
      </c>
      <c r="G10" s="303">
        <v>1</v>
      </c>
      <c r="H10" s="304">
        <f>IF(AND(VALUE(E10)&gt;0,OR(LEFT(D10,1)="M",LEFT(D10,1)="F")),IF(LEFT(D10,1)="M",Wilks_Men(IF(RIGHT($F$7,4)="(lb)",E10/2.2046,E10)),Wilks_Women(IF(RIGHT($F$7,4)="(lb)",E10/2.2046,E10))),0)</f>
        <v>0.69989997148513794</v>
      </c>
      <c r="I10" s="305">
        <v>26</v>
      </c>
      <c r="J10" s="264">
        <f>IF(I10,VLOOKUP(I10,DATA!$A$2:$B$53,2,TRUE),0)</f>
        <v>1</v>
      </c>
      <c r="K10" s="303" t="s">
        <v>197</v>
      </c>
      <c r="L10" s="316">
        <v>190</v>
      </c>
      <c r="M10" s="316">
        <v>200</v>
      </c>
      <c r="N10" s="317">
        <v>210</v>
      </c>
      <c r="O10" s="306">
        <f>IF(MAX(BL10:BN10)&gt;0,MAX(ABS(L10)*BL10,ABS(M10)*BM10,ABS(N10)*BN10),0)</f>
        <v>200</v>
      </c>
      <c r="P10" s="307" t="s">
        <v>198</v>
      </c>
      <c r="Q10" s="316">
        <v>140</v>
      </c>
      <c r="R10" s="317">
        <v>145</v>
      </c>
      <c r="S10" s="301"/>
      <c r="T10" s="306">
        <f>IF(MAX(BQ10:BS10)&gt;0,MAX(ABS(Q10)*BQ10,ABS(R10)*BR10,ABS(S10)*BS10),0)</f>
        <v>140</v>
      </c>
      <c r="U10" s="306">
        <f>IF(OR(O10=0,T10=0),0,O10+T10)</f>
        <v>340</v>
      </c>
      <c r="V10" s="316">
        <v>200</v>
      </c>
      <c r="W10" s="317">
        <v>210</v>
      </c>
      <c r="X10" s="301"/>
      <c r="Y10" s="306">
        <f>IF(MAX(BV10:BX10)&gt;0,MAX(ABS(V10)*BV10,ABS(W10)*BW10,ABS(X10)*BX10),0)</f>
        <v>200</v>
      </c>
      <c r="Z10" s="306">
        <f ca="1">AU10*IF($AU$7="SQ",O10,IF($AU$7="BP",T10,IF($AU$7="DL",Y10,IF($AU$7="PP",IF(OR(T10=0,Y10=0),0,T10+Y10),IF(OR($U10=0,$Y10=0),0,$O10+$T10+$Y10)))))</f>
        <v>540</v>
      </c>
      <c r="AA10" s="308">
        <f ca="1">IF($E$2="Lb",Z10*H10/2.2046,Z10*H10)</f>
        <v>377.94598460197449</v>
      </c>
      <c r="AB10" s="308">
        <f>IF(AND(I10&gt;23,I10&lt;40),0,AA10*J10)</f>
        <v>0</v>
      </c>
      <c r="AC10" s="301">
        <f ca="1">OFFSET(Setup!$F$1,MATCH(D10,INDIRECT("Setup!B1:B100"),0)-1,0)</f>
        <v>1</v>
      </c>
      <c r="AD10" s="309" t="str">
        <f ca="1">IF(OR(Z10=0,AU10=0,AH10=0),"",CONCATENATE(AL10,"-",D10,IF(AC10&gt;1,"","-"),IF(AC10&gt;1,"",F10),"-",$AU$7))</f>
        <v>1-M-O-83-PL</v>
      </c>
      <c r="AE10" s="303" t="s">
        <v>110</v>
      </c>
      <c r="AH10" s="310">
        <f ca="1">AU10*(IF(OR(D10="",E10=""),0,MATCH(D10,INDIRECT("Setup!B1:B100"),0)*100000000+IF(AC10=1,(MATCH(F10,Lists!$I$16:$I$32,0)),0)*1000000+IF(Z10=0,0,IF(AC10=1,AN10*1000,IF(AC10=2,AA10,AB10))+IF(AC10=1,AP10+AQ10/1000,0))))</f>
        <v>1407003001.0020001</v>
      </c>
      <c r="AI10" s="264">
        <f ca="1">RANK(AH10,INDIRECT("AH1:AH200"),0)</f>
        <v>2</v>
      </c>
      <c r="AJ10" s="264">
        <f ca="1">INT(AH10/1000000)</f>
        <v>1407</v>
      </c>
      <c r="AK10" s="264">
        <f ca="1">RANK(AJ10,INDIRECT("AJ1:AJ200"),0)</f>
        <v>2</v>
      </c>
      <c r="AL10" s="264">
        <f ca="1">AI10-AK10+1</f>
        <v>1</v>
      </c>
      <c r="AN10" s="311">
        <f ca="1">RANK(Z10,INDIRECT("Z1:Z200"),-1)</f>
        <v>3</v>
      </c>
      <c r="AO10" s="311">
        <f>E10</f>
        <v>77</v>
      </c>
      <c r="AP10" s="311">
        <f ca="1">RANK(AO10,INDIRECT("AO1:AO200"))</f>
        <v>1</v>
      </c>
      <c r="AQ10" s="311">
        <f ca="1">RANK(BZ10,INDIRECT("BZ:BZ"),-1)</f>
        <v>2</v>
      </c>
      <c r="AU10" s="311">
        <f ca="1">IF(ISERROR(FIND($AU$7,AE10)),0,1)</f>
        <v>1</v>
      </c>
      <c r="AW10" s="311"/>
      <c r="AX10" s="313"/>
      <c r="AY10" s="313"/>
      <c r="AZ10" s="313"/>
      <c r="BA10" s="264">
        <f>HLOOKUP($A10,$BA$1:$BH$2,2,FALSE)</f>
        <v>0</v>
      </c>
      <c r="BB10" s="240">
        <f ca="1">IF(OR(INDIRECT(ADDRESS(ROW(BB10),$BB$4))="",INDIRECT(ADDRESS(ROW(BB10),$BB$4))=0),"",ABS(INDIRECT(ADDRESS(ROW(BB10),$BB$4)))+0.0001*INDIRECT(ADDRESS(ROW(BB10),7)))</f>
        <v>210.0001</v>
      </c>
      <c r="BL10" s="240">
        <v>1</v>
      </c>
      <c r="BM10" s="240">
        <v>1</v>
      </c>
      <c r="BN10" s="240">
        <v>0</v>
      </c>
      <c r="BO10" s="314">
        <v>43017.643437500003</v>
      </c>
      <c r="BQ10" s="240">
        <v>1</v>
      </c>
      <c r="BR10" s="240">
        <v>0</v>
      </c>
      <c r="BS10" s="240">
        <v>0</v>
      </c>
      <c r="BT10" s="314">
        <v>43003.550474537034</v>
      </c>
      <c r="BV10" s="240">
        <v>1</v>
      </c>
      <c r="BW10" s="240">
        <v>0</v>
      </c>
      <c r="BX10" s="240">
        <v>0</v>
      </c>
      <c r="BY10" s="314">
        <v>43003.55672453704</v>
      </c>
      <c r="BZ10" s="314">
        <f ca="1">IF($AU$7="SQ",BO10,IF($AU$7="BP",BT10,BY10))</f>
        <v>43003.55672453704</v>
      </c>
      <c r="CA10" s="318">
        <v>0.64413194444444444</v>
      </c>
    </row>
    <row r="11" spans="1:125" ht="19.5" customHeight="1" x14ac:dyDescent="0.2">
      <c r="A11" s="301"/>
      <c r="B11" s="302"/>
      <c r="C11" s="302"/>
      <c r="D11" s="303"/>
      <c r="E11" s="303"/>
      <c r="F11" s="303"/>
      <c r="G11" s="303"/>
      <c r="H11" s="304"/>
      <c r="I11" s="305"/>
      <c r="J11" s="264"/>
      <c r="K11" s="303"/>
      <c r="L11" s="301"/>
      <c r="M11" s="301"/>
      <c r="N11" s="301"/>
      <c r="O11" s="306"/>
      <c r="P11" s="307"/>
      <c r="Q11" s="301"/>
      <c r="R11" s="301"/>
      <c r="S11" s="301"/>
      <c r="T11" s="306"/>
      <c r="U11" s="306"/>
      <c r="V11" s="301"/>
      <c r="W11" s="301"/>
      <c r="X11" s="301"/>
      <c r="Y11" s="306"/>
      <c r="Z11" s="306"/>
      <c r="AA11" s="308"/>
      <c r="AB11" s="308"/>
      <c r="AC11" s="301"/>
      <c r="AD11" s="309"/>
      <c r="AE11" s="303"/>
      <c r="AH11" s="310"/>
      <c r="AU11" s="311"/>
      <c r="AW11" s="311"/>
      <c r="AX11" s="313"/>
      <c r="AY11" s="313"/>
      <c r="AZ11" s="313"/>
      <c r="BA11" s="264"/>
    </row>
    <row r="12" spans="1:125" x14ac:dyDescent="0.2">
      <c r="J12" s="264"/>
    </row>
    <row r="13" spans="1:125" x14ac:dyDescent="0.2">
      <c r="J13" s="264"/>
    </row>
    <row r="14" spans="1:125" x14ac:dyDescent="0.2">
      <c r="J14" s="264"/>
    </row>
    <row r="15" spans="1:125" x14ac:dyDescent="0.2">
      <c r="J15" s="264"/>
    </row>
    <row r="16" spans="1:125" x14ac:dyDescent="0.2">
      <c r="J16" s="264"/>
    </row>
  </sheetData>
  <sheetProtection sheet="1" objects="1" scenarios="1"/>
  <sortState ref="A9:XFD10">
    <sortCondition ref="BA9"/>
    <sortCondition ref="BB9"/>
  </sortState>
  <mergeCells count="11">
    <mergeCell ref="F4:G4"/>
    <mergeCell ref="A1:F1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 L11 Q11 V11">
    <cfRule type="expression" dxfId="65" priority="126" stopIfTrue="1">
      <formula>AND(BL8=0,COLUMN(L8)=$BD$4,ROW(L8)=$AY$5)</formula>
    </cfRule>
    <cfRule type="expression" dxfId="64" priority="127" stopIfTrue="1">
      <formula>OR(AND(BL8=1,COLUMN(L8)&lt;=$BD$4,ROW(L8)=$AY$5),AND(BL8=1,COLUMN(L8)=$BD$4,ROW(L8)&lt;=$AY$5))</formula>
    </cfRule>
  </conditionalFormatting>
  <conditionalFormatting sqref="M8:N8 R8:S8 W8:X8 M11:N11 R11:S11 W11:X11">
    <cfRule type="expression" dxfId="63" priority="128" stopIfTrue="1">
      <formula>AND(BM8=0,COLUMN(M8)=$BD$4,ROW(M8)=$AY$5)</formula>
    </cfRule>
    <cfRule type="expression" dxfId="62" priority="129" stopIfTrue="1">
      <formula>OR(AND(BM8=1,COLUMN(M8)&lt;=$BD$4,ROW(M8)=$AY$5),AND(BM8=1,COLUMN(M8)=$BD$4,ROW(M8)&lt;=$AY$5))</formula>
    </cfRule>
    <cfRule type="expression" dxfId="61" priority="130" stopIfTrue="1">
      <formula>AND(M8="",BL8&lt;&gt;0,$CA8&lt;&gt;0,$CA8&lt;$CA$5)</formula>
    </cfRule>
  </conditionalFormatting>
  <conditionalFormatting sqref="Z8 Z11">
    <cfRule type="expression" dxfId="60" priority="116" stopIfTrue="1">
      <formula>AND(ROW(Z8)=$AY$5)</formula>
    </cfRule>
    <cfRule type="expression" dxfId="59" priority="117" stopIfTrue="1">
      <formula>AND(AC8=1)</formula>
    </cfRule>
  </conditionalFormatting>
  <conditionalFormatting sqref="AA8 AA11">
    <cfRule type="expression" dxfId="58" priority="118" stopIfTrue="1">
      <formula>AND($AC8=2)</formula>
    </cfRule>
  </conditionalFormatting>
  <conditionalFormatting sqref="AB8 AB11">
    <cfRule type="expression" dxfId="57" priority="119" stopIfTrue="1">
      <formula>AND($AC8=3)</formula>
    </cfRule>
  </conditionalFormatting>
  <conditionalFormatting sqref="A4">
    <cfRule type="expression" dxfId="56" priority="124" stopIfTrue="1">
      <formula>ISNA(A4)</formula>
    </cfRule>
  </conditionalFormatting>
  <conditionalFormatting sqref="A8 A11">
    <cfRule type="expression" dxfId="55" priority="120" stopIfTrue="1">
      <formula>AND(A8=RIGHT($A$7,1))</formula>
    </cfRule>
  </conditionalFormatting>
  <conditionalFormatting sqref="L7:N7 Q7:S7 V7:X7">
    <cfRule type="expression" dxfId="54" priority="122" stopIfTrue="1">
      <formula>AND(COLUMN(L7)=$BD$4)</formula>
    </cfRule>
  </conditionalFormatting>
  <conditionalFormatting sqref="K8 T8:U8 O8 Y8 C8:G8 K11 T11:U11 O11 Y11 C11:G11">
    <cfRule type="expression" dxfId="53" priority="123" stopIfTrue="1">
      <formula>AND(ROW(C8)=$AY$5)</formula>
    </cfRule>
  </conditionalFormatting>
  <conditionalFormatting sqref="B8 B11">
    <cfRule type="cellIs" dxfId="52" priority="140" stopIfTrue="1" operator="equal">
      <formula>$A$1</formula>
    </cfRule>
    <cfRule type="expression" dxfId="51" priority="141" stopIfTrue="1">
      <formula>AND(ROW(B8)=$AG$7)</formula>
    </cfRule>
  </conditionalFormatting>
  <conditionalFormatting sqref="AD8 AD11">
    <cfRule type="expression" dxfId="50" priority="170" stopIfTrue="1">
      <formula>AND(AJ8=$AM$5)</formula>
    </cfRule>
  </conditionalFormatting>
  <conditionalFormatting sqref="L10 Q10 V10">
    <cfRule type="expression" dxfId="49" priority="21" stopIfTrue="1">
      <formula>AND(BL10=0,COLUMN(L10)=$BD$4,ROW(L10)=$AY$5)</formula>
    </cfRule>
    <cfRule type="expression" dxfId="48" priority="22" stopIfTrue="1">
      <formula>OR(AND(BL10=1,COLUMN(L10)&lt;=$BD$4,ROW(L10)=$AY$5),AND(BL10=1,COLUMN(L10)=$BD$4,ROW(L10)&lt;=$AY$5))</formula>
    </cfRule>
  </conditionalFormatting>
  <conditionalFormatting sqref="M10:N10 R10:S10 W10:X10">
    <cfRule type="expression" dxfId="47" priority="23" stopIfTrue="1">
      <formula>AND(BM10=0,COLUMN(M10)=$BD$4,ROW(M10)=$AY$5)</formula>
    </cfRule>
    <cfRule type="expression" dxfId="46" priority="24" stopIfTrue="1">
      <formula>OR(AND(BM10=1,COLUMN(M10)&lt;=$BD$4,ROW(M10)=$AY$5),AND(BM10=1,COLUMN(M10)=$BD$4,ROW(M10)&lt;=$AY$5))</formula>
    </cfRule>
    <cfRule type="expression" dxfId="45" priority="25" stopIfTrue="1">
      <formula>AND(M10="",BL10&lt;&gt;0,$CA10&lt;&gt;0,$CA10&lt;$CA$5)</formula>
    </cfRule>
  </conditionalFormatting>
  <conditionalFormatting sqref="Z10">
    <cfRule type="expression" dxfId="44" priority="15" stopIfTrue="1">
      <formula>AND(ROW(Z10)=$AY$5)</formula>
    </cfRule>
    <cfRule type="expression" dxfId="43" priority="16" stopIfTrue="1">
      <formula>AND(AC10=1)</formula>
    </cfRule>
  </conditionalFormatting>
  <conditionalFormatting sqref="AA10">
    <cfRule type="expression" dxfId="42" priority="17" stopIfTrue="1">
      <formula>AND($AC10=2)</formula>
    </cfRule>
  </conditionalFormatting>
  <conditionalFormatting sqref="AB10">
    <cfRule type="expression" dxfId="41" priority="18" stopIfTrue="1">
      <formula>AND($AC10=3)</formula>
    </cfRule>
  </conditionalFormatting>
  <conditionalFormatting sqref="A10">
    <cfRule type="expression" dxfId="40" priority="19" stopIfTrue="1">
      <formula>AND(A10=RIGHT($A$7,1))</formula>
    </cfRule>
  </conditionalFormatting>
  <conditionalFormatting sqref="K10 T10:U10 O10 Y10 C10:G10">
    <cfRule type="expression" dxfId="39" priority="20" stopIfTrue="1">
      <formula>AND(ROW(C10)=$AY$5)</formula>
    </cfRule>
  </conditionalFormatting>
  <conditionalFormatting sqref="B10">
    <cfRule type="cellIs" dxfId="38" priority="26" stopIfTrue="1" operator="equal">
      <formula>$A$1</formula>
    </cfRule>
    <cfRule type="expression" dxfId="37" priority="27" stopIfTrue="1">
      <formula>AND(ROW(B10)=$AG$7)</formula>
    </cfRule>
  </conditionalFormatting>
  <conditionalFormatting sqref="AD10">
    <cfRule type="expression" dxfId="36" priority="28" stopIfTrue="1">
      <formula>AND(AJ10=$AM$5)</formula>
    </cfRule>
  </conditionalFormatting>
  <conditionalFormatting sqref="L9 Q9 V9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9 R9:S9 W9:X9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">
    <cfRule type="expression" dxfId="28" priority="3" stopIfTrue="1">
      <formula>AND($AC9=2)</formula>
    </cfRule>
  </conditionalFormatting>
  <conditionalFormatting sqref="AB9">
    <cfRule type="expression" dxfId="27" priority="4" stopIfTrue="1">
      <formula>AND($AC9=3)</formula>
    </cfRule>
  </conditionalFormatting>
  <conditionalFormatting sqref="A9">
    <cfRule type="expression" dxfId="26" priority="5" stopIfTrue="1">
      <formula>AND(A9=RIGHT($A$7,1))</formula>
    </cfRule>
  </conditionalFormatting>
  <conditionalFormatting sqref="K9 T9:U9 O9 Y9 C9:G9">
    <cfRule type="expression" dxfId="25" priority="6" stopIfTrue="1">
      <formula>AND(ROW(C9)=$AY$5)</formula>
    </cfRule>
  </conditionalFormatting>
  <conditionalFormatting sqref="B9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 G1">
      <formula1>INDIRECT($AS$2)</formula1>
    </dataValidation>
    <dataValidation type="list" allowBlank="1" showInputMessage="1" showErrorMessage="1" sqref="AC12:AC65511">
      <formula1>"1,2,3"</formula1>
    </dataValidation>
    <dataValidation type="custom" errorStyle="warning" allowBlank="1" showInputMessage="1" showErrorMessage="1" errorTitle="Check Entered Weight" error="Must be a multiple of 2.5 kg/5 lb unless this is a World Record attempt" sqref="V8:V11 Q8:Q11 L8:L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custom" errorStyle="warning" allowBlank="1" showInputMessage="1" showErrorMessage="1" errorTitle="Check Entered Weight" error="Must be a multiple of 2.5 kg/5 lb unless this is a World Record attempt" sqref="M8:N11 W8:X11 R8:S11">
      <formula1>AND(M8&gt;L8,M8&gt;=ABS(L8),MOD(M8,IF($F$2="Lb",5,2.5))=0)</formula1>
    </dataValidation>
    <dataValidation type="list" allowBlank="1" showInputMessage="1" showErrorMessage="1" sqref="A8:A65511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6"/>
  <sheetViews>
    <sheetView workbookViewId="0">
      <pane ySplit="2" topLeftCell="A3" activePane="bottomLeft" state="frozen"/>
      <selection pane="bottomLeft" activeCell="B4" sqref="B4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4</v>
      </c>
    </row>
    <row r="2" spans="1:60" s="121" customFormat="1" ht="27" customHeight="1" x14ac:dyDescent="0.2">
      <c r="A2" s="117" t="s">
        <v>166</v>
      </c>
      <c r="B2" s="117" t="s">
        <v>0</v>
      </c>
      <c r="C2" s="117" t="s">
        <v>41</v>
      </c>
      <c r="D2" s="117" t="s">
        <v>2</v>
      </c>
      <c r="E2" s="117" t="s">
        <v>187</v>
      </c>
      <c r="F2" s="117" t="s">
        <v>1</v>
      </c>
      <c r="G2" s="324" t="s">
        <v>206</v>
      </c>
      <c r="H2" s="323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Setup!O6:O7</v>
      </c>
      <c r="V2" s="122"/>
      <c r="Z2" s="121">
        <v>2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  <row r="14" spans="1:60" ht="15" x14ac:dyDescent="0.2">
      <c r="B14" s="124"/>
      <c r="N14" s="126"/>
      <c r="O14" s="126"/>
      <c r="P14" s="126"/>
      <c r="Q14" s="126"/>
      <c r="R14" s="127"/>
      <c r="S14" s="127"/>
      <c r="T14" s="127"/>
    </row>
    <row r="15" spans="1:60" ht="15" x14ac:dyDescent="0.2">
      <c r="B15" s="124"/>
      <c r="N15" s="126"/>
      <c r="O15" s="126"/>
      <c r="P15" s="126"/>
      <c r="Q15" s="126"/>
      <c r="R15" s="127"/>
      <c r="S15" s="127"/>
      <c r="T15" s="127"/>
    </row>
    <row r="16" spans="1:60" ht="15" x14ac:dyDescent="0.2">
      <c r="B16" s="124"/>
      <c r="N16" s="126"/>
      <c r="O16" s="126"/>
      <c r="P16" s="126"/>
      <c r="Q16" s="126"/>
      <c r="R16" s="127"/>
      <c r="S16" s="127"/>
      <c r="T16" s="127"/>
    </row>
  </sheetData>
  <phoneticPr fontId="0" type="noConversion"/>
  <conditionalFormatting sqref="A2:M65519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3:N65519 N7:N45 N3:N5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9"/>
    <dataValidation type="list" allowBlank="1" showInputMessage="1" showErrorMessage="1" sqref="A3:A65519">
      <formula1>"A,B,C,D,E,F,G,H"</formula1>
    </dataValidation>
    <dataValidation type="custom" errorStyle="warning" allowBlank="1" showInputMessage="1" showErrorMessage="1" errorTitle="Check Entered Weight" error="Must be a multiple of 2.5 kg/5 lb unless this is a World Record attempt" sqref="K3:L65519 I3:I65519">
      <formula1>AND(MOD(I3,IF($P$2="Lb",5,2.5))=0)</formula1>
    </dataValidation>
    <dataValidation type="list" allowBlank="1" showInputMessage="1" showErrorMessage="1" sqref="D3:D65519">
      <formula1>INDIRECT($R$2)</formula1>
    </dataValidation>
    <dataValidation type="list" allowBlank="1" showInputMessage="1" showErrorMessage="1" sqref="C3:C65519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201" t="s">
        <v>108</v>
      </c>
      <c r="F1" s="202"/>
      <c r="G1" s="201" t="s">
        <v>109</v>
      </c>
      <c r="H1" s="202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199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199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199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199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199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199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199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199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199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199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199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199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199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199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199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199"/>
      <c r="E18" s="200" t="s">
        <v>105</v>
      </c>
      <c r="F18" s="200"/>
      <c r="G18" s="200"/>
      <c r="H18" s="200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199"/>
      <c r="E19" s="200"/>
      <c r="F19" s="200"/>
      <c r="G19" s="200"/>
      <c r="H19" s="200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199"/>
      <c r="E20" s="200"/>
      <c r="F20" s="200"/>
      <c r="G20" s="200"/>
      <c r="H20" s="200"/>
    </row>
    <row r="21" spans="1:24" x14ac:dyDescent="0.2">
      <c r="A21" s="27">
        <v>48</v>
      </c>
      <c r="B21" s="27">
        <v>1.097</v>
      </c>
      <c r="C21" s="199"/>
    </row>
    <row r="22" spans="1:24" x14ac:dyDescent="0.2">
      <c r="A22" s="27">
        <v>49</v>
      </c>
      <c r="B22" s="27">
        <v>1.113</v>
      </c>
      <c r="C22" s="199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I4" sqref="I4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customWidth="1"/>
    <col min="30" max="30" width="16.5703125" style="36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209">
        <f ca="1">TODAY()</f>
        <v>43017</v>
      </c>
      <c r="C1" s="203" t="str">
        <f>Setup!B3</f>
        <v>GKK Cup</v>
      </c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5"/>
      <c r="AG1">
        <f>COUNTA(A:A)+8</f>
        <v>10</v>
      </c>
    </row>
    <row r="2" spans="1:33" ht="12.75" customHeight="1" thickBot="1" x14ac:dyDescent="0.25">
      <c r="A2" s="67"/>
      <c r="B2" s="210"/>
      <c r="C2" s="206"/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  <c r="V2" s="207"/>
      <c r="W2" s="207"/>
      <c r="X2" s="207"/>
      <c r="Y2" s="207"/>
      <c r="Z2" s="207"/>
      <c r="AA2" s="207"/>
      <c r="AB2" s="207"/>
      <c r="AC2" s="207"/>
      <c r="AD2" s="208"/>
    </row>
    <row r="3" spans="1:33" s="38" customFormat="1" ht="26.25" thickBot="1" x14ac:dyDescent="0.25">
      <c r="A3" s="65" t="s">
        <v>60</v>
      </c>
      <c r="B3" s="72" t="s">
        <v>151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205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200</v>
      </c>
      <c r="AB3" s="64" t="s">
        <v>199</v>
      </c>
      <c r="AC3" s="63" t="s">
        <v>26</v>
      </c>
      <c r="AD3" s="63" t="s">
        <v>136</v>
      </c>
    </row>
    <row r="4" spans="1:33" x14ac:dyDescent="0.2">
      <c r="B4" s="37" t="s">
        <v>196</v>
      </c>
      <c r="C4" s="36" t="s">
        <v>192</v>
      </c>
      <c r="D4" s="2" t="s">
        <v>162</v>
      </c>
      <c r="E4" s="2">
        <v>61</v>
      </c>
      <c r="F4" s="2">
        <v>63</v>
      </c>
      <c r="G4" s="2">
        <v>2</v>
      </c>
      <c r="H4" s="2">
        <v>1.1007000207901001</v>
      </c>
      <c r="I4" s="2">
        <v>26</v>
      </c>
      <c r="J4" s="2">
        <v>1</v>
      </c>
      <c r="K4" s="2">
        <v>12</v>
      </c>
      <c r="L4" s="2">
        <v>-115</v>
      </c>
      <c r="M4" s="2">
        <v>120</v>
      </c>
      <c r="N4" s="2">
        <v>125</v>
      </c>
      <c r="O4" s="2">
        <v>120</v>
      </c>
      <c r="P4" s="1" t="s">
        <v>198</v>
      </c>
      <c r="Q4" s="2">
        <v>67.5</v>
      </c>
      <c r="R4" s="2">
        <v>70</v>
      </c>
      <c r="T4" s="2">
        <v>67.5</v>
      </c>
      <c r="U4" s="2">
        <v>187.5</v>
      </c>
      <c r="V4" s="2">
        <v>150</v>
      </c>
      <c r="W4" s="2">
        <v>160</v>
      </c>
      <c r="Y4" s="2">
        <v>150</v>
      </c>
      <c r="Z4" s="2">
        <v>337.5</v>
      </c>
      <c r="AA4" s="39">
        <v>371.48625701665878</v>
      </c>
      <c r="AB4" s="39">
        <v>0</v>
      </c>
      <c r="AC4" s="2">
        <v>1</v>
      </c>
      <c r="AD4" s="36" t="s">
        <v>202</v>
      </c>
    </row>
    <row r="5" spans="1:33" x14ac:dyDescent="0.2">
      <c r="B5" s="37" t="s">
        <v>195</v>
      </c>
      <c r="C5" s="36" t="s">
        <v>190</v>
      </c>
      <c r="D5" s="2" t="s">
        <v>48</v>
      </c>
      <c r="E5" s="2">
        <v>77</v>
      </c>
      <c r="F5" s="2">
        <v>83</v>
      </c>
      <c r="G5" s="2">
        <v>1</v>
      </c>
      <c r="H5" s="2">
        <v>0.69989997148513794</v>
      </c>
      <c r="I5" s="2">
        <v>26</v>
      </c>
      <c r="J5" s="2">
        <v>1</v>
      </c>
      <c r="K5" s="2" t="s">
        <v>197</v>
      </c>
      <c r="L5" s="2">
        <v>190</v>
      </c>
      <c r="M5" s="2">
        <v>200</v>
      </c>
      <c r="N5" s="2">
        <v>210</v>
      </c>
      <c r="O5" s="2">
        <v>200</v>
      </c>
      <c r="P5" s="1" t="s">
        <v>198</v>
      </c>
      <c r="Q5" s="2">
        <v>140</v>
      </c>
      <c r="R5" s="2">
        <v>145</v>
      </c>
      <c r="T5" s="2">
        <v>140</v>
      </c>
      <c r="U5" s="2">
        <v>340</v>
      </c>
      <c r="V5" s="2">
        <v>200</v>
      </c>
      <c r="W5" s="2">
        <v>210</v>
      </c>
      <c r="Y5" s="2">
        <v>200</v>
      </c>
      <c r="Z5" s="2">
        <v>540</v>
      </c>
      <c r="AA5" s="39">
        <v>377.94598460197449</v>
      </c>
      <c r="AB5" s="39">
        <v>0</v>
      </c>
      <c r="AC5" s="2">
        <v>1</v>
      </c>
      <c r="AD5" s="36" t="s">
        <v>201</v>
      </c>
    </row>
    <row r="6" spans="1:33" x14ac:dyDescent="0.2">
      <c r="A6" s="2" t="s">
        <v>23</v>
      </c>
      <c r="B6" s="37" t="s">
        <v>203</v>
      </c>
      <c r="C6" s="36" t="s">
        <v>190</v>
      </c>
      <c r="D6" s="2" t="s">
        <v>48</v>
      </c>
      <c r="E6" s="2">
        <v>83</v>
      </c>
      <c r="F6" s="2">
        <v>83</v>
      </c>
      <c r="G6" s="2">
        <v>7</v>
      </c>
      <c r="H6" s="2">
        <v>0.66750001907348633</v>
      </c>
      <c r="I6" s="2">
        <v>670324</v>
      </c>
      <c r="J6" s="2">
        <v>1.1299999999999999</v>
      </c>
      <c r="K6" s="2">
        <v>14</v>
      </c>
      <c r="L6" s="2">
        <v>180</v>
      </c>
      <c r="O6" s="2">
        <v>0</v>
      </c>
      <c r="P6" s="1" t="s">
        <v>204</v>
      </c>
      <c r="Q6" s="2">
        <v>130</v>
      </c>
      <c r="T6" s="2">
        <v>0</v>
      </c>
      <c r="U6" s="2">
        <v>0</v>
      </c>
      <c r="V6" s="2">
        <v>210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207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703">
    <cfRule type="expression" dxfId="18" priority="67" stopIfTrue="1">
      <formula>AND(AC4=1)</formula>
    </cfRule>
  </conditionalFormatting>
  <conditionalFormatting sqref="AA4:AA64703">
    <cfRule type="expression" dxfId="17" priority="68" stopIfTrue="1">
      <formula>AND($AC4=2)</formula>
    </cfRule>
  </conditionalFormatting>
  <conditionalFormatting sqref="AB4:AB64703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74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45"/>
  <sheetViews>
    <sheetView zoomScaleNormal="100" workbookViewId="0">
      <selection activeCell="I4" sqref="I4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customWidth="1"/>
    <col min="30" max="30" width="16.5703125" style="36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211">
        <f ca="1">TODAY()</f>
        <v>43017</v>
      </c>
      <c r="C1" s="213" t="str">
        <f>Setup!B3</f>
        <v>GKK Cup</v>
      </c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  <c r="V1" s="214"/>
      <c r="W1" s="214"/>
      <c r="X1" s="214"/>
      <c r="Y1" s="214"/>
      <c r="Z1" s="214"/>
      <c r="AA1" s="214"/>
      <c r="AB1" s="214"/>
      <c r="AC1" s="214"/>
      <c r="AD1" s="214"/>
      <c r="AE1" s="215"/>
      <c r="AF1"/>
      <c r="AG1">
        <f>COUNTA(A:A)+4</f>
        <v>6</v>
      </c>
      <c r="AH1"/>
    </row>
    <row r="2" spans="1:77" s="29" customFormat="1" ht="12.75" customHeight="1" x14ac:dyDescent="0.2">
      <c r="A2" s="111"/>
      <c r="B2" s="212"/>
      <c r="C2" s="216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8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205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200</v>
      </c>
      <c r="AB3" s="108" t="s">
        <v>199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203</v>
      </c>
      <c r="C4" s="93" t="s">
        <v>190</v>
      </c>
      <c r="D4" s="91" t="s">
        <v>48</v>
      </c>
      <c r="E4" s="91">
        <v>83</v>
      </c>
      <c r="F4" s="91">
        <v>83</v>
      </c>
      <c r="G4" s="91">
        <v>7</v>
      </c>
      <c r="H4" s="91">
        <v>0.66750001907348633</v>
      </c>
      <c r="I4" s="91">
        <v>670324</v>
      </c>
      <c r="J4" s="91">
        <v>1.1299999999999999</v>
      </c>
      <c r="K4" s="91">
        <v>14</v>
      </c>
      <c r="L4" s="95">
        <v>180</v>
      </c>
      <c r="M4" s="95"/>
      <c r="N4" s="95"/>
      <c r="O4" s="91">
        <v>0</v>
      </c>
      <c r="P4" s="94" t="s">
        <v>204</v>
      </c>
      <c r="Q4" s="95">
        <v>130</v>
      </c>
      <c r="R4" s="95"/>
      <c r="S4" s="95"/>
      <c r="T4" s="91">
        <v>0</v>
      </c>
      <c r="U4" s="91">
        <v>0</v>
      </c>
      <c r="V4" s="95">
        <v>210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207</v>
      </c>
      <c r="AE4" s="93" t="s">
        <v>110</v>
      </c>
    </row>
    <row r="5" spans="1:77" ht="20.25" customHeight="1" x14ac:dyDescent="0.2">
      <c r="A5" s="91"/>
      <c r="B5" s="92" t="s">
        <v>196</v>
      </c>
      <c r="C5" s="93" t="s">
        <v>192</v>
      </c>
      <c r="D5" s="91" t="s">
        <v>162</v>
      </c>
      <c r="E5" s="91">
        <v>61</v>
      </c>
      <c r="F5" s="91">
        <v>63</v>
      </c>
      <c r="G5" s="91">
        <v>2</v>
      </c>
      <c r="H5" s="91">
        <v>1.1007000207901001</v>
      </c>
      <c r="I5" s="91">
        <v>26</v>
      </c>
      <c r="J5" s="91">
        <v>1</v>
      </c>
      <c r="K5" s="91">
        <v>12</v>
      </c>
      <c r="L5" s="95">
        <v>-115</v>
      </c>
      <c r="M5" s="95">
        <v>120</v>
      </c>
      <c r="N5" s="95">
        <v>125</v>
      </c>
      <c r="O5" s="91">
        <v>120</v>
      </c>
      <c r="P5" s="94" t="s">
        <v>198</v>
      </c>
      <c r="Q5" s="95">
        <v>67.5</v>
      </c>
      <c r="R5" s="95">
        <v>70</v>
      </c>
      <c r="S5" s="95"/>
      <c r="T5" s="91">
        <v>67.5</v>
      </c>
      <c r="U5" s="91">
        <v>187.5</v>
      </c>
      <c r="V5" s="95">
        <v>150</v>
      </c>
      <c r="W5" s="95">
        <v>160</v>
      </c>
      <c r="X5" s="95"/>
      <c r="Y5" s="91">
        <v>150</v>
      </c>
      <c r="Z5" s="91">
        <v>337.5</v>
      </c>
      <c r="AA5" s="96">
        <v>371.48625701665878</v>
      </c>
      <c r="AB5" s="96">
        <v>0</v>
      </c>
      <c r="AC5" s="91">
        <v>1</v>
      </c>
      <c r="AD5" s="93" t="s">
        <v>202</v>
      </c>
      <c r="AE5" s="93" t="s">
        <v>110</v>
      </c>
    </row>
    <row r="6" spans="1:77" ht="20.25" customHeight="1" x14ac:dyDescent="0.2">
      <c r="A6" s="91"/>
      <c r="B6" s="92" t="s">
        <v>195</v>
      </c>
      <c r="C6" s="93" t="s">
        <v>190</v>
      </c>
      <c r="D6" s="91" t="s">
        <v>48</v>
      </c>
      <c r="E6" s="91">
        <v>77</v>
      </c>
      <c r="F6" s="91">
        <v>83</v>
      </c>
      <c r="G6" s="91">
        <v>1</v>
      </c>
      <c r="H6" s="91">
        <v>0.69989997148513794</v>
      </c>
      <c r="I6" s="91">
        <v>26</v>
      </c>
      <c r="J6" s="91">
        <v>1</v>
      </c>
      <c r="K6" s="91" t="s">
        <v>197</v>
      </c>
      <c r="L6" s="95">
        <v>190</v>
      </c>
      <c r="M6" s="95">
        <v>200</v>
      </c>
      <c r="N6" s="95">
        <v>210</v>
      </c>
      <c r="O6" s="91">
        <v>200</v>
      </c>
      <c r="P6" s="94" t="s">
        <v>198</v>
      </c>
      <c r="Q6" s="95">
        <v>140</v>
      </c>
      <c r="R6" s="95">
        <v>145</v>
      </c>
      <c r="S6" s="95"/>
      <c r="T6" s="91">
        <v>140</v>
      </c>
      <c r="U6" s="91">
        <v>340</v>
      </c>
      <c r="V6" s="95">
        <v>200</v>
      </c>
      <c r="W6" s="95">
        <v>210</v>
      </c>
      <c r="X6" s="95"/>
      <c r="Y6" s="91">
        <v>200</v>
      </c>
      <c r="Z6" s="91">
        <v>540</v>
      </c>
      <c r="AA6" s="96">
        <v>377.94598460197449</v>
      </c>
      <c r="AB6" s="96">
        <v>0</v>
      </c>
      <c r="AC6" s="91">
        <v>1</v>
      </c>
      <c r="AD6" s="93" t="s">
        <v>201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  <row r="939" spans="1:31" ht="20.25" customHeight="1" x14ac:dyDescent="0.2">
      <c r="A939" s="91"/>
      <c r="B939" s="92"/>
      <c r="C939" s="93"/>
      <c r="D939" s="91"/>
      <c r="E939" s="91"/>
      <c r="F939" s="91"/>
      <c r="G939" s="91"/>
      <c r="H939" s="91"/>
      <c r="I939" s="91"/>
      <c r="J939" s="91"/>
      <c r="K939" s="91"/>
      <c r="L939" s="95"/>
      <c r="M939" s="95"/>
      <c r="N939" s="95"/>
      <c r="O939" s="91"/>
      <c r="P939" s="94"/>
      <c r="Q939" s="95"/>
      <c r="R939" s="95"/>
      <c r="S939" s="95"/>
      <c r="T939" s="91"/>
      <c r="U939" s="91"/>
      <c r="V939" s="95"/>
      <c r="W939" s="95"/>
      <c r="X939" s="95"/>
      <c r="Y939" s="91"/>
      <c r="Z939" s="91"/>
      <c r="AA939" s="96"/>
      <c r="AB939" s="96"/>
      <c r="AC939" s="91"/>
      <c r="AD939" s="93"/>
      <c r="AE939" s="93"/>
    </row>
    <row r="940" spans="1:31" ht="20.25" customHeight="1" x14ac:dyDescent="0.2">
      <c r="A940" s="91"/>
      <c r="B940" s="92"/>
      <c r="C940" s="93"/>
      <c r="D940" s="91"/>
      <c r="E940" s="91"/>
      <c r="F940" s="91"/>
      <c r="G940" s="91"/>
      <c r="H940" s="91"/>
      <c r="I940" s="91"/>
      <c r="J940" s="91"/>
      <c r="K940" s="91"/>
      <c r="L940" s="95"/>
      <c r="M940" s="95"/>
      <c r="N940" s="95"/>
      <c r="O940" s="91"/>
      <c r="P940" s="94"/>
      <c r="Q940" s="95"/>
      <c r="R940" s="95"/>
      <c r="S940" s="95"/>
      <c r="T940" s="91"/>
      <c r="U940" s="91"/>
      <c r="V940" s="95"/>
      <c r="W940" s="95"/>
      <c r="X940" s="95"/>
      <c r="Y940" s="91"/>
      <c r="Z940" s="91"/>
      <c r="AA940" s="96"/>
      <c r="AB940" s="96"/>
      <c r="AC940" s="91"/>
      <c r="AD940" s="93"/>
      <c r="AE940" s="93"/>
    </row>
    <row r="941" spans="1:31" ht="20.25" customHeight="1" x14ac:dyDescent="0.2">
      <c r="A941" s="91"/>
      <c r="B941" s="92"/>
      <c r="C941" s="93"/>
      <c r="D941" s="91"/>
      <c r="E941" s="91"/>
      <c r="F941" s="91"/>
      <c r="G941" s="91"/>
      <c r="H941" s="91"/>
      <c r="I941" s="91"/>
      <c r="J941" s="91"/>
      <c r="K941" s="91"/>
      <c r="L941" s="95"/>
      <c r="M941" s="95"/>
      <c r="N941" s="95"/>
      <c r="O941" s="91"/>
      <c r="P941" s="94"/>
      <c r="Q941" s="95"/>
      <c r="R941" s="95"/>
      <c r="S941" s="95"/>
      <c r="T941" s="91"/>
      <c r="U941" s="91"/>
      <c r="V941" s="95"/>
      <c r="W941" s="95"/>
      <c r="X941" s="95"/>
      <c r="Y941" s="91"/>
      <c r="Z941" s="91"/>
      <c r="AA941" s="96"/>
      <c r="AB941" s="96"/>
      <c r="AC941" s="91"/>
      <c r="AD941" s="93"/>
      <c r="AE941" s="93"/>
    </row>
    <row r="942" spans="1:31" ht="20.25" customHeight="1" x14ac:dyDescent="0.2">
      <c r="A942" s="91"/>
      <c r="B942" s="92"/>
      <c r="C942" s="93"/>
      <c r="D942" s="91"/>
      <c r="E942" s="91"/>
      <c r="F942" s="91"/>
      <c r="G942" s="91"/>
      <c r="H942" s="91"/>
      <c r="I942" s="91"/>
      <c r="J942" s="91"/>
      <c r="K942" s="91"/>
      <c r="L942" s="95"/>
      <c r="M942" s="95"/>
      <c r="N942" s="95"/>
      <c r="O942" s="91"/>
      <c r="P942" s="94"/>
      <c r="Q942" s="95"/>
      <c r="R942" s="95"/>
      <c r="S942" s="95"/>
      <c r="T942" s="91"/>
      <c r="U942" s="91"/>
      <c r="V942" s="95"/>
      <c r="W942" s="95"/>
      <c r="X942" s="95"/>
      <c r="Y942" s="91"/>
      <c r="Z942" s="91"/>
      <c r="AA942" s="96"/>
      <c r="AB942" s="96"/>
      <c r="AC942" s="91"/>
      <c r="AD942" s="93"/>
      <c r="AE942" s="93"/>
    </row>
    <row r="943" spans="1:31" ht="20.25" customHeight="1" x14ac:dyDescent="0.2">
      <c r="A943" s="91"/>
      <c r="B943" s="92"/>
      <c r="C943" s="93"/>
      <c r="D943" s="91"/>
      <c r="E943" s="91"/>
      <c r="F943" s="91"/>
      <c r="G943" s="91"/>
      <c r="H943" s="91"/>
      <c r="I943" s="91"/>
      <c r="J943" s="91"/>
      <c r="K943" s="91"/>
      <c r="L943" s="95"/>
      <c r="M943" s="95"/>
      <c r="N943" s="95"/>
      <c r="O943" s="91"/>
      <c r="P943" s="94"/>
      <c r="Q943" s="95"/>
      <c r="R943" s="95"/>
      <c r="S943" s="95"/>
      <c r="T943" s="91"/>
      <c r="U943" s="91"/>
      <c r="V943" s="95"/>
      <c r="W943" s="95"/>
      <c r="X943" s="95"/>
      <c r="Y943" s="91"/>
      <c r="Z943" s="91"/>
      <c r="AA943" s="96"/>
      <c r="AB943" s="96"/>
      <c r="AC943" s="91"/>
      <c r="AD943" s="93"/>
      <c r="AE943" s="93"/>
    </row>
    <row r="944" spans="1:31" ht="20.25" customHeight="1" x14ac:dyDescent="0.2">
      <c r="A944" s="91"/>
      <c r="B944" s="92"/>
      <c r="C944" s="93"/>
      <c r="D944" s="91"/>
      <c r="E944" s="91"/>
      <c r="F944" s="91"/>
      <c r="G944" s="91"/>
      <c r="H944" s="91"/>
      <c r="I944" s="91"/>
      <c r="J944" s="91"/>
      <c r="K944" s="91"/>
      <c r="L944" s="95"/>
      <c r="M944" s="95"/>
      <c r="N944" s="95"/>
      <c r="O944" s="91"/>
      <c r="P944" s="94"/>
      <c r="Q944" s="95"/>
      <c r="R944" s="95"/>
      <c r="S944" s="95"/>
      <c r="T944" s="91"/>
      <c r="U944" s="91"/>
      <c r="V944" s="95"/>
      <c r="W944" s="95"/>
      <c r="X944" s="95"/>
      <c r="Y944" s="91"/>
      <c r="Z944" s="91"/>
      <c r="AA944" s="96"/>
      <c r="AB944" s="96"/>
      <c r="AC944" s="91"/>
      <c r="AD944" s="93"/>
      <c r="AE944" s="93"/>
    </row>
    <row r="945" spans="1:31" ht="20.25" customHeight="1" x14ac:dyDescent="0.2">
      <c r="A945" s="91"/>
      <c r="B945" s="92"/>
      <c r="C945" s="93"/>
      <c r="D945" s="91"/>
      <c r="E945" s="91"/>
      <c r="F945" s="91"/>
      <c r="G945" s="91"/>
      <c r="H945" s="91"/>
      <c r="I945" s="91"/>
      <c r="J945" s="91"/>
      <c r="K945" s="91"/>
      <c r="L945" s="95"/>
      <c r="M945" s="95"/>
      <c r="N945" s="95"/>
      <c r="O945" s="91"/>
      <c r="P945" s="94"/>
      <c r="Q945" s="95"/>
      <c r="R945" s="95"/>
      <c r="S945" s="95"/>
      <c r="T945" s="91"/>
      <c r="U945" s="91"/>
      <c r="V945" s="95"/>
      <c r="W945" s="95"/>
      <c r="X945" s="95"/>
      <c r="Y945" s="91"/>
      <c r="Z945" s="91"/>
      <c r="AA945" s="96"/>
      <c r="AB945" s="96"/>
      <c r="AC945" s="91"/>
      <c r="AD945" s="93"/>
      <c r="AE945" s="93"/>
    </row>
  </sheetData>
  <mergeCells count="2">
    <mergeCell ref="B1:B2"/>
    <mergeCell ref="C1:AE2"/>
  </mergeCells>
  <phoneticPr fontId="13" type="noConversion"/>
  <conditionalFormatting sqref="A946:AE65500 C1 C3:AE3 AI1:IV3 AF4:AF65500 AG4:IV1048576 T4:U945 O4:P945 Y4:AE945 C4:K945 A1:B945">
    <cfRule type="cellIs" dxfId="14" priority="4" stopIfTrue="1" operator="lessThan">
      <formula>0</formula>
    </cfRule>
  </conditionalFormatting>
  <conditionalFormatting sqref="Q4:Q945 V4:V945 L4:L945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45 W4:W945 M4:M945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45 X4:X945 N4:N945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73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A13" sqref="A13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SQ</v>
      </c>
      <c r="R2" s="79" t="s">
        <v>136</v>
      </c>
      <c r="S2" s="78" t="s">
        <v>134</v>
      </c>
    </row>
    <row r="3" spans="1:19" ht="15" customHeight="1" x14ac:dyDescent="0.25">
      <c r="A3" s="219" t="s">
        <v>183</v>
      </c>
      <c r="B3" s="220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1-M-O-74-SQ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220"/>
      <c r="B4" s="220"/>
      <c r="C4" s="221" t="s">
        <v>141</v>
      </c>
      <c r="D4" s="221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2-M-O-74-SQ</v>
      </c>
      <c r="S4" s="77" t="e">
        <f ca="1">MATCH(R4,ContestResults!AD:AD,0)</f>
        <v>#N/A</v>
      </c>
    </row>
    <row r="5" spans="1:19" ht="15" customHeight="1" x14ac:dyDescent="0.25">
      <c r="A5" s="220"/>
      <c r="B5" s="220"/>
      <c r="C5" s="222" t="s">
        <v>175</v>
      </c>
      <c r="D5" s="222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3-M-O-74-SQ</v>
      </c>
      <c r="S5" s="77" t="e">
        <f ca="1">MATCH(R5,ContestResults!AD:AD,0)</f>
        <v>#N/A</v>
      </c>
    </row>
    <row r="6" spans="1:19" ht="15" customHeight="1" x14ac:dyDescent="0.25">
      <c r="A6" s="220"/>
      <c r="B6" s="220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4-M-O-74-SQ</v>
      </c>
      <c r="S6" s="77" t="e">
        <f ca="1">MATCH(R6,ContestResults!AD:AD,0)</f>
        <v>#N/A</v>
      </c>
    </row>
    <row r="7" spans="1:19" ht="15" customHeight="1" x14ac:dyDescent="0.25">
      <c r="A7" s="220"/>
      <c r="B7" s="220"/>
      <c r="C7" s="223" t="str">
        <f>CONCATENATE("WtCls ",RIGHT('Weigh-In'!E2,4))</f>
        <v>WtCls (kg)</v>
      </c>
      <c r="D7" s="223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5-M-O-74-SQ</v>
      </c>
      <c r="S7" s="77" t="e">
        <f ca="1">MATCH(R7,ContestResults!AD:AD,0)</f>
        <v>#N/A</v>
      </c>
    </row>
    <row r="8" spans="1:19" ht="15" customHeight="1" x14ac:dyDescent="0.25">
      <c r="A8" s="220"/>
      <c r="B8" s="220"/>
      <c r="C8" s="222">
        <v>74</v>
      </c>
      <c r="D8" s="222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220"/>
      <c r="B9" s="220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220"/>
      <c r="B10" s="220"/>
      <c r="C10" s="221" t="s">
        <v>122</v>
      </c>
      <c r="D10" s="221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220"/>
      <c r="B11" s="220"/>
      <c r="C11" s="222" t="s">
        <v>130</v>
      </c>
      <c r="D11" s="222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172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170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SQ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2017-10-09T14:33:22Z</cp:lastPrinted>
  <dcterms:created xsi:type="dcterms:W3CDTF">2007-05-21T13:10:26Z</dcterms:created>
  <dcterms:modified xsi:type="dcterms:W3CDTF">2017-10-09T14:35:54Z</dcterms:modified>
</cp:coreProperties>
</file>