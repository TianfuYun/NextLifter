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wnloads\Serie 2\"/>
    </mc:Choice>
  </mc:AlternateContent>
  <xr:revisionPtr revIDLastSave="0" documentId="10_ncr:8100000_{06A3879B-C341-4E33-8C5C-C800BF940A28}" xr6:coauthVersionLast="32" xr6:coauthVersionMax="32" xr10:uidLastSave="{00000000-0000-0000-0000-000000000000}"/>
  <bookViews>
    <workbookView xWindow="0" yWindow="0" windowWidth="20490" windowHeight="8460" activeTab="3" xr2:uid="{729E4EBB-5E4A-4592-A644-9EBAEA88C1FC}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12" r:id="rId8"/>
    <sheet name="ContestResults" sheetId="6" r:id="rId9"/>
    <sheet name="LoadingChart" sheetId="8" state="hidden" r:id="rId10"/>
    <sheet name="Awards" sheetId="9" state="hidden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8" hidden="1">ContestResults!#REF!</definedName>
    <definedName name="Attempts" localSheetId="4">[1]Lists!$A$2:$A$11</definedName>
    <definedName name="Attempts" localSheetId="7">[2]Lists!$A$2:$A$11</definedName>
    <definedName name="Attempts">Lists!$A$2:$A$11</definedName>
    <definedName name="_xlnm.Print_Area" localSheetId="9">LoadingChart!$A$1:$W$187</definedName>
    <definedName name="_xlnm.Print_Area" localSheetId="7">QuickPrint!$A$1:$S$39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BY42" i="1" l="1"/>
  <c r="AO42" i="1"/>
  <c r="Y42" i="1"/>
  <c r="T42" i="1"/>
  <c r="O42" i="1"/>
  <c r="J42" i="1"/>
  <c r="BY41" i="1"/>
  <c r="AO41" i="1"/>
  <c r="Y41" i="1"/>
  <c r="T41" i="1"/>
  <c r="O41" i="1"/>
  <c r="J41" i="1"/>
  <c r="BY35" i="1"/>
  <c r="AO35" i="1"/>
  <c r="Y35" i="1"/>
  <c r="T35" i="1"/>
  <c r="O35" i="1"/>
  <c r="J35" i="1"/>
  <c r="BY36" i="1"/>
  <c r="AO36" i="1"/>
  <c r="Y36" i="1"/>
  <c r="T36" i="1"/>
  <c r="O36" i="1"/>
  <c r="J36" i="1"/>
  <c r="BY38" i="1"/>
  <c r="AO38" i="1"/>
  <c r="Y38" i="1"/>
  <c r="T38" i="1"/>
  <c r="O38" i="1"/>
  <c r="J38" i="1"/>
  <c r="BY39" i="1"/>
  <c r="AO39" i="1"/>
  <c r="Y39" i="1"/>
  <c r="T39" i="1"/>
  <c r="O39" i="1"/>
  <c r="J39" i="1"/>
  <c r="BY37" i="1"/>
  <c r="AO37" i="1"/>
  <c r="Y37" i="1"/>
  <c r="T37" i="1"/>
  <c r="O37" i="1"/>
  <c r="J37" i="1"/>
  <c r="BY40" i="1"/>
  <c r="AO40" i="1"/>
  <c r="Y40" i="1"/>
  <c r="T40" i="1"/>
  <c r="O40" i="1"/>
  <c r="J40" i="1"/>
  <c r="AO29" i="1"/>
  <c r="Y29" i="1"/>
  <c r="T29" i="1"/>
  <c r="O29" i="1"/>
  <c r="J29" i="1"/>
  <c r="AO28" i="1"/>
  <c r="Y28" i="1"/>
  <c r="T28" i="1"/>
  <c r="O28" i="1"/>
  <c r="J28" i="1"/>
  <c r="AO30" i="1"/>
  <c r="Y30" i="1"/>
  <c r="T30" i="1"/>
  <c r="O30" i="1"/>
  <c r="J30" i="1"/>
  <c r="AO26" i="1"/>
  <c r="Y26" i="1"/>
  <c r="T26" i="1"/>
  <c r="O26" i="1"/>
  <c r="J26" i="1"/>
  <c r="AO34" i="1"/>
  <c r="Y34" i="1"/>
  <c r="T34" i="1"/>
  <c r="O34" i="1"/>
  <c r="J34" i="1"/>
  <c r="AO31" i="1"/>
  <c r="Y31" i="1"/>
  <c r="T31" i="1"/>
  <c r="O31" i="1"/>
  <c r="J31" i="1"/>
  <c r="AO27" i="1"/>
  <c r="Y27" i="1"/>
  <c r="T27" i="1"/>
  <c r="O27" i="1"/>
  <c r="J27" i="1"/>
  <c r="AO33" i="1"/>
  <c r="Y33" i="1"/>
  <c r="T33" i="1"/>
  <c r="O33" i="1"/>
  <c r="J33" i="1"/>
  <c r="AO32" i="1"/>
  <c r="Y32" i="1"/>
  <c r="T32" i="1"/>
  <c r="O32" i="1"/>
  <c r="J32" i="1"/>
  <c r="AO23" i="1"/>
  <c r="Y23" i="1"/>
  <c r="T23" i="1"/>
  <c r="O23" i="1"/>
  <c r="J23" i="1"/>
  <c r="AO22" i="1"/>
  <c r="Y22" i="1"/>
  <c r="T22" i="1"/>
  <c r="O22" i="1"/>
  <c r="J22" i="1"/>
  <c r="AO21" i="1"/>
  <c r="Y21" i="1"/>
  <c r="T21" i="1"/>
  <c r="O21" i="1"/>
  <c r="J21" i="1"/>
  <c r="AO19" i="1"/>
  <c r="Y19" i="1"/>
  <c r="T19" i="1"/>
  <c r="O19" i="1"/>
  <c r="J19" i="1"/>
  <c r="AO25" i="1"/>
  <c r="Y25" i="1"/>
  <c r="T25" i="1"/>
  <c r="O25" i="1"/>
  <c r="J25" i="1"/>
  <c r="AO24" i="1"/>
  <c r="Y24" i="1"/>
  <c r="T24" i="1"/>
  <c r="O24" i="1"/>
  <c r="J24" i="1"/>
  <c r="AO20" i="1"/>
  <c r="Y20" i="1"/>
  <c r="T20" i="1"/>
  <c r="O20" i="1"/>
  <c r="J20" i="1"/>
  <c r="AO13" i="1"/>
  <c r="Y13" i="1"/>
  <c r="T13" i="1"/>
  <c r="O13" i="1"/>
  <c r="J13" i="1"/>
  <c r="AO12" i="1"/>
  <c r="Y12" i="1"/>
  <c r="T12" i="1"/>
  <c r="O12" i="1"/>
  <c r="J12" i="1"/>
  <c r="AO16" i="1"/>
  <c r="Y16" i="1"/>
  <c r="T16" i="1"/>
  <c r="O16" i="1"/>
  <c r="J16" i="1"/>
  <c r="AO18" i="1"/>
  <c r="Y18" i="1"/>
  <c r="T18" i="1"/>
  <c r="O18" i="1"/>
  <c r="J18" i="1"/>
  <c r="AO11" i="1"/>
  <c r="Y11" i="1"/>
  <c r="T11" i="1"/>
  <c r="O11" i="1"/>
  <c r="J11" i="1"/>
  <c r="AO15" i="1"/>
  <c r="Y15" i="1"/>
  <c r="T15" i="1"/>
  <c r="O15" i="1"/>
  <c r="J15" i="1"/>
  <c r="AO14" i="1"/>
  <c r="Y14" i="1"/>
  <c r="T14" i="1"/>
  <c r="O14" i="1"/>
  <c r="J14" i="1"/>
  <c r="AO10" i="1"/>
  <c r="Y10" i="1"/>
  <c r="T10" i="1"/>
  <c r="O10" i="1"/>
  <c r="J10" i="1"/>
  <c r="AO9" i="1"/>
  <c r="Y9" i="1"/>
  <c r="T9" i="1"/>
  <c r="O9" i="1"/>
  <c r="J9" i="1"/>
  <c r="AO17" i="1"/>
  <c r="Y17" i="1"/>
  <c r="T17" i="1"/>
  <c r="O17" i="1"/>
  <c r="J17" i="1"/>
  <c r="B12" i="10"/>
  <c r="F12" i="10"/>
  <c r="J12" i="10"/>
  <c r="N12" i="10"/>
  <c r="B13" i="10"/>
  <c r="F13" i="10"/>
  <c r="J13" i="10"/>
  <c r="N13" i="10"/>
  <c r="B14" i="10"/>
  <c r="F14" i="10"/>
  <c r="J14" i="10"/>
  <c r="N14" i="10"/>
  <c r="B15" i="10"/>
  <c r="F15" i="10"/>
  <c r="J15" i="10"/>
  <c r="N15" i="10"/>
  <c r="B16" i="10"/>
  <c r="F16" i="10"/>
  <c r="J16" i="10"/>
  <c r="N16" i="10"/>
  <c r="B17" i="10"/>
  <c r="F17" i="10"/>
  <c r="J17" i="10"/>
  <c r="N17" i="10"/>
  <c r="B18" i="10"/>
  <c r="F18" i="10"/>
  <c r="J18" i="10"/>
  <c r="N18" i="10"/>
  <c r="B19" i="10"/>
  <c r="F19" i="10"/>
  <c r="J19" i="10"/>
  <c r="N19" i="10"/>
  <c r="B20" i="10"/>
  <c r="F20" i="10"/>
  <c r="J20" i="10"/>
  <c r="N20" i="10"/>
  <c r="B21" i="10"/>
  <c r="B22" i="10"/>
  <c r="B23" i="10"/>
  <c r="B24" i="10"/>
  <c r="B25" i="10"/>
  <c r="B26" i="10"/>
  <c r="B27" i="10"/>
  <c r="F22" i="10"/>
  <c r="F23" i="10"/>
  <c r="F24" i="10"/>
  <c r="F26" i="10"/>
  <c r="J27" i="10"/>
  <c r="C26" i="10"/>
  <c r="N26" i="10"/>
  <c r="F21" i="10"/>
  <c r="F25" i="10"/>
  <c r="N23" i="10"/>
  <c r="J21" i="10"/>
  <c r="J22" i="10"/>
  <c r="J23" i="10"/>
  <c r="J24" i="10"/>
  <c r="J25" i="10"/>
  <c r="J26" i="10"/>
  <c r="N25" i="10"/>
  <c r="N21" i="10"/>
  <c r="N22" i="10"/>
  <c r="N24" i="10"/>
  <c r="C27" i="10"/>
  <c r="C12" i="10"/>
  <c r="G12" i="10"/>
  <c r="K12" i="10"/>
  <c r="O12" i="10"/>
  <c r="C13" i="10"/>
  <c r="G13" i="10"/>
  <c r="K13" i="10"/>
  <c r="O13" i="10"/>
  <c r="C14" i="10"/>
  <c r="G14" i="10"/>
  <c r="K14" i="10"/>
  <c r="O14" i="10"/>
  <c r="C15" i="10"/>
  <c r="G15" i="10"/>
  <c r="K15" i="10"/>
  <c r="O15" i="10"/>
  <c r="C16" i="10"/>
  <c r="G16" i="10"/>
  <c r="K16" i="10"/>
  <c r="O16" i="10"/>
  <c r="C17" i="10"/>
  <c r="G17" i="10"/>
  <c r="K17" i="10"/>
  <c r="O17" i="10"/>
  <c r="C18" i="10"/>
  <c r="G18" i="10"/>
  <c r="K18" i="10"/>
  <c r="O18" i="10"/>
  <c r="C19" i="10"/>
  <c r="G19" i="10"/>
  <c r="K19" i="10"/>
  <c r="O19" i="10"/>
  <c r="C20" i="10"/>
  <c r="G20" i="10"/>
  <c r="K20" i="10"/>
  <c r="O20" i="10"/>
  <c r="C21" i="10"/>
  <c r="C22" i="10"/>
  <c r="C23" i="10"/>
  <c r="C24" i="10"/>
  <c r="C25" i="10"/>
  <c r="G27" i="10"/>
  <c r="G22" i="10"/>
  <c r="G23" i="10"/>
  <c r="G24" i="10"/>
  <c r="G25" i="10"/>
  <c r="O22" i="10"/>
  <c r="O24" i="10"/>
  <c r="G21" i="10"/>
  <c r="K25" i="10"/>
  <c r="K21" i="10"/>
  <c r="K22" i="10"/>
  <c r="K23" i="10"/>
  <c r="K24" i="10"/>
  <c r="O23" i="10"/>
  <c r="O21" i="10"/>
  <c r="G26" i="10"/>
  <c r="D12" i="10"/>
  <c r="H12" i="10"/>
  <c r="L12" i="10"/>
  <c r="P12" i="10"/>
  <c r="D13" i="10"/>
  <c r="H13" i="10"/>
  <c r="L13" i="10"/>
  <c r="P13" i="10"/>
  <c r="D14" i="10"/>
  <c r="H14" i="10"/>
  <c r="L14" i="10"/>
  <c r="P14" i="10"/>
  <c r="D15" i="10"/>
  <c r="H15" i="10"/>
  <c r="L15" i="10"/>
  <c r="P15" i="10"/>
  <c r="D16" i="10"/>
  <c r="H16" i="10"/>
  <c r="L16" i="10"/>
  <c r="P16" i="10"/>
  <c r="D17" i="10"/>
  <c r="H17" i="10"/>
  <c r="L17" i="10"/>
  <c r="P17" i="10"/>
  <c r="D18" i="10"/>
  <c r="H18" i="10"/>
  <c r="L18" i="10"/>
  <c r="P18" i="10"/>
  <c r="D19" i="10"/>
  <c r="H19" i="10"/>
  <c r="L19" i="10"/>
  <c r="P19" i="10"/>
  <c r="D20" i="10"/>
  <c r="H20" i="10"/>
  <c r="L20" i="10"/>
  <c r="P20" i="10"/>
  <c r="D21" i="10"/>
  <c r="D22" i="10"/>
  <c r="D23" i="10"/>
  <c r="D24" i="10"/>
  <c r="D25" i="10"/>
  <c r="D26" i="10"/>
  <c r="D27" i="10"/>
  <c r="O25" i="10"/>
  <c r="H22" i="10"/>
  <c r="H23" i="10"/>
  <c r="H24" i="10"/>
  <c r="H25" i="10"/>
  <c r="H27" i="10"/>
  <c r="L27" i="10"/>
  <c r="P25" i="10"/>
  <c r="H21" i="10"/>
  <c r="H26" i="10"/>
  <c r="O26" i="10"/>
  <c r="P24" i="10"/>
  <c r="L21" i="10"/>
  <c r="L22" i="10"/>
  <c r="L23" i="10"/>
  <c r="L24" i="10"/>
  <c r="L25" i="10"/>
  <c r="L26" i="10"/>
  <c r="O27" i="10"/>
  <c r="P26" i="10"/>
  <c r="P21" i="10"/>
  <c r="P22" i="10"/>
  <c r="P23" i="10"/>
  <c r="P27" i="10"/>
  <c r="E12" i="10"/>
  <c r="I12" i="10"/>
  <c r="M12" i="10"/>
  <c r="E13" i="10"/>
  <c r="I13" i="10"/>
  <c r="M13" i="10"/>
  <c r="E14" i="10"/>
  <c r="I14" i="10"/>
  <c r="M14" i="10"/>
  <c r="E15" i="10"/>
  <c r="I15" i="10"/>
  <c r="M15" i="10"/>
  <c r="E16" i="10"/>
  <c r="I16" i="10"/>
  <c r="M16" i="10"/>
  <c r="E17" i="10"/>
  <c r="I17" i="10"/>
  <c r="M17" i="10"/>
  <c r="E18" i="10"/>
  <c r="I18" i="10"/>
  <c r="M18" i="10"/>
  <c r="E19" i="10"/>
  <c r="I19" i="10"/>
  <c r="M19" i="10"/>
  <c r="E20" i="10"/>
  <c r="I20" i="10"/>
  <c r="M20" i="10"/>
  <c r="E21" i="10"/>
  <c r="I21" i="10"/>
  <c r="M21" i="10"/>
  <c r="E22" i="10"/>
  <c r="I22" i="10"/>
  <c r="M22" i="10"/>
  <c r="E23" i="10"/>
  <c r="I23" i="10"/>
  <c r="M23" i="10"/>
  <c r="E24" i="10"/>
  <c r="I24" i="10"/>
  <c r="M24" i="10"/>
  <c r="E25" i="10"/>
  <c r="I25" i="10"/>
  <c r="M25" i="10"/>
  <c r="E26" i="10"/>
  <c r="I26" i="10"/>
  <c r="M26" i="10"/>
  <c r="E27" i="10"/>
  <c r="U37" i="1" l="1"/>
  <c r="U35" i="1"/>
  <c r="U42" i="1"/>
  <c r="I27" i="10"/>
  <c r="K26" i="10"/>
  <c r="M27" i="10"/>
  <c r="F27" i="10"/>
  <c r="N27" i="10"/>
  <c r="K27" i="10"/>
  <c r="BB29" i="1"/>
  <c r="BB30" i="1"/>
  <c r="BB24" i="1"/>
  <c r="AP36" i="1"/>
  <c r="BB18" i="1"/>
  <c r="AP37" i="1"/>
  <c r="BB39" i="1"/>
  <c r="AP22" i="1"/>
  <c r="AC41" i="1"/>
  <c r="AC32" i="1"/>
  <c r="BB12" i="1"/>
  <c r="AC39" i="1"/>
  <c r="AP38" i="1"/>
  <c r="AP26" i="1"/>
  <c r="AC21" i="1"/>
  <c r="AC12" i="1"/>
  <c r="BB40" i="1"/>
  <c r="AP24" i="1"/>
  <c r="AP32" i="1"/>
  <c r="BB41" i="1"/>
  <c r="AC13" i="1"/>
  <c r="AC36" i="1"/>
  <c r="BB26" i="1"/>
  <c r="AC30" i="1"/>
  <c r="BB25" i="1"/>
  <c r="BB20" i="1"/>
  <c r="AC40" i="1"/>
  <c r="BB11" i="1"/>
  <c r="AP19" i="1"/>
  <c r="AP33" i="1"/>
  <c r="AP42" i="1"/>
  <c r="AC11" i="1"/>
  <c r="BB38" i="1"/>
  <c r="AC26" i="1"/>
  <c r="BB27" i="1"/>
  <c r="AC19" i="1"/>
  <c r="BB16" i="1"/>
  <c r="BB37" i="1"/>
  <c r="AC24" i="1"/>
  <c r="AC42" i="1"/>
  <c r="BB34" i="1"/>
  <c r="BB35" i="1"/>
  <c r="AC28" i="1"/>
  <c r="AP31" i="1"/>
  <c r="AC22" i="1"/>
  <c r="BB13" i="1"/>
  <c r="AC37" i="1"/>
  <c r="BB23" i="1"/>
  <c r="AP21" i="1"/>
  <c r="BB28" i="1"/>
  <c r="BB21" i="1"/>
  <c r="AP40" i="1"/>
  <c r="AC38" i="1"/>
  <c r="AC29" i="1"/>
  <c r="AP34" i="1"/>
  <c r="AC23" i="1"/>
  <c r="BB33" i="1"/>
  <c r="AC27" i="1"/>
  <c r="AC18" i="1"/>
  <c r="AC34" i="1"/>
  <c r="AC20" i="1"/>
  <c r="AP41" i="1"/>
  <c r="AC35" i="1"/>
  <c r="AP29" i="1"/>
  <c r="AP20" i="1"/>
  <c r="BB32" i="1"/>
  <c r="AC16" i="1"/>
  <c r="AC31" i="1"/>
  <c r="AC25" i="1"/>
  <c r="BB36" i="1"/>
  <c r="AC33" i="1"/>
  <c r="U36" i="1" l="1"/>
  <c r="U39" i="1"/>
  <c r="U38" i="1"/>
  <c r="U41" i="1"/>
  <c r="U40" i="1"/>
  <c r="U32" i="1"/>
  <c r="U27" i="1"/>
  <c r="U34" i="1"/>
  <c r="U30" i="1"/>
  <c r="U29" i="1"/>
  <c r="U31" i="1"/>
  <c r="U28" i="1"/>
  <c r="U33" i="1"/>
  <c r="U26" i="1"/>
  <c r="U20" i="1"/>
  <c r="U25" i="1"/>
  <c r="U21" i="1"/>
  <c r="U23" i="1"/>
  <c r="U24" i="1"/>
  <c r="U22" i="1"/>
  <c r="U19" i="1"/>
  <c r="U11" i="1"/>
  <c r="U16" i="1"/>
  <c r="U13" i="1"/>
  <c r="U12" i="1"/>
  <c r="U18" i="1"/>
  <c r="U15" i="1"/>
  <c r="AP28" i="1"/>
  <c r="BB19" i="1"/>
  <c r="AP39" i="1"/>
  <c r="AP23" i="1"/>
  <c r="AP27" i="1"/>
  <c r="AP35" i="1"/>
  <c r="AP25" i="1"/>
  <c r="BB42" i="1"/>
  <c r="BB31" i="1"/>
  <c r="AP30" i="1"/>
  <c r="BB22" i="1"/>
  <c r="AP18" i="1"/>
  <c r="BB14" i="1"/>
  <c r="AP13" i="1"/>
  <c r="AP11" i="1"/>
  <c r="AP12" i="1"/>
  <c r="AP16" i="1"/>
  <c r="AC14" i="1"/>
  <c r="AC15" i="1"/>
  <c r="U14" i="1" l="1"/>
  <c r="U17" i="1"/>
  <c r="U10" i="1"/>
  <c r="BB15" i="1"/>
  <c r="AC9" i="1"/>
  <c r="AC10" i="1"/>
  <c r="AP14" i="1"/>
  <c r="AP15" i="1"/>
  <c r="BB9" i="1"/>
  <c r="AC17" i="1"/>
  <c r="U9" i="1" l="1"/>
  <c r="Y8" i="1"/>
  <c r="O8" i="1"/>
  <c r="E11" i="10"/>
  <c r="E5" i="12" l="1"/>
  <c r="I5" i="12"/>
  <c r="AP10" i="1"/>
  <c r="AP9" i="1"/>
  <c r="BB17" i="1"/>
  <c r="AP17" i="1"/>
  <c r="BB10" i="1"/>
  <c r="J8" i="1" l="1"/>
  <c r="D43" i="2" l="1"/>
  <c r="D42" i="2"/>
  <c r="D41" i="2"/>
  <c r="D40" i="2"/>
  <c r="D39" i="2"/>
  <c r="D38" i="2"/>
  <c r="D37" i="2"/>
  <c r="D36" i="2"/>
  <c r="D35" i="2"/>
  <c r="D44" i="2" l="1"/>
  <c r="J36" i="2"/>
  <c r="J37" i="2"/>
  <c r="C187" i="8" l="1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O181" i="8"/>
  <c r="C181" i="8"/>
  <c r="O180" i="8"/>
  <c r="C180" i="8"/>
  <c r="C179" i="8"/>
  <c r="O179" i="8" s="1"/>
  <c r="C178" i="8"/>
  <c r="O178" i="8" s="1"/>
  <c r="O177" i="8"/>
  <c r="C177" i="8"/>
  <c r="O176" i="8"/>
  <c r="C176" i="8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O130" i="8"/>
  <c r="C130" i="8"/>
  <c r="C129" i="8"/>
  <c r="O129" i="8" s="1"/>
  <c r="C128" i="8"/>
  <c r="O128" i="8" s="1"/>
  <c r="O127" i="8"/>
  <c r="C127" i="8"/>
  <c r="C126" i="8"/>
  <c r="O126" i="8" s="1"/>
  <c r="C125" i="8"/>
  <c r="O125" i="8" s="1"/>
  <c r="C124" i="8"/>
  <c r="O124" i="8" s="1"/>
  <c r="C123" i="8"/>
  <c r="O123" i="8" s="1"/>
  <c r="O122" i="8"/>
  <c r="C122" i="8"/>
  <c r="C121" i="8"/>
  <c r="O121" i="8" s="1"/>
  <c r="C120" i="8"/>
  <c r="O120" i="8" s="1"/>
  <c r="O119" i="8"/>
  <c r="C119" i="8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O74" i="8"/>
  <c r="C74" i="8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Q36" i="2" l="1"/>
  <c r="Q35" i="2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H11" i="10"/>
  <c r="F11" i="10"/>
  <c r="K11" i="10"/>
  <c r="G11" i="10"/>
  <c r="P11" i="10"/>
  <c r="L11" i="10"/>
  <c r="N11" i="10"/>
  <c r="C11" i="10"/>
  <c r="O11" i="10"/>
  <c r="D11" i="10"/>
  <c r="I11" i="10"/>
  <c r="M11" i="10"/>
  <c r="B11" i="10"/>
  <c r="J11" i="10"/>
  <c r="AU7" i="1" l="1"/>
  <c r="T8" i="1"/>
  <c r="U8" i="1" s="1"/>
  <c r="BY8" i="1"/>
  <c r="AO8" i="1"/>
  <c r="E7" i="1"/>
  <c r="BF6" i="1"/>
  <c r="BF4" i="1" s="1"/>
  <c r="CA5" i="1"/>
  <c r="D1" i="5"/>
  <c r="G10" i="5" s="1"/>
  <c r="E2" i="8"/>
  <c r="Q2" i="8" s="1"/>
  <c r="B2" i="8"/>
  <c r="D1" i="8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42" i="1" l="1"/>
  <c r="F41" i="1"/>
  <c r="F35" i="1"/>
  <c r="F36" i="1"/>
  <c r="F38" i="1"/>
  <c r="F39" i="1"/>
  <c r="F37" i="1"/>
  <c r="F40" i="1"/>
  <c r="BZ42" i="1"/>
  <c r="AU42" i="1"/>
  <c r="Z41" i="1"/>
  <c r="BZ35" i="1"/>
  <c r="AU35" i="1"/>
  <c r="Z36" i="1"/>
  <c r="BZ38" i="1"/>
  <c r="AU38" i="1"/>
  <c r="Z39" i="1"/>
  <c r="BZ37" i="1"/>
  <c r="AU37" i="1"/>
  <c r="Z40" i="1"/>
  <c r="Z42" i="1"/>
  <c r="BZ41" i="1"/>
  <c r="AU41" i="1"/>
  <c r="Z35" i="1"/>
  <c r="BZ36" i="1"/>
  <c r="AU36" i="1"/>
  <c r="Z38" i="1"/>
  <c r="BZ39" i="1"/>
  <c r="AU39" i="1"/>
  <c r="Z37" i="1"/>
  <c r="BZ40" i="1"/>
  <c r="AU40" i="1"/>
  <c r="F29" i="1"/>
  <c r="F28" i="1"/>
  <c r="F30" i="1"/>
  <c r="F26" i="1"/>
  <c r="F34" i="1"/>
  <c r="F31" i="1"/>
  <c r="F27" i="1"/>
  <c r="F33" i="1"/>
  <c r="F32" i="1"/>
  <c r="BZ29" i="1"/>
  <c r="AU29" i="1"/>
  <c r="Z28" i="1"/>
  <c r="BZ30" i="1"/>
  <c r="AU30" i="1"/>
  <c r="Z26" i="1"/>
  <c r="BZ34" i="1"/>
  <c r="AU34" i="1"/>
  <c r="Z31" i="1"/>
  <c r="BZ27" i="1"/>
  <c r="AU27" i="1"/>
  <c r="Z33" i="1"/>
  <c r="BZ32" i="1"/>
  <c r="AU32" i="1"/>
  <c r="Z32" i="1"/>
  <c r="Z29" i="1"/>
  <c r="BZ28" i="1"/>
  <c r="AU28" i="1"/>
  <c r="Z30" i="1"/>
  <c r="BZ26" i="1"/>
  <c r="AU26" i="1"/>
  <c r="Z34" i="1"/>
  <c r="BZ31" i="1"/>
  <c r="AU31" i="1"/>
  <c r="Z27" i="1"/>
  <c r="BZ33" i="1"/>
  <c r="AU33" i="1"/>
  <c r="F23" i="1"/>
  <c r="F25" i="1"/>
  <c r="F20" i="1"/>
  <c r="F21" i="1"/>
  <c r="F24" i="1"/>
  <c r="F22" i="1"/>
  <c r="F19" i="1"/>
  <c r="BZ23" i="1"/>
  <c r="AU23" i="1"/>
  <c r="Z22" i="1"/>
  <c r="BZ21" i="1"/>
  <c r="AU21" i="1"/>
  <c r="Z19" i="1"/>
  <c r="BZ25" i="1"/>
  <c r="AU25" i="1"/>
  <c r="Z24" i="1"/>
  <c r="BZ20" i="1"/>
  <c r="AU20" i="1"/>
  <c r="Z21" i="1"/>
  <c r="Z25" i="1"/>
  <c r="Z20" i="1"/>
  <c r="Z23" i="1"/>
  <c r="BZ22" i="1"/>
  <c r="AU22" i="1"/>
  <c r="BZ19" i="1"/>
  <c r="AU19" i="1"/>
  <c r="BZ24" i="1"/>
  <c r="AU24" i="1"/>
  <c r="F13" i="1"/>
  <c r="F12" i="1"/>
  <c r="F16" i="1"/>
  <c r="F18" i="1"/>
  <c r="F11" i="1"/>
  <c r="BZ13" i="1"/>
  <c r="AU13" i="1"/>
  <c r="Z12" i="1"/>
  <c r="BZ16" i="1"/>
  <c r="AU16" i="1"/>
  <c r="Z18" i="1"/>
  <c r="BZ11" i="1"/>
  <c r="AU11" i="1"/>
  <c r="Z13" i="1"/>
  <c r="BZ12" i="1"/>
  <c r="AU12" i="1"/>
  <c r="Z16" i="1"/>
  <c r="BZ18" i="1"/>
  <c r="AU18" i="1"/>
  <c r="Z11" i="1"/>
  <c r="F15" i="1"/>
  <c r="F14" i="1"/>
  <c r="BZ15" i="1"/>
  <c r="AU15" i="1"/>
  <c r="Z14" i="1"/>
  <c r="Z15" i="1"/>
  <c r="BZ14" i="1"/>
  <c r="AU14" i="1"/>
  <c r="F10" i="1"/>
  <c r="F17" i="1"/>
  <c r="F9" i="1"/>
  <c r="BZ10" i="1"/>
  <c r="AU10" i="1"/>
  <c r="Z9" i="1"/>
  <c r="BZ17" i="1"/>
  <c r="AU17" i="1"/>
  <c r="Z10" i="1"/>
  <c r="BZ9" i="1"/>
  <c r="AU9" i="1"/>
  <c r="Z17" i="1"/>
  <c r="F10" i="5"/>
  <c r="Z8" i="1"/>
  <c r="AA8" i="1" s="1"/>
  <c r="BD5" i="1"/>
  <c r="O1" i="8"/>
  <c r="D157" i="8"/>
  <c r="P157" i="8" s="1"/>
  <c r="D154" i="8"/>
  <c r="P154" i="8" s="1"/>
  <c r="D153" i="8"/>
  <c r="P153" i="8" s="1"/>
  <c r="D150" i="8"/>
  <c r="P150" i="8" s="1"/>
  <c r="D149" i="8"/>
  <c r="P149" i="8" s="1"/>
  <c r="D146" i="8"/>
  <c r="P146" i="8" s="1"/>
  <c r="D145" i="8"/>
  <c r="P145" i="8" s="1"/>
  <c r="D142" i="8"/>
  <c r="P142" i="8" s="1"/>
  <c r="D136" i="8"/>
  <c r="P136" i="8" s="1"/>
  <c r="D134" i="8"/>
  <c r="P134" i="8" s="1"/>
  <c r="D129" i="8"/>
  <c r="P129" i="8" s="1"/>
  <c r="D125" i="8"/>
  <c r="P125" i="8" s="1"/>
  <c r="D121" i="8"/>
  <c r="P121" i="8" s="1"/>
  <c r="D117" i="8"/>
  <c r="P117" i="8" s="1"/>
  <c r="D115" i="8"/>
  <c r="P115" i="8" s="1"/>
  <c r="D114" i="8"/>
  <c r="P114" i="8" s="1"/>
  <c r="D108" i="8"/>
  <c r="P108" i="8" s="1"/>
  <c r="D104" i="8"/>
  <c r="P104" i="8" s="1"/>
  <c r="D100" i="8"/>
  <c r="P100" i="8" s="1"/>
  <c r="D96" i="8"/>
  <c r="P96" i="8" s="1"/>
  <c r="D92" i="8"/>
  <c r="P92" i="8" s="1"/>
  <c r="D88" i="8"/>
  <c r="P88" i="8" s="1"/>
  <c r="D84" i="8"/>
  <c r="P84" i="8" s="1"/>
  <c r="D80" i="8"/>
  <c r="P80" i="8" s="1"/>
  <c r="D76" i="8"/>
  <c r="P76" i="8" s="1"/>
  <c r="D69" i="8"/>
  <c r="P69" i="8" s="1"/>
  <c r="D67" i="8"/>
  <c r="P67" i="8" s="1"/>
  <c r="D63" i="8"/>
  <c r="P63" i="8" s="1"/>
  <c r="D56" i="8"/>
  <c r="P56" i="8" s="1"/>
  <c r="D55" i="8"/>
  <c r="P55" i="8" s="1"/>
  <c r="D52" i="8"/>
  <c r="P52" i="8" s="1"/>
  <c r="D51" i="8"/>
  <c r="P51" i="8" s="1"/>
  <c r="D48" i="8"/>
  <c r="P48" i="8" s="1"/>
  <c r="D47" i="8"/>
  <c r="P47" i="8" s="1"/>
  <c r="D44" i="8"/>
  <c r="P44" i="8" s="1"/>
  <c r="D43" i="8"/>
  <c r="P43" i="8" s="1"/>
  <c r="D40" i="8"/>
  <c r="P40" i="8" s="1"/>
  <c r="D39" i="8"/>
  <c r="P39" i="8" s="1"/>
  <c r="D36" i="8"/>
  <c r="P36" i="8" s="1"/>
  <c r="D35" i="8"/>
  <c r="P35" i="8" s="1"/>
  <c r="D187" i="8"/>
  <c r="P187" i="8" s="1"/>
  <c r="D183" i="8"/>
  <c r="P183" i="8" s="1"/>
  <c r="D179" i="8"/>
  <c r="P179" i="8" s="1"/>
  <c r="D175" i="8"/>
  <c r="P175" i="8" s="1"/>
  <c r="D170" i="8"/>
  <c r="P170" i="8" s="1"/>
  <c r="D166" i="8"/>
  <c r="P166" i="8" s="1"/>
  <c r="D162" i="8"/>
  <c r="P162" i="8" s="1"/>
  <c r="D159" i="8"/>
  <c r="P159" i="8" s="1"/>
  <c r="D158" i="8"/>
  <c r="P158" i="8" s="1"/>
  <c r="D155" i="8"/>
  <c r="P155" i="8" s="1"/>
  <c r="D151" i="8"/>
  <c r="P151" i="8" s="1"/>
  <c r="D147" i="8"/>
  <c r="P147" i="8" s="1"/>
  <c r="D143" i="8"/>
  <c r="P143" i="8" s="1"/>
  <c r="D138" i="8"/>
  <c r="P138" i="8" s="1"/>
  <c r="D137" i="8"/>
  <c r="P137" i="8" s="1"/>
  <c r="D131" i="8"/>
  <c r="P131" i="8" s="1"/>
  <c r="D130" i="8"/>
  <c r="P130" i="8" s="1"/>
  <c r="D127" i="8"/>
  <c r="P127" i="8" s="1"/>
  <c r="D126" i="8"/>
  <c r="P126" i="8" s="1"/>
  <c r="D123" i="8"/>
  <c r="P123" i="8" s="1"/>
  <c r="D122" i="8"/>
  <c r="P122" i="8" s="1"/>
  <c r="D119" i="8"/>
  <c r="P119" i="8" s="1"/>
  <c r="D118" i="8"/>
  <c r="P118" i="8" s="1"/>
  <c r="D112" i="8"/>
  <c r="P112" i="8" s="1"/>
  <c r="D109" i="8"/>
  <c r="P109" i="8" s="1"/>
  <c r="D73" i="8"/>
  <c r="P73" i="8" s="1"/>
  <c r="D71" i="8"/>
  <c r="P71" i="8" s="1"/>
  <c r="D70" i="8"/>
  <c r="P70" i="8" s="1"/>
  <c r="D64" i="8"/>
  <c r="P64" i="8" s="1"/>
  <c r="D60" i="8"/>
  <c r="P60" i="8" s="1"/>
  <c r="D57" i="8"/>
  <c r="P57" i="8" s="1"/>
  <c r="D53" i="8"/>
  <c r="P53" i="8" s="1"/>
  <c r="D49" i="8"/>
  <c r="P49" i="8" s="1"/>
  <c r="D45" i="8"/>
  <c r="P45" i="8" s="1"/>
  <c r="D41" i="8"/>
  <c r="P41" i="8" s="1"/>
  <c r="D37" i="8"/>
  <c r="P37" i="8" s="1"/>
  <c r="D185" i="8"/>
  <c r="P185" i="8" s="1"/>
  <c r="D184" i="8"/>
  <c r="P184" i="8" s="1"/>
  <c r="D181" i="8"/>
  <c r="P181" i="8" s="1"/>
  <c r="D180" i="8"/>
  <c r="P180" i="8" s="1"/>
  <c r="D177" i="8"/>
  <c r="P177" i="8" s="1"/>
  <c r="D176" i="8"/>
  <c r="P176" i="8" s="1"/>
  <c r="D173" i="8"/>
  <c r="P173" i="8" s="1"/>
  <c r="D172" i="8"/>
  <c r="P172" i="8" s="1"/>
  <c r="D171" i="8"/>
  <c r="P171" i="8" s="1"/>
  <c r="D168" i="8"/>
  <c r="P168" i="8" s="1"/>
  <c r="D167" i="8"/>
  <c r="P167" i="8" s="1"/>
  <c r="D164" i="8"/>
  <c r="P164" i="8" s="1"/>
  <c r="D163" i="8"/>
  <c r="P163" i="8" s="1"/>
  <c r="D160" i="8"/>
  <c r="P160" i="8" s="1"/>
  <c r="D156" i="8"/>
  <c r="P156" i="8" s="1"/>
  <c r="D139" i="8"/>
  <c r="P139" i="8" s="1"/>
  <c r="D135" i="8"/>
  <c r="P135" i="8" s="1"/>
  <c r="D132" i="8"/>
  <c r="P132" i="8" s="1"/>
  <c r="D128" i="8"/>
  <c r="P128" i="8" s="1"/>
  <c r="D124" i="8"/>
  <c r="P124" i="8" s="1"/>
  <c r="D120" i="8"/>
  <c r="P120" i="8" s="1"/>
  <c r="D116" i="8"/>
  <c r="P116" i="8" s="1"/>
  <c r="D110" i="8"/>
  <c r="P110" i="8" s="1"/>
  <c r="D105" i="8"/>
  <c r="P105" i="8" s="1"/>
  <c r="D101" i="8"/>
  <c r="P101" i="8" s="1"/>
  <c r="D97" i="8"/>
  <c r="P97" i="8" s="1"/>
  <c r="D93" i="8"/>
  <c r="P93" i="8" s="1"/>
  <c r="D89" i="8"/>
  <c r="P89" i="8" s="1"/>
  <c r="D85" i="8"/>
  <c r="P85" i="8" s="1"/>
  <c r="D81" i="8"/>
  <c r="P81" i="8" s="1"/>
  <c r="D77" i="8"/>
  <c r="P77" i="8" s="1"/>
  <c r="D74" i="8"/>
  <c r="P74" i="8" s="1"/>
  <c r="D68" i="8"/>
  <c r="P68" i="8" s="1"/>
  <c r="D65" i="8"/>
  <c r="P65" i="8" s="1"/>
  <c r="D61" i="8"/>
  <c r="P61" i="8" s="1"/>
  <c r="D58" i="8"/>
  <c r="P58" i="8" s="1"/>
  <c r="D186" i="8"/>
  <c r="P186" i="8" s="1"/>
  <c r="D182" i="8"/>
  <c r="P182" i="8" s="1"/>
  <c r="D178" i="8"/>
  <c r="P178" i="8" s="1"/>
  <c r="D174" i="8"/>
  <c r="P174" i="8" s="1"/>
  <c r="D169" i="8"/>
  <c r="P169" i="8" s="1"/>
  <c r="D165" i="8"/>
  <c r="P165" i="8" s="1"/>
  <c r="D161" i="8"/>
  <c r="P161" i="8" s="1"/>
  <c r="D152" i="8"/>
  <c r="P152" i="8" s="1"/>
  <c r="D148" i="8"/>
  <c r="P148" i="8" s="1"/>
  <c r="D144" i="8"/>
  <c r="P144" i="8" s="1"/>
  <c r="D141" i="8"/>
  <c r="P141" i="8" s="1"/>
  <c r="D140" i="8"/>
  <c r="P140" i="8" s="1"/>
  <c r="D133" i="8"/>
  <c r="P133" i="8" s="1"/>
  <c r="D113" i="8"/>
  <c r="P113" i="8" s="1"/>
  <c r="D111" i="8"/>
  <c r="P111" i="8" s="1"/>
  <c r="D107" i="8"/>
  <c r="P107" i="8" s="1"/>
  <c r="D106" i="8"/>
  <c r="P106" i="8" s="1"/>
  <c r="D103" i="8"/>
  <c r="P103" i="8" s="1"/>
  <c r="D102" i="8"/>
  <c r="P102" i="8" s="1"/>
  <c r="D99" i="8"/>
  <c r="P99" i="8" s="1"/>
  <c r="D98" i="8"/>
  <c r="P98" i="8" s="1"/>
  <c r="D95" i="8"/>
  <c r="P95" i="8" s="1"/>
  <c r="D94" i="8"/>
  <c r="P94" i="8" s="1"/>
  <c r="D91" i="8"/>
  <c r="P91" i="8" s="1"/>
  <c r="D90" i="8"/>
  <c r="P90" i="8" s="1"/>
  <c r="D87" i="8"/>
  <c r="P87" i="8" s="1"/>
  <c r="D86" i="8"/>
  <c r="P86" i="8" s="1"/>
  <c r="D83" i="8"/>
  <c r="P83" i="8" s="1"/>
  <c r="D82" i="8"/>
  <c r="P82" i="8" s="1"/>
  <c r="D79" i="8"/>
  <c r="P79" i="8" s="1"/>
  <c r="D78" i="8"/>
  <c r="P78" i="8" s="1"/>
  <c r="D75" i="8"/>
  <c r="P75" i="8" s="1"/>
  <c r="D72" i="8"/>
  <c r="P72" i="8" s="1"/>
  <c r="D66" i="8"/>
  <c r="P66" i="8" s="1"/>
  <c r="D62" i="8"/>
  <c r="P62" i="8" s="1"/>
  <c r="D59" i="8"/>
  <c r="P59" i="8" s="1"/>
  <c r="D54" i="8"/>
  <c r="P54" i="8" s="1"/>
  <c r="D50" i="8"/>
  <c r="P50" i="8" s="1"/>
  <c r="D46" i="8"/>
  <c r="P46" i="8" s="1"/>
  <c r="D42" i="8"/>
  <c r="P42" i="8" s="1"/>
  <c r="D38" i="8"/>
  <c r="P38" i="8" s="1"/>
  <c r="D34" i="8"/>
  <c r="P34" i="8" s="1"/>
  <c r="D30" i="8"/>
  <c r="P30" i="8" s="1"/>
  <c r="D26" i="8"/>
  <c r="P26" i="8" s="1"/>
  <c r="D24" i="8"/>
  <c r="P24" i="8" s="1"/>
  <c r="D28" i="8"/>
  <c r="P28" i="8" s="1"/>
  <c r="D22" i="8"/>
  <c r="P22" i="8" s="1"/>
  <c r="D19" i="8"/>
  <c r="P19" i="8" s="1"/>
  <c r="D16" i="8"/>
  <c r="P16" i="8" s="1"/>
  <c r="D13" i="8"/>
  <c r="P13" i="8" s="1"/>
  <c r="D10" i="8"/>
  <c r="P10" i="8" s="1"/>
  <c r="D32" i="8"/>
  <c r="P32" i="8" s="1"/>
  <c r="D25" i="8"/>
  <c r="P25" i="8" s="1"/>
  <c r="D23" i="8"/>
  <c r="P23" i="8" s="1"/>
  <c r="D20" i="8"/>
  <c r="P20" i="8" s="1"/>
  <c r="D11" i="8"/>
  <c r="P11" i="8" s="1"/>
  <c r="D5" i="8"/>
  <c r="P5" i="8" s="1"/>
  <c r="D29" i="8"/>
  <c r="P29" i="8" s="1"/>
  <c r="D27" i="8"/>
  <c r="P27" i="8" s="1"/>
  <c r="D17" i="8"/>
  <c r="P17" i="8" s="1"/>
  <c r="D14" i="8"/>
  <c r="P14" i="8" s="1"/>
  <c r="D12" i="8"/>
  <c r="P12" i="8" s="1"/>
  <c r="D9" i="8"/>
  <c r="P9" i="8" s="1"/>
  <c r="D6" i="8"/>
  <c r="P6" i="8" s="1"/>
  <c r="D33" i="8"/>
  <c r="P33" i="8" s="1"/>
  <c r="D31" i="8"/>
  <c r="P31" i="8" s="1"/>
  <c r="D21" i="8"/>
  <c r="P21" i="8" s="1"/>
  <c r="D18" i="8"/>
  <c r="P18" i="8" s="1"/>
  <c r="D15" i="8"/>
  <c r="P15" i="8" s="1"/>
  <c r="D7" i="8"/>
  <c r="P7" i="8" s="1"/>
  <c r="D8" i="8"/>
  <c r="P8" i="8" s="1"/>
  <c r="U1" i="8"/>
  <c r="S1" i="8"/>
  <c r="N2" i="8"/>
  <c r="F11" i="5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E3" i="6"/>
  <c r="F3" i="6" s="1"/>
  <c r="E4" i="2"/>
  <c r="E6" i="2"/>
  <c r="E10" i="2"/>
  <c r="F7" i="1"/>
  <c r="B3" i="8"/>
  <c r="B4" i="8" s="1"/>
  <c r="B5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H35" i="1"/>
  <c r="H21" i="1"/>
  <c r="H39" i="1"/>
  <c r="H24" i="1"/>
  <c r="H41" i="1"/>
  <c r="H22" i="1"/>
  <c r="H38" i="1"/>
  <c r="H28" i="1"/>
  <c r="H33" i="1"/>
  <c r="H18" i="1"/>
  <c r="H26" i="1"/>
  <c r="H11" i="1"/>
  <c r="H32" i="1"/>
  <c r="H16" i="1"/>
  <c r="H37" i="1"/>
  <c r="H20" i="1"/>
  <c r="Q13" i="10" s="1"/>
  <c r="H30" i="1"/>
  <c r="H15" i="1"/>
  <c r="H29" i="1"/>
  <c r="H14" i="1"/>
  <c r="H31" i="1"/>
  <c r="H10" i="1"/>
  <c r="H34" i="1"/>
  <c r="H13" i="1"/>
  <c r="H17" i="1"/>
  <c r="H42" i="1"/>
  <c r="H23" i="1"/>
  <c r="H40" i="1"/>
  <c r="H19" i="1"/>
  <c r="H36" i="1"/>
  <c r="H25" i="1"/>
  <c r="H9" i="1"/>
  <c r="H27" i="1"/>
  <c r="H12" i="1"/>
  <c r="Q14" i="10" s="1"/>
  <c r="AQ33" i="1"/>
  <c r="AQ18" i="1"/>
  <c r="AQ29" i="1"/>
  <c r="AQ28" i="1"/>
  <c r="AQ37" i="1"/>
  <c r="AQ38" i="1"/>
  <c r="AQ27" i="1"/>
  <c r="AQ31" i="1"/>
  <c r="AQ11" i="1"/>
  <c r="AQ39" i="1"/>
  <c r="AQ35" i="1"/>
  <c r="AQ24" i="1"/>
  <c r="AQ19" i="1"/>
  <c r="AQ13" i="1"/>
  <c r="AQ34" i="1"/>
  <c r="AQ30" i="1"/>
  <c r="AQ36" i="1"/>
  <c r="AQ23" i="1"/>
  <c r="AQ22" i="1"/>
  <c r="AQ42" i="1"/>
  <c r="AQ20" i="1"/>
  <c r="AQ26" i="1"/>
  <c r="AQ12" i="1"/>
  <c r="AQ41" i="1"/>
  <c r="AQ40" i="1"/>
  <c r="AQ14" i="1"/>
  <c r="AQ21" i="1"/>
  <c r="Q11" i="10"/>
  <c r="AQ15" i="1"/>
  <c r="AQ16" i="1"/>
  <c r="AQ25" i="1"/>
  <c r="AQ32" i="1"/>
  <c r="Q25" i="10"/>
  <c r="Q15" i="10"/>
  <c r="Q27" i="10"/>
  <c r="Q17" i="10"/>
  <c r="Q12" i="10"/>
  <c r="Q21" i="10"/>
  <c r="Q18" i="10"/>
  <c r="Q19" i="10"/>
  <c r="Q20" i="10"/>
  <c r="Q22" i="10"/>
  <c r="Q24" i="10"/>
  <c r="Q23" i="10"/>
  <c r="Q26" i="10"/>
  <c r="Q16" i="10"/>
  <c r="AA35" i="1" l="1"/>
  <c r="AA40" i="1"/>
  <c r="AA38" i="1"/>
  <c r="AA41" i="1"/>
  <c r="AA37" i="1"/>
  <c r="AA36" i="1"/>
  <c r="AA42" i="1"/>
  <c r="AA39" i="1"/>
  <c r="AA29" i="1"/>
  <c r="AA33" i="1"/>
  <c r="AA30" i="1"/>
  <c r="AA32" i="1"/>
  <c r="AA28" i="1"/>
  <c r="AA34" i="1"/>
  <c r="AA26" i="1"/>
  <c r="AA27" i="1"/>
  <c r="AA31" i="1"/>
  <c r="AA23" i="1"/>
  <c r="AA22" i="1"/>
  <c r="AA21" i="1"/>
  <c r="AA20" i="1"/>
  <c r="AA19" i="1"/>
  <c r="AA25" i="1"/>
  <c r="AA24" i="1"/>
  <c r="AA16" i="1"/>
  <c r="AA11" i="1"/>
  <c r="AA12" i="1"/>
  <c r="AA18" i="1"/>
  <c r="AA13" i="1"/>
  <c r="AA15" i="1"/>
  <c r="AA14" i="1"/>
  <c r="AA9" i="1"/>
  <c r="AA10" i="1"/>
  <c r="AA17" i="1"/>
  <c r="A5" i="8"/>
  <c r="N5" i="8"/>
  <c r="B6" i="8"/>
  <c r="N4" i="8"/>
  <c r="A3" i="8"/>
  <c r="D3" i="8" s="1"/>
  <c r="P3" i="8" s="1"/>
  <c r="A4" i="8"/>
  <c r="D4" i="8" s="1"/>
  <c r="P4" i="8" s="1"/>
  <c r="AH8" i="1"/>
  <c r="AJ8" i="1" s="1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H40" i="1"/>
  <c r="AH33" i="1"/>
  <c r="AN28" i="1"/>
  <c r="AH16" i="1"/>
  <c r="AH39" i="1"/>
  <c r="AH32" i="1"/>
  <c r="AH23" i="1"/>
  <c r="AN18" i="1"/>
  <c r="AQ10" i="1"/>
  <c r="AH41" i="1"/>
  <c r="AH34" i="1"/>
  <c r="AH30" i="1"/>
  <c r="AH38" i="1"/>
  <c r="AH31" i="1"/>
  <c r="AH25" i="1"/>
  <c r="AH12" i="1"/>
  <c r="AN41" i="1"/>
  <c r="AN30" i="1"/>
  <c r="AN23" i="1"/>
  <c r="AN12" i="1"/>
  <c r="AH10" i="1"/>
  <c r="AN33" i="1"/>
  <c r="AN22" i="1"/>
  <c r="AN40" i="1"/>
  <c r="AH15" i="1"/>
  <c r="AN38" i="1"/>
  <c r="AN27" i="1"/>
  <c r="AN21" i="1"/>
  <c r="AH14" i="1"/>
  <c r="AH22" i="1"/>
  <c r="AN16" i="1"/>
  <c r="AN39" i="1"/>
  <c r="AH26" i="1"/>
  <c r="AH24" i="1"/>
  <c r="AQ17" i="1"/>
  <c r="AN14" i="1"/>
  <c r="AN20" i="1"/>
  <c r="AN36" i="1"/>
  <c r="AN11" i="1"/>
  <c r="AN34" i="1"/>
  <c r="AN37" i="1"/>
  <c r="AN26" i="1"/>
  <c r="AN19" i="1"/>
  <c r="AH17" i="1"/>
  <c r="AN32" i="1"/>
  <c r="AN24" i="1"/>
  <c r="AN42" i="1"/>
  <c r="AH35" i="1"/>
  <c r="AH11" i="1"/>
  <c r="AH42" i="1"/>
  <c r="AN29" i="1"/>
  <c r="AN25" i="1"/>
  <c r="AN35" i="1"/>
  <c r="AH37" i="1"/>
  <c r="AH29" i="1"/>
  <c r="AN31" i="1"/>
  <c r="AH13" i="1"/>
  <c r="AH9" i="1"/>
  <c r="AH36" i="1"/>
  <c r="AH28" i="1"/>
  <c r="AH21" i="1"/>
  <c r="AH18" i="1"/>
  <c r="AH27" i="1"/>
  <c r="AH19" i="1"/>
  <c r="AN13" i="1"/>
  <c r="AH20" i="1"/>
  <c r="AD42" i="1" l="1"/>
  <c r="AJ42" i="1"/>
  <c r="AJ41" i="1"/>
  <c r="AD41" i="1"/>
  <c r="AD39" i="1"/>
  <c r="AJ39" i="1"/>
  <c r="AJ38" i="1"/>
  <c r="AD38" i="1"/>
  <c r="AD35" i="1"/>
  <c r="AJ35" i="1"/>
  <c r="AJ36" i="1"/>
  <c r="AD36" i="1"/>
  <c r="AJ37" i="1"/>
  <c r="AD37" i="1"/>
  <c r="AJ40" i="1"/>
  <c r="AD40" i="1"/>
  <c r="AB42" i="1"/>
  <c r="AB41" i="1"/>
  <c r="AB39" i="1"/>
  <c r="AB38" i="1"/>
  <c r="AB35" i="1"/>
  <c r="AB36" i="1"/>
  <c r="AB37" i="1"/>
  <c r="AB40" i="1"/>
  <c r="AJ26" i="1"/>
  <c r="AJ30" i="1"/>
  <c r="AJ34" i="1"/>
  <c r="AJ32" i="1"/>
  <c r="AJ31" i="1"/>
  <c r="AJ27" i="1"/>
  <c r="AJ28" i="1"/>
  <c r="AJ29" i="1"/>
  <c r="AJ33" i="1"/>
  <c r="AB26" i="1"/>
  <c r="AB30" i="1"/>
  <c r="AB34" i="1"/>
  <c r="AB32" i="1"/>
  <c r="AB31" i="1"/>
  <c r="AB27" i="1"/>
  <c r="AB28" i="1"/>
  <c r="AB29" i="1"/>
  <c r="AB33" i="1"/>
  <c r="AJ24" i="1"/>
  <c r="AD24" i="1"/>
  <c r="AJ20" i="1"/>
  <c r="AJ22" i="1"/>
  <c r="AJ23" i="1"/>
  <c r="AJ25" i="1"/>
  <c r="AJ19" i="1"/>
  <c r="AJ21" i="1"/>
  <c r="AB24" i="1"/>
  <c r="AB20" i="1"/>
  <c r="AB22" i="1"/>
  <c r="AB23" i="1"/>
  <c r="AB25" i="1"/>
  <c r="AB19" i="1"/>
  <c r="AB21" i="1"/>
  <c r="AJ12" i="1"/>
  <c r="AD12" i="1"/>
  <c r="AJ11" i="1"/>
  <c r="AJ18" i="1"/>
  <c r="AJ13" i="1"/>
  <c r="AJ16" i="1"/>
  <c r="AB12" i="1"/>
  <c r="AB11" i="1"/>
  <c r="AB18" i="1"/>
  <c r="AB13" i="1"/>
  <c r="AB16" i="1"/>
  <c r="AJ14" i="1"/>
  <c r="AJ15" i="1"/>
  <c r="AB14" i="1"/>
  <c r="AB15" i="1"/>
  <c r="AJ17" i="1"/>
  <c r="AD17" i="1"/>
  <c r="AJ10" i="1"/>
  <c r="AJ9" i="1"/>
  <c r="AB17" i="1"/>
  <c r="AB10" i="1"/>
  <c r="AB9" i="1"/>
  <c r="N6" i="8"/>
  <c r="B7" i="8"/>
  <c r="A6" i="8"/>
  <c r="E3" i="8"/>
  <c r="F3" i="8" s="1"/>
  <c r="E5" i="8"/>
  <c r="Q5" i="8" s="1"/>
  <c r="F5" i="8"/>
  <c r="R5" i="8" s="1"/>
  <c r="AD8" i="1"/>
  <c r="F4" i="8"/>
  <c r="AK12" i="1"/>
  <c r="AK22" i="1"/>
  <c r="AK31" i="1"/>
  <c r="AI9" i="1"/>
  <c r="AI36" i="1"/>
  <c r="AK19" i="1"/>
  <c r="AK36" i="1"/>
  <c r="AI41" i="1"/>
  <c r="AI15" i="1"/>
  <c r="AK11" i="1"/>
  <c r="AI40" i="1"/>
  <c r="AI23" i="1"/>
  <c r="AI30" i="1"/>
  <c r="AK32" i="1"/>
  <c r="AI26" i="1"/>
  <c r="AK14" i="1"/>
  <c r="AK24" i="1"/>
  <c r="AI34" i="1"/>
  <c r="AK26" i="1"/>
  <c r="AK28" i="1"/>
  <c r="AI38" i="1"/>
  <c r="AI24" i="1"/>
  <c r="AK10" i="1"/>
  <c r="AI22" i="1"/>
  <c r="AI10" i="1"/>
  <c r="AK17" i="1"/>
  <c r="AK42" i="1"/>
  <c r="AI13" i="1"/>
  <c r="AI39" i="1"/>
  <c r="AK13" i="1"/>
  <c r="AN10" i="1"/>
  <c r="AK40" i="1"/>
  <c r="AK18" i="1"/>
  <c r="AK20" i="1"/>
  <c r="AK25" i="1"/>
  <c r="AK21" i="1"/>
  <c r="AI33" i="1"/>
  <c r="AK16" i="1"/>
  <c r="AI19" i="1"/>
  <c r="AK27" i="1"/>
  <c r="AI28" i="1"/>
  <c r="AI12" i="1"/>
  <c r="AI37" i="1"/>
  <c r="AI11" i="1"/>
  <c r="AN17" i="1"/>
  <c r="AK15" i="1"/>
  <c r="AK23" i="1"/>
  <c r="AI25" i="1"/>
  <c r="AI32" i="1"/>
  <c r="AI18" i="1"/>
  <c r="AI42" i="1"/>
  <c r="AI29" i="1"/>
  <c r="AN9" i="1"/>
  <c r="AQ9" i="1"/>
  <c r="AI17" i="1"/>
  <c r="AI27" i="1"/>
  <c r="AK33" i="1"/>
  <c r="AI16" i="1"/>
  <c r="AK38" i="1"/>
  <c r="AK35" i="1"/>
  <c r="AI31" i="1"/>
  <c r="AN15" i="1"/>
  <c r="AK37" i="1"/>
  <c r="AI20" i="1"/>
  <c r="AK41" i="1"/>
  <c r="AK34" i="1"/>
  <c r="AI35" i="1"/>
  <c r="AI14" i="1"/>
  <c r="AK29" i="1"/>
  <c r="AK30" i="1"/>
  <c r="AI21" i="1"/>
  <c r="AK9" i="1"/>
  <c r="AK39" i="1"/>
  <c r="AL40" i="1" l="1"/>
  <c r="AL37" i="1"/>
  <c r="AL38" i="1"/>
  <c r="AL41" i="1"/>
  <c r="AL42" i="1"/>
  <c r="AL39" i="1"/>
  <c r="AL36" i="1"/>
  <c r="AL35" i="1"/>
  <c r="AL31" i="1"/>
  <c r="AD31" i="1" s="1"/>
  <c r="AL30" i="1"/>
  <c r="AD30" i="1" s="1"/>
  <c r="AL34" i="1"/>
  <c r="AD34" i="1" s="1"/>
  <c r="AL32" i="1"/>
  <c r="AD32" i="1" s="1"/>
  <c r="AL33" i="1"/>
  <c r="AD33" i="1" s="1"/>
  <c r="AL28" i="1"/>
  <c r="AD28" i="1" s="1"/>
  <c r="AL29" i="1"/>
  <c r="AD29" i="1" s="1"/>
  <c r="AL26" i="1"/>
  <c r="AD26" i="1" s="1"/>
  <c r="AL27" i="1"/>
  <c r="AD27" i="1" s="1"/>
  <c r="AL20" i="1"/>
  <c r="AD20" i="1" s="1"/>
  <c r="AL25" i="1"/>
  <c r="AD25" i="1" s="1"/>
  <c r="AL22" i="1"/>
  <c r="AD22" i="1" s="1"/>
  <c r="AL19" i="1"/>
  <c r="AD19" i="1" s="1"/>
  <c r="AL23" i="1"/>
  <c r="AD23" i="1" s="1"/>
  <c r="AL21" i="1"/>
  <c r="AD21" i="1" s="1"/>
  <c r="AL24" i="1"/>
  <c r="AL11" i="1"/>
  <c r="AD11" i="1" s="1"/>
  <c r="AL12" i="1"/>
  <c r="AL16" i="1"/>
  <c r="AD16" i="1" s="1"/>
  <c r="AL18" i="1"/>
  <c r="AD18" i="1" s="1"/>
  <c r="AL13" i="1"/>
  <c r="AD13" i="1" s="1"/>
  <c r="AL15" i="1"/>
  <c r="AD15" i="1" s="1"/>
  <c r="AL14" i="1"/>
  <c r="AD14" i="1" s="1"/>
  <c r="AL9" i="1"/>
  <c r="AD9" i="1" s="1"/>
  <c r="AL10" i="1"/>
  <c r="AD10" i="1" s="1"/>
  <c r="AL17" i="1"/>
  <c r="Q3" i="8"/>
  <c r="G5" i="8"/>
  <c r="H5" i="8" s="1"/>
  <c r="T5" i="8" s="1"/>
  <c r="E6" i="8"/>
  <c r="Q6" i="8" s="1"/>
  <c r="N7" i="8"/>
  <c r="B8" i="8"/>
  <c r="A7" i="8"/>
  <c r="G3" i="8"/>
  <c r="R3" i="8"/>
  <c r="R4" i="8"/>
  <c r="G4" i="8"/>
  <c r="H4" i="8" s="1"/>
  <c r="T4" i="8" s="1"/>
  <c r="F6" i="8" l="1"/>
  <c r="R6" i="8" s="1"/>
  <c r="E7" i="8"/>
  <c r="Q7" i="8" s="1"/>
  <c r="F7" i="8"/>
  <c r="R7" i="8" s="1"/>
  <c r="N8" i="8"/>
  <c r="B9" i="8"/>
  <c r="A8" i="8"/>
  <c r="G6" i="8"/>
  <c r="S6" i="8" s="1"/>
  <c r="I5" i="8"/>
  <c r="U5" i="8" s="1"/>
  <c r="S5" i="8"/>
  <c r="S3" i="8"/>
  <c r="H3" i="8"/>
  <c r="S4" i="8"/>
  <c r="I4" i="8"/>
  <c r="U4" i="8" s="1"/>
  <c r="E8" i="8" l="1"/>
  <c r="Q8" i="8" s="1"/>
  <c r="F8" i="8"/>
  <c r="R8" i="8" s="1"/>
  <c r="J5" i="8"/>
  <c r="V5" i="8" s="1"/>
  <c r="H6" i="8"/>
  <c r="T6" i="8" s="1"/>
  <c r="N9" i="8"/>
  <c r="A9" i="8"/>
  <c r="B10" i="8"/>
  <c r="G7" i="8"/>
  <c r="S7" i="8" s="1"/>
  <c r="T3" i="8"/>
  <c r="I3" i="8"/>
  <c r="U3" i="8" s="1"/>
  <c r="J4" i="8"/>
  <c r="J6" i="8" l="1"/>
  <c r="V6" i="8" s="1"/>
  <c r="I6" i="8"/>
  <c r="U6" i="8" s="1"/>
  <c r="K5" i="8"/>
  <c r="W5" i="8" s="1"/>
  <c r="E9" i="8"/>
  <c r="Q9" i="8" s="1"/>
  <c r="G8" i="8"/>
  <c r="S8" i="8" s="1"/>
  <c r="H7" i="8"/>
  <c r="H8" i="8"/>
  <c r="T8" i="8" s="1"/>
  <c r="N10" i="8"/>
  <c r="A10" i="8"/>
  <c r="B11" i="8"/>
  <c r="J3" i="8"/>
  <c r="V3" i="8" s="1"/>
  <c r="V4" i="8"/>
  <c r="K4" i="8"/>
  <c r="W4" i="8" s="1"/>
  <c r="I8" i="8" l="1"/>
  <c r="J8" i="8" s="1"/>
  <c r="V8" i="8" s="1"/>
  <c r="K6" i="8"/>
  <c r="W6" i="8" s="1"/>
  <c r="F9" i="8"/>
  <c r="N11" i="8"/>
  <c r="B12" i="8"/>
  <c r="A11" i="8"/>
  <c r="E10" i="8"/>
  <c r="Q10" i="8" s="1"/>
  <c r="T7" i="8"/>
  <c r="I7" i="8"/>
  <c r="K3" i="8"/>
  <c r="W3" i="8" s="1"/>
  <c r="U8" i="8" l="1"/>
  <c r="U7" i="8"/>
  <c r="K8" i="8"/>
  <c r="W8" i="8" s="1"/>
  <c r="B13" i="8"/>
  <c r="N12" i="8"/>
  <c r="A12" i="8"/>
  <c r="J7" i="8"/>
  <c r="V7" i="8" s="1"/>
  <c r="F10" i="8"/>
  <c r="R9" i="8"/>
  <c r="G9" i="8"/>
  <c r="H9" i="8"/>
  <c r="T9" i="8" s="1"/>
  <c r="E11" i="8"/>
  <c r="Q11" i="8" s="1"/>
  <c r="F11" i="8" l="1"/>
  <c r="R11" i="8" s="1"/>
  <c r="R10" i="8"/>
  <c r="E12" i="8"/>
  <c r="Q12" i="8" s="1"/>
  <c r="G10" i="8"/>
  <c r="S9" i="8"/>
  <c r="I9" i="8"/>
  <c r="K7" i="8"/>
  <c r="W7" i="8" s="1"/>
  <c r="B14" i="8"/>
  <c r="N13" i="8"/>
  <c r="A13" i="8"/>
  <c r="H11" i="8" l="1"/>
  <c r="T11" i="8" s="1"/>
  <c r="F12" i="8"/>
  <c r="R12" i="8" s="1"/>
  <c r="G11" i="8"/>
  <c r="S11" i="8" s="1"/>
  <c r="G12" i="8"/>
  <c r="B15" i="8"/>
  <c r="A14" i="8"/>
  <c r="N14" i="8"/>
  <c r="E13" i="8"/>
  <c r="Q13" i="8" s="1"/>
  <c r="U9" i="8"/>
  <c r="J9" i="8"/>
  <c r="V9" i="8" s="1"/>
  <c r="S10" i="8"/>
  <c r="H10" i="8"/>
  <c r="T10" i="8" s="1"/>
  <c r="I11" i="8" l="1"/>
  <c r="U11" i="8" s="1"/>
  <c r="F13" i="8"/>
  <c r="R13" i="8" s="1"/>
  <c r="E14" i="8"/>
  <c r="Q14" i="8" s="1"/>
  <c r="F14" i="8"/>
  <c r="R14" i="8" s="1"/>
  <c r="A15" i="8"/>
  <c r="N15" i="8"/>
  <c r="B16" i="8"/>
  <c r="I10" i="8"/>
  <c r="U10" i="8" s="1"/>
  <c r="K9" i="8"/>
  <c r="W9" i="8" s="1"/>
  <c r="S12" i="8"/>
  <c r="H12" i="8"/>
  <c r="T12" i="8" s="1"/>
  <c r="I12" i="8" l="1"/>
  <c r="J11" i="8"/>
  <c r="V11" i="8" s="1"/>
  <c r="K11" i="8"/>
  <c r="W11" i="8" s="1"/>
  <c r="G13" i="8"/>
  <c r="S13" i="8" s="1"/>
  <c r="A16" i="8"/>
  <c r="B17" i="8"/>
  <c r="N16" i="8"/>
  <c r="G14" i="8"/>
  <c r="J10" i="8"/>
  <c r="V10" i="8" s="1"/>
  <c r="H13" i="8"/>
  <c r="T13" i="8" s="1"/>
  <c r="E15" i="8"/>
  <c r="Q15" i="8" s="1"/>
  <c r="U12" i="8" l="1"/>
  <c r="J12" i="8"/>
  <c r="K10" i="8"/>
  <c r="W10" i="8" s="1"/>
  <c r="F15" i="8"/>
  <c r="A17" i="8"/>
  <c r="B18" i="8"/>
  <c r="N17" i="8"/>
  <c r="I13" i="8"/>
  <c r="J13" i="8" s="1"/>
  <c r="V13" i="8" s="1"/>
  <c r="S14" i="8"/>
  <c r="H14" i="8"/>
  <c r="E16" i="8"/>
  <c r="Q16" i="8" s="1"/>
  <c r="V12" i="8" l="1"/>
  <c r="K12" i="8"/>
  <c r="W12" i="8" s="1"/>
  <c r="N18" i="8"/>
  <c r="B19" i="8"/>
  <c r="A18" i="8"/>
  <c r="U13" i="8"/>
  <c r="K13" i="8"/>
  <c r="W13" i="8" s="1"/>
  <c r="E17" i="8"/>
  <c r="Q17" i="8" s="1"/>
  <c r="F17" i="8"/>
  <c r="R17" i="8" s="1"/>
  <c r="F16" i="8"/>
  <c r="T14" i="8"/>
  <c r="I14" i="8"/>
  <c r="R15" i="8"/>
  <c r="G15" i="8"/>
  <c r="H15" i="8"/>
  <c r="T15" i="8" s="1"/>
  <c r="S15" i="8" l="1"/>
  <c r="I15" i="8"/>
  <c r="U15" i="8" s="1"/>
  <c r="J15" i="8"/>
  <c r="V15" i="8" s="1"/>
  <c r="G17" i="8"/>
  <c r="S17" i="8" s="1"/>
  <c r="E18" i="8"/>
  <c r="Q18" i="8" s="1"/>
  <c r="F18" i="8"/>
  <c r="R18" i="8" s="1"/>
  <c r="R16" i="8"/>
  <c r="G16" i="8"/>
  <c r="N19" i="8"/>
  <c r="B20" i="8"/>
  <c r="A19" i="8"/>
  <c r="U14" i="8"/>
  <c r="J14" i="8"/>
  <c r="V14" i="8" s="1"/>
  <c r="B21" i="8" l="1"/>
  <c r="A20" i="8"/>
  <c r="N20" i="8"/>
  <c r="H17" i="8"/>
  <c r="T17" i="8" s="1"/>
  <c r="H16" i="8"/>
  <c r="T16" i="8" s="1"/>
  <c r="K14" i="8"/>
  <c r="W14" i="8" s="1"/>
  <c r="E19" i="8"/>
  <c r="Q19" i="8" s="1"/>
  <c r="S16" i="8"/>
  <c r="G18" i="8"/>
  <c r="K15" i="8"/>
  <c r="W15" i="8" s="1"/>
  <c r="I16" i="8" l="1"/>
  <c r="U16" i="8" s="1"/>
  <c r="F19" i="8"/>
  <c r="I17" i="8"/>
  <c r="U17" i="8" s="1"/>
  <c r="J17" i="8"/>
  <c r="V17" i="8" s="1"/>
  <c r="S18" i="8"/>
  <c r="E20" i="8"/>
  <c r="Q20" i="8" s="1"/>
  <c r="H18" i="8"/>
  <c r="T18" i="8" s="1"/>
  <c r="B22" i="8"/>
  <c r="A21" i="8"/>
  <c r="N21" i="8"/>
  <c r="J16" i="8"/>
  <c r="V16" i="8" s="1"/>
  <c r="AB8" i="1"/>
  <c r="C13" i="9"/>
  <c r="K16" i="8" l="1"/>
  <c r="W16" i="8" s="1"/>
  <c r="I18" i="8"/>
  <c r="U18" i="8" s="1"/>
  <c r="E21" i="8"/>
  <c r="Q21" i="8" s="1"/>
  <c r="N22" i="8"/>
  <c r="A22" i="8"/>
  <c r="B23" i="8"/>
  <c r="F20" i="8"/>
  <c r="K17" i="8"/>
  <c r="W17" i="8" s="1"/>
  <c r="J18" i="8"/>
  <c r="V18" i="8" s="1"/>
  <c r="R19" i="8"/>
  <c r="G19" i="8"/>
  <c r="S19" i="8" s="1"/>
  <c r="G20" i="8"/>
  <c r="S20" i="8" s="1"/>
  <c r="H20" i="8" l="1"/>
  <c r="T20" i="8" s="1"/>
  <c r="E22" i="8"/>
  <c r="Q22" i="8" s="1"/>
  <c r="H19" i="8"/>
  <c r="I19" i="8" s="1"/>
  <c r="R20" i="8"/>
  <c r="K18" i="8"/>
  <c r="W18" i="8" s="1"/>
  <c r="B24" i="8"/>
  <c r="N23" i="8"/>
  <c r="A23" i="8"/>
  <c r="F21" i="8"/>
  <c r="G21" i="8" s="1"/>
  <c r="S21" i="8" s="1"/>
  <c r="F22" i="8" l="1"/>
  <c r="R22" i="8" s="1"/>
  <c r="I20" i="8"/>
  <c r="J20" i="8" s="1"/>
  <c r="V20" i="8" s="1"/>
  <c r="E23" i="8"/>
  <c r="Q23" i="8" s="1"/>
  <c r="T19" i="8"/>
  <c r="G22" i="8"/>
  <c r="U20" i="8"/>
  <c r="H22" i="8"/>
  <c r="T22" i="8" s="1"/>
  <c r="R21" i="8"/>
  <c r="H21" i="8"/>
  <c r="T21" i="8" s="1"/>
  <c r="A24" i="8"/>
  <c r="N24" i="8"/>
  <c r="B25" i="8"/>
  <c r="J19" i="8"/>
  <c r="V19" i="8" s="1"/>
  <c r="U19" i="8"/>
  <c r="K19" i="8" l="1"/>
  <c r="W19" i="8" s="1"/>
  <c r="K20" i="8"/>
  <c r="W20" i="8" s="1"/>
  <c r="I21" i="8"/>
  <c r="E24" i="8"/>
  <c r="Q24" i="8" s="1"/>
  <c r="S22" i="8"/>
  <c r="I22" i="8"/>
  <c r="F23" i="8"/>
  <c r="A25" i="8"/>
  <c r="N25" i="8"/>
  <c r="B26" i="8"/>
  <c r="F24" i="8" l="1"/>
  <c r="R24" i="8" s="1"/>
  <c r="U22" i="8"/>
  <c r="J22" i="8"/>
  <c r="V22" i="8" s="1"/>
  <c r="K22" i="8"/>
  <c r="W22" i="8" s="1"/>
  <c r="U21" i="8"/>
  <c r="J21" i="8"/>
  <c r="V21" i="8" s="1"/>
  <c r="E25" i="8"/>
  <c r="Q25" i="8" s="1"/>
  <c r="R23" i="8"/>
  <c r="B27" i="8"/>
  <c r="N26" i="8"/>
  <c r="A26" i="8"/>
  <c r="G23" i="8"/>
  <c r="S23" i="8" s="1"/>
  <c r="H24" i="8" l="1"/>
  <c r="G24" i="8"/>
  <c r="S24" i="8" s="1"/>
  <c r="A27" i="8"/>
  <c r="N27" i="8"/>
  <c r="B28" i="8"/>
  <c r="E26" i="8"/>
  <c r="Q26" i="8" s="1"/>
  <c r="T24" i="8"/>
  <c r="H23" i="8"/>
  <c r="I23" i="8" s="1"/>
  <c r="U23" i="8" s="1"/>
  <c r="F25" i="8"/>
  <c r="R25" i="8" s="1"/>
  <c r="K21" i="8"/>
  <c r="W21" i="8" s="1"/>
  <c r="J24" i="8" l="1"/>
  <c r="V24" i="8" s="1"/>
  <c r="F26" i="8"/>
  <c r="R26" i="8" s="1"/>
  <c r="G25" i="8"/>
  <c r="S25" i="8" s="1"/>
  <c r="I24" i="8"/>
  <c r="J23" i="8"/>
  <c r="V23" i="8" s="1"/>
  <c r="T23" i="8"/>
  <c r="N28" i="8"/>
  <c r="A28" i="8"/>
  <c r="B29" i="8"/>
  <c r="G26" i="8"/>
  <c r="E27" i="8"/>
  <c r="Q27" i="8" s="1"/>
  <c r="U24" i="8" l="1"/>
  <c r="K24" i="8"/>
  <c r="W24" i="8" s="1"/>
  <c r="H25" i="8"/>
  <c r="T25" i="8" s="1"/>
  <c r="S26" i="8"/>
  <c r="H26" i="8"/>
  <c r="T26" i="8" s="1"/>
  <c r="I26" i="8"/>
  <c r="U26" i="8" s="1"/>
  <c r="K23" i="8"/>
  <c r="W23" i="8" s="1"/>
  <c r="F27" i="8"/>
  <c r="B30" i="8"/>
  <c r="N29" i="8"/>
  <c r="A29" i="8"/>
  <c r="I25" i="8"/>
  <c r="U25" i="8" s="1"/>
  <c r="E28" i="8"/>
  <c r="Q28" i="8" s="1"/>
  <c r="F28" i="8" l="1"/>
  <c r="R28" i="8" s="1"/>
  <c r="J25" i="8"/>
  <c r="V25" i="8" s="1"/>
  <c r="J26" i="8"/>
  <c r="V26" i="8" s="1"/>
  <c r="E29" i="8"/>
  <c r="Q29" i="8" s="1"/>
  <c r="A30" i="8"/>
  <c r="N30" i="8"/>
  <c r="B31" i="8"/>
  <c r="R27" i="8"/>
  <c r="G27" i="8"/>
  <c r="S27" i="8" s="1"/>
  <c r="H27" i="8"/>
  <c r="T27" i="8" s="1"/>
  <c r="G28" i="8" l="1"/>
  <c r="H28" i="8" s="1"/>
  <c r="T28" i="8" s="1"/>
  <c r="K25" i="8"/>
  <c r="W25" i="8" s="1"/>
  <c r="K26" i="8"/>
  <c r="W26" i="8" s="1"/>
  <c r="B32" i="8"/>
  <c r="A31" i="8"/>
  <c r="N31" i="8"/>
  <c r="S28" i="8"/>
  <c r="I27" i="8"/>
  <c r="U27" i="8" s="1"/>
  <c r="E30" i="8"/>
  <c r="Q30" i="8" s="1"/>
  <c r="F29" i="8"/>
  <c r="F30" i="8" l="1"/>
  <c r="I28" i="8"/>
  <c r="U28" i="8" s="1"/>
  <c r="E31" i="8"/>
  <c r="Q31" i="8" s="1"/>
  <c r="B33" i="8"/>
  <c r="N32" i="8"/>
  <c r="A32" i="8"/>
  <c r="R29" i="8"/>
  <c r="H29" i="8"/>
  <c r="T29" i="8" s="1"/>
  <c r="J27" i="8"/>
  <c r="V27" i="8" s="1"/>
  <c r="G29" i="8"/>
  <c r="S29" i="8" s="1"/>
  <c r="J28" i="8"/>
  <c r="V28" i="8" s="1"/>
  <c r="K27" i="8" l="1"/>
  <c r="W27" i="8" s="1"/>
  <c r="F31" i="8"/>
  <c r="H31" i="8"/>
  <c r="T31" i="8" s="1"/>
  <c r="K28" i="8"/>
  <c r="W28" i="8" s="1"/>
  <c r="I29" i="8"/>
  <c r="U29" i="8" s="1"/>
  <c r="B34" i="8"/>
  <c r="N33" i="8"/>
  <c r="A33" i="8"/>
  <c r="R30" i="8"/>
  <c r="G31" i="8"/>
  <c r="R31" i="8"/>
  <c r="E32" i="8"/>
  <c r="Q32" i="8" s="1"/>
  <c r="F32" i="8"/>
  <c r="R32" i="8" s="1"/>
  <c r="G30" i="8"/>
  <c r="S30" i="8" l="1"/>
  <c r="H30" i="8"/>
  <c r="E33" i="8"/>
  <c r="Q33" i="8" s="1"/>
  <c r="H32" i="8"/>
  <c r="T32" i="8" s="1"/>
  <c r="G32" i="8"/>
  <c r="S31" i="8"/>
  <c r="I31" i="8"/>
  <c r="J29" i="8"/>
  <c r="A34" i="8"/>
  <c r="N34" i="8"/>
  <c r="B35" i="8"/>
  <c r="F33" i="8" l="1"/>
  <c r="R33" i="8" s="1"/>
  <c r="I32" i="8"/>
  <c r="U32" i="8" s="1"/>
  <c r="E34" i="8"/>
  <c r="Q34" i="8" s="1"/>
  <c r="G33" i="8"/>
  <c r="V29" i="8"/>
  <c r="K29" i="8"/>
  <c r="W29" i="8" s="1"/>
  <c r="S32" i="8"/>
  <c r="J32" i="8"/>
  <c r="V32" i="8" s="1"/>
  <c r="U31" i="8"/>
  <c r="J31" i="8"/>
  <c r="V31" i="8" s="1"/>
  <c r="N35" i="8"/>
  <c r="B36" i="8"/>
  <c r="A35" i="8"/>
  <c r="T30" i="8"/>
  <c r="I30" i="8"/>
  <c r="K31" i="8" l="1"/>
  <c r="W31" i="8" s="1"/>
  <c r="K32" i="8"/>
  <c r="W32" i="8" s="1"/>
  <c r="F34" i="8"/>
  <c r="R34" i="8" s="1"/>
  <c r="U30" i="8"/>
  <c r="J30" i="8"/>
  <c r="E35" i="8"/>
  <c r="Q35" i="8" s="1"/>
  <c r="F35" i="8"/>
  <c r="R35" i="8" s="1"/>
  <c r="B37" i="8"/>
  <c r="A36" i="8"/>
  <c r="N36" i="8"/>
  <c r="S33" i="8"/>
  <c r="H33" i="8"/>
  <c r="G34" i="8" l="1"/>
  <c r="G35" i="8"/>
  <c r="H35" i="8" s="1"/>
  <c r="T33" i="8"/>
  <c r="I33" i="8"/>
  <c r="U33" i="8" s="1"/>
  <c r="V30" i="8"/>
  <c r="K30" i="8"/>
  <c r="W30" i="8" s="1"/>
  <c r="E36" i="8"/>
  <c r="Q36" i="8" s="1"/>
  <c r="J33" i="8"/>
  <c r="V33" i="8" s="1"/>
  <c r="A37" i="8"/>
  <c r="N37" i="8"/>
  <c r="B38" i="8"/>
  <c r="S34" i="8" l="1"/>
  <c r="H34" i="8"/>
  <c r="T34" i="8" s="1"/>
  <c r="I34" i="8"/>
  <c r="U34" i="8" s="1"/>
  <c r="T35" i="8"/>
  <c r="I35" i="8"/>
  <c r="U35" i="8" s="1"/>
  <c r="E37" i="8"/>
  <c r="Q37" i="8" s="1"/>
  <c r="F36" i="8"/>
  <c r="B39" i="8"/>
  <c r="N38" i="8"/>
  <c r="A38" i="8"/>
  <c r="K33" i="8"/>
  <c r="W33" i="8" s="1"/>
  <c r="S35" i="8"/>
  <c r="J35" i="8"/>
  <c r="V35" i="8" s="1"/>
  <c r="J34" i="8" l="1"/>
  <c r="V34" i="8" s="1"/>
  <c r="E38" i="8"/>
  <c r="Q38" i="8" s="1"/>
  <c r="F38" i="8"/>
  <c r="R38" i="8" s="1"/>
  <c r="K35" i="8"/>
  <c r="W35" i="8" s="1"/>
  <c r="F37" i="8"/>
  <c r="R36" i="8"/>
  <c r="K34" i="8"/>
  <c r="W34" i="8" s="1"/>
  <c r="N39" i="8"/>
  <c r="A39" i="8"/>
  <c r="B40" i="8"/>
  <c r="G36" i="8"/>
  <c r="S36" i="8" s="1"/>
  <c r="E39" i="8" l="1"/>
  <c r="Q39" i="8" s="1"/>
  <c r="G38" i="8"/>
  <c r="R37" i="8"/>
  <c r="H36" i="8"/>
  <c r="T36" i="8" s="1"/>
  <c r="G37" i="8"/>
  <c r="S37" i="8" s="1"/>
  <c r="N40" i="8"/>
  <c r="A40" i="8"/>
  <c r="B41" i="8"/>
  <c r="H37" i="8" l="1"/>
  <c r="T37" i="8" s="1"/>
  <c r="A41" i="8"/>
  <c r="N41" i="8"/>
  <c r="B42" i="8"/>
  <c r="S38" i="8"/>
  <c r="E40" i="8"/>
  <c r="Q40" i="8" s="1"/>
  <c r="I37" i="8"/>
  <c r="J37" i="8" s="1"/>
  <c r="V37" i="8" s="1"/>
  <c r="F39" i="8"/>
  <c r="H38" i="8"/>
  <c r="I36" i="8"/>
  <c r="U36" i="8" s="1"/>
  <c r="F40" i="8" l="1"/>
  <c r="G40" i="8" s="1"/>
  <c r="S40" i="8" s="1"/>
  <c r="T38" i="8"/>
  <c r="I38" i="8"/>
  <c r="U38" i="8" s="1"/>
  <c r="A42" i="8"/>
  <c r="N42" i="8"/>
  <c r="B43" i="8"/>
  <c r="U37" i="8"/>
  <c r="K37" i="8"/>
  <c r="W37" i="8" s="1"/>
  <c r="R39" i="8"/>
  <c r="G39" i="8"/>
  <c r="J36" i="8"/>
  <c r="V36" i="8" s="1"/>
  <c r="E41" i="8"/>
  <c r="Q41" i="8" s="1"/>
  <c r="F41" i="8" l="1"/>
  <c r="G41" i="8" s="1"/>
  <c r="S41" i="8" s="1"/>
  <c r="K36" i="8"/>
  <c r="W36" i="8" s="1"/>
  <c r="R40" i="8"/>
  <c r="H40" i="8"/>
  <c r="T40" i="8" s="1"/>
  <c r="E42" i="8"/>
  <c r="Q42" i="8" s="1"/>
  <c r="S39" i="8"/>
  <c r="I39" i="8"/>
  <c r="U39" i="8" s="1"/>
  <c r="H39" i="8"/>
  <c r="J38" i="8"/>
  <c r="A43" i="8"/>
  <c r="N43" i="8"/>
  <c r="B44" i="8"/>
  <c r="I40" i="8" l="1"/>
  <c r="U40" i="8" s="1"/>
  <c r="F42" i="8"/>
  <c r="R42" i="8" s="1"/>
  <c r="N44" i="8"/>
  <c r="A44" i="8"/>
  <c r="B45" i="8"/>
  <c r="E43" i="8"/>
  <c r="Q43" i="8" s="1"/>
  <c r="V38" i="8"/>
  <c r="K38" i="8"/>
  <c r="W38" i="8" s="1"/>
  <c r="R41" i="8"/>
  <c r="T39" i="8"/>
  <c r="J39" i="8"/>
  <c r="V39" i="8" s="1"/>
  <c r="H41" i="8"/>
  <c r="T41" i="8" s="1"/>
  <c r="G42" i="8" l="1"/>
  <c r="J40" i="8"/>
  <c r="V40" i="8" s="1"/>
  <c r="F43" i="8"/>
  <c r="R43" i="8" s="1"/>
  <c r="K39" i="8"/>
  <c r="W39" i="8" s="1"/>
  <c r="K40" i="8"/>
  <c r="W40" i="8" s="1"/>
  <c r="A45" i="8"/>
  <c r="B46" i="8"/>
  <c r="N45" i="8"/>
  <c r="E44" i="8"/>
  <c r="Q44" i="8" s="1"/>
  <c r="I41" i="8"/>
  <c r="G43" i="8" l="1"/>
  <c r="S42" i="8"/>
  <c r="H42" i="8"/>
  <c r="T42" i="8" s="1"/>
  <c r="I42" i="8"/>
  <c r="U42" i="8" s="1"/>
  <c r="U41" i="8"/>
  <c r="J41" i="8"/>
  <c r="A46" i="8"/>
  <c r="N46" i="8"/>
  <c r="B47" i="8"/>
  <c r="E45" i="8"/>
  <c r="Q45" i="8" s="1"/>
  <c r="F45" i="8"/>
  <c r="R45" i="8" s="1"/>
  <c r="F44" i="8"/>
  <c r="R44" i="8" s="1"/>
  <c r="S43" i="8"/>
  <c r="H43" i="8"/>
  <c r="T43" i="8" s="1"/>
  <c r="I43" i="8" l="1"/>
  <c r="J42" i="8"/>
  <c r="A47" i="8"/>
  <c r="N47" i="8"/>
  <c r="B48" i="8"/>
  <c r="E46" i="8"/>
  <c r="Q46" i="8" s="1"/>
  <c r="V41" i="8"/>
  <c r="K41" i="8"/>
  <c r="W41" i="8" s="1"/>
  <c r="G45" i="8"/>
  <c r="G44" i="8"/>
  <c r="H44" i="8" s="1"/>
  <c r="T44" i="8" s="1"/>
  <c r="U43" i="8" l="1"/>
  <c r="J43" i="8"/>
  <c r="V42" i="8"/>
  <c r="K42" i="8"/>
  <c r="W42" i="8" s="1"/>
  <c r="S45" i="8"/>
  <c r="E47" i="8"/>
  <c r="Q47" i="8" s="1"/>
  <c r="F46" i="8"/>
  <c r="R46" i="8" s="1"/>
  <c r="B49" i="8"/>
  <c r="A48" i="8"/>
  <c r="N48" i="8"/>
  <c r="H45" i="8"/>
  <c r="T45" i="8" s="1"/>
  <c r="S44" i="8"/>
  <c r="I44" i="8"/>
  <c r="U44" i="8" s="1"/>
  <c r="AP8" i="1"/>
  <c r="AI8" i="1"/>
  <c r="BB8" i="1"/>
  <c r="BA6" i="1"/>
  <c r="AQ8" i="1"/>
  <c r="AV1" i="1"/>
  <c r="AC8" i="1"/>
  <c r="AN8" i="1"/>
  <c r="BE5" i="1"/>
  <c r="AK8" i="1"/>
  <c r="AL8" i="1" l="1"/>
  <c r="BA4" i="1"/>
  <c r="AS2" i="1"/>
  <c r="J44" i="8"/>
  <c r="V44" i="8" s="1"/>
  <c r="G46" i="8"/>
  <c r="S46" i="8" s="1"/>
  <c r="V43" i="8"/>
  <c r="K43" i="8"/>
  <c r="W43" i="8" s="1"/>
  <c r="F47" i="8"/>
  <c r="R47" i="8" s="1"/>
  <c r="K44" i="8"/>
  <c r="W44" i="8" s="1"/>
  <c r="E48" i="8"/>
  <c r="Q48" i="8" s="1"/>
  <c r="A49" i="8"/>
  <c r="B50" i="8"/>
  <c r="N49" i="8"/>
  <c r="H46" i="8"/>
  <c r="I45" i="8"/>
  <c r="U45" i="8" s="1"/>
  <c r="BE6" i="1"/>
  <c r="BD6" i="1"/>
  <c r="G47" i="8" l="1"/>
  <c r="S47" i="8" s="1"/>
  <c r="F48" i="8"/>
  <c r="R48" i="8" s="1"/>
  <c r="T46" i="8"/>
  <c r="J45" i="8"/>
  <c r="V45" i="8" s="1"/>
  <c r="A50" i="8"/>
  <c r="B51" i="8"/>
  <c r="N50" i="8"/>
  <c r="I46" i="8"/>
  <c r="U46" i="8" s="1"/>
  <c r="E49" i="8"/>
  <c r="Q49" i="8" s="1"/>
  <c r="AY4" i="1"/>
  <c r="AY5" i="1"/>
  <c r="BI4" i="1" l="1"/>
  <c r="BI2" i="1"/>
  <c r="BI3" i="1"/>
  <c r="K45" i="8"/>
  <c r="W45" i="8" s="1"/>
  <c r="G48" i="8"/>
  <c r="H47" i="8"/>
  <c r="F49" i="8"/>
  <c r="R49" i="8" s="1"/>
  <c r="N51" i="8"/>
  <c r="B52" i="8"/>
  <c r="A51" i="8"/>
  <c r="S48" i="8"/>
  <c r="G49" i="8"/>
  <c r="S49" i="8" s="1"/>
  <c r="E50" i="8"/>
  <c r="Q50" i="8" s="1"/>
  <c r="F50" i="8"/>
  <c r="R50" i="8" s="1"/>
  <c r="H48" i="8"/>
  <c r="J46" i="8"/>
  <c r="V46" i="8" s="1"/>
  <c r="K37" i="2"/>
  <c r="G4" i="1"/>
  <c r="A3" i="1"/>
  <c r="A36" i="2"/>
  <c r="AM5" i="1"/>
  <c r="A2" i="1"/>
  <c r="C2" i="1"/>
  <c r="A38" i="2"/>
  <c r="B10" i="11" l="1"/>
  <c r="H2" i="10"/>
  <c r="I6" i="4"/>
  <c r="L6" i="4" s="1"/>
  <c r="M9" i="4" s="1"/>
  <c r="M10" i="4" s="1"/>
  <c r="B38" i="2"/>
  <c r="A40" i="2"/>
  <c r="H6" i="10"/>
  <c r="B21" i="11"/>
  <c r="T47" i="8"/>
  <c r="I47" i="8"/>
  <c r="U47" i="8" s="1"/>
  <c r="T48" i="8"/>
  <c r="K46" i="8"/>
  <c r="W46" i="8" s="1"/>
  <c r="G50" i="8"/>
  <c r="E51" i="8"/>
  <c r="Q51" i="8" s="1"/>
  <c r="B53" i="8"/>
  <c r="A52" i="8"/>
  <c r="N52" i="8"/>
  <c r="I48" i="8"/>
  <c r="U48" i="8" s="1"/>
  <c r="H49" i="8"/>
  <c r="H50" i="8"/>
  <c r="T50" i="8" s="1"/>
  <c r="T39" i="2"/>
  <c r="K36" i="2"/>
  <c r="T38" i="2"/>
  <c r="P3" i="2"/>
  <c r="T40" i="2"/>
  <c r="BG6" i="1"/>
  <c r="O34" i="11" l="1"/>
  <c r="Q9" i="2"/>
  <c r="R9" i="2" s="1"/>
  <c r="O39" i="2"/>
  <c r="R39" i="2" s="1"/>
  <c r="B36" i="11" s="1"/>
  <c r="O37" i="11"/>
  <c r="O31" i="11"/>
  <c r="Q7" i="2"/>
  <c r="R7" i="2" s="1"/>
  <c r="Q15" i="2"/>
  <c r="R15" i="2" s="1"/>
  <c r="Q10" i="2"/>
  <c r="R10" i="2" s="1"/>
  <c r="Q13" i="2"/>
  <c r="R13" i="2" s="1"/>
  <c r="Q8" i="2"/>
  <c r="R8" i="2" s="1"/>
  <c r="Q12" i="2"/>
  <c r="R12" i="2" s="1"/>
  <c r="P18" i="2"/>
  <c r="Q21" i="2" s="1"/>
  <c r="R21" i="2" s="1"/>
  <c r="Q6" i="2"/>
  <c r="R6" i="2" s="1"/>
  <c r="Q14" i="2"/>
  <c r="R14" i="2" s="1"/>
  <c r="Q16" i="2"/>
  <c r="R16" i="2" s="1"/>
  <c r="Q11" i="2"/>
  <c r="R11" i="2" s="1"/>
  <c r="J11" i="4"/>
  <c r="J12" i="4" s="1"/>
  <c r="J10" i="4"/>
  <c r="J15" i="4"/>
  <c r="J16" i="4" s="1"/>
  <c r="J17" i="4" s="1"/>
  <c r="J18" i="4"/>
  <c r="J19" i="4" s="1"/>
  <c r="J13" i="4"/>
  <c r="J14" i="4"/>
  <c r="J9" i="4"/>
  <c r="M11" i="4"/>
  <c r="M12" i="4" s="1"/>
  <c r="M13" i="4" s="1"/>
  <c r="M14" i="4" s="1"/>
  <c r="F51" i="8"/>
  <c r="R51" i="8" s="1"/>
  <c r="J47" i="8"/>
  <c r="G51" i="8"/>
  <c r="S51" i="8" s="1"/>
  <c r="S50" i="8"/>
  <c r="J50" i="8"/>
  <c r="V50" i="8" s="1"/>
  <c r="I50" i="8"/>
  <c r="U50" i="8" s="1"/>
  <c r="J48" i="8"/>
  <c r="V48" i="8" s="1"/>
  <c r="E52" i="8"/>
  <c r="Q52" i="8" s="1"/>
  <c r="T49" i="8"/>
  <c r="A53" i="8"/>
  <c r="N53" i="8"/>
  <c r="B54" i="8"/>
  <c r="I49" i="8"/>
  <c r="Q22" i="2" l="1"/>
  <c r="R22" i="2" s="1"/>
  <c r="Q3" i="2"/>
  <c r="J6" i="4"/>
  <c r="M15" i="4"/>
  <c r="M16" i="4" s="1"/>
  <c r="M17" i="4" s="1"/>
  <c r="M18" i="4" s="1"/>
  <c r="M19" i="4" s="1"/>
  <c r="V47" i="8"/>
  <c r="K47" i="8"/>
  <c r="W47" i="8" s="1"/>
  <c r="U49" i="8"/>
  <c r="J49" i="8"/>
  <c r="V49" i="8" s="1"/>
  <c r="H51" i="8"/>
  <c r="I51" i="8" s="1"/>
  <c r="U51" i="8" s="1"/>
  <c r="A54" i="8"/>
  <c r="N54" i="8"/>
  <c r="B55" i="8"/>
  <c r="K50" i="8"/>
  <c r="W50" i="8" s="1"/>
  <c r="K48" i="8"/>
  <c r="W48" i="8" s="1"/>
  <c r="F52" i="8"/>
  <c r="E53" i="8"/>
  <c r="Q53" i="8" s="1"/>
  <c r="Q23" i="2" l="1"/>
  <c r="R23" i="2" s="1"/>
  <c r="M6" i="4"/>
  <c r="E54" i="8"/>
  <c r="Q54" i="8" s="1"/>
  <c r="K49" i="8"/>
  <c r="W49" i="8" s="1"/>
  <c r="A55" i="8"/>
  <c r="N55" i="8"/>
  <c r="B56" i="8"/>
  <c r="R52" i="8"/>
  <c r="G52" i="8"/>
  <c r="S52" i="8" s="1"/>
  <c r="T51" i="8"/>
  <c r="F53" i="8"/>
  <c r="J51" i="8"/>
  <c r="V51" i="8" s="1"/>
  <c r="Q24" i="2" l="1"/>
  <c r="R24" i="2" s="1"/>
  <c r="I52" i="8"/>
  <c r="N56" i="8"/>
  <c r="A56" i="8"/>
  <c r="B57" i="8"/>
  <c r="K51" i="8"/>
  <c r="W51" i="8" s="1"/>
  <c r="H52" i="8"/>
  <c r="R53" i="8"/>
  <c r="G53" i="8"/>
  <c r="S53" i="8" s="1"/>
  <c r="E55" i="8"/>
  <c r="Q55" i="8" s="1"/>
  <c r="F54" i="8"/>
  <c r="R54" i="8" s="1"/>
  <c r="Q25" i="2" l="1"/>
  <c r="R25" i="2" s="1"/>
  <c r="G55" i="8"/>
  <c r="S55" i="8" s="1"/>
  <c r="F55" i="8"/>
  <c r="R55" i="8" s="1"/>
  <c r="J52" i="8"/>
  <c r="V52" i="8" s="1"/>
  <c r="U52" i="8"/>
  <c r="H55" i="8"/>
  <c r="T52" i="8"/>
  <c r="N57" i="8"/>
  <c r="B58" i="8"/>
  <c r="A57" i="8"/>
  <c r="G54" i="8"/>
  <c r="S54" i="8" s="1"/>
  <c r="H54" i="8"/>
  <c r="T54" i="8" s="1"/>
  <c r="E56" i="8"/>
  <c r="Q56" i="8" s="1"/>
  <c r="F56" i="8"/>
  <c r="R56" i="8" s="1"/>
  <c r="H53" i="8"/>
  <c r="Q26" i="2" l="1"/>
  <c r="R26" i="2" s="1"/>
  <c r="H56" i="8"/>
  <c r="T56" i="8" s="1"/>
  <c r="G56" i="8"/>
  <c r="S56" i="8" s="1"/>
  <c r="K52" i="8"/>
  <c r="W52" i="8" s="1"/>
  <c r="I54" i="8"/>
  <c r="U54" i="8" s="1"/>
  <c r="N58" i="8"/>
  <c r="A58" i="8"/>
  <c r="B59" i="8"/>
  <c r="J54" i="8"/>
  <c r="V54" i="8" s="1"/>
  <c r="T53" i="8"/>
  <c r="I53" i="8"/>
  <c r="U53" i="8" s="1"/>
  <c r="E57" i="8"/>
  <c r="Q57" i="8" s="1"/>
  <c r="T55" i="8"/>
  <c r="I55" i="8"/>
  <c r="K54" i="8"/>
  <c r="W54" i="8" s="1"/>
  <c r="Q27" i="2" l="1"/>
  <c r="R27" i="2" s="1"/>
  <c r="I56" i="8"/>
  <c r="F57" i="8"/>
  <c r="R57" i="8" s="1"/>
  <c r="U55" i="8"/>
  <c r="E58" i="8"/>
  <c r="Q58" i="8" s="1"/>
  <c r="F58" i="8"/>
  <c r="R58" i="8" s="1"/>
  <c r="J53" i="8"/>
  <c r="G57" i="8"/>
  <c r="B60" i="8"/>
  <c r="N59" i="8"/>
  <c r="A59" i="8"/>
  <c r="J55" i="8"/>
  <c r="V55" i="8" s="1"/>
  <c r="Q28" i="2" l="1"/>
  <c r="Q29" i="2" s="1"/>
  <c r="R29" i="2" s="1"/>
  <c r="U56" i="8"/>
  <c r="J56" i="8"/>
  <c r="V56" i="8" s="1"/>
  <c r="B61" i="8"/>
  <c r="A60" i="8"/>
  <c r="N60" i="8"/>
  <c r="H57" i="8"/>
  <c r="T57" i="8" s="1"/>
  <c r="F59" i="8"/>
  <c r="R59" i="8" s="1"/>
  <c r="E59" i="8"/>
  <c r="Q59" i="8" s="1"/>
  <c r="V53" i="8"/>
  <c r="K53" i="8"/>
  <c r="W53" i="8" s="1"/>
  <c r="K55" i="8"/>
  <c r="W55" i="8" s="1"/>
  <c r="S57" i="8"/>
  <c r="G58" i="8"/>
  <c r="H58" i="8" s="1"/>
  <c r="T58" i="8" s="1"/>
  <c r="R28" i="2" l="1"/>
  <c r="Q30" i="2"/>
  <c r="R30" i="2" s="1"/>
  <c r="K56" i="8"/>
  <c r="W56" i="8" s="1"/>
  <c r="I57" i="8"/>
  <c r="U57" i="8" s="1"/>
  <c r="E60" i="8"/>
  <c r="Q60" i="8" s="1"/>
  <c r="S58" i="8"/>
  <c r="I58" i="8"/>
  <c r="U58" i="8" s="1"/>
  <c r="G59" i="8"/>
  <c r="A61" i="8"/>
  <c r="B62" i="8"/>
  <c r="N61" i="8"/>
  <c r="J57" i="8"/>
  <c r="V57" i="8" s="1"/>
  <c r="Q31" i="2" l="1"/>
  <c r="R31" i="2" s="1"/>
  <c r="O38" i="2" s="1"/>
  <c r="R38" i="2" s="1"/>
  <c r="B31" i="11" s="1"/>
  <c r="K57" i="8"/>
  <c r="W57" i="8" s="1"/>
  <c r="S59" i="8"/>
  <c r="F60" i="8"/>
  <c r="B63" i="8"/>
  <c r="A62" i="8"/>
  <c r="N62" i="8"/>
  <c r="J58" i="8"/>
  <c r="E61" i="8"/>
  <c r="Q61" i="8" s="1"/>
  <c r="H59" i="8"/>
  <c r="I59" i="8" s="1"/>
  <c r="U59" i="8" s="1"/>
  <c r="Q18" i="2" l="1"/>
  <c r="F61" i="8"/>
  <c r="E62" i="8"/>
  <c r="Q62" i="8" s="1"/>
  <c r="T59" i="8"/>
  <c r="J59" i="8"/>
  <c r="V59" i="8" s="1"/>
  <c r="A63" i="8"/>
  <c r="B64" i="8"/>
  <c r="N63" i="8"/>
  <c r="K59" i="8"/>
  <c r="W59" i="8" s="1"/>
  <c r="G61" i="8"/>
  <c r="S61" i="8" s="1"/>
  <c r="V58" i="8"/>
  <c r="K58" i="8"/>
  <c r="W58" i="8" s="1"/>
  <c r="R60" i="8"/>
  <c r="G60" i="8"/>
  <c r="F62" i="8" l="1"/>
  <c r="R62" i="8" s="1"/>
  <c r="E63" i="8"/>
  <c r="Q63" i="8" s="1"/>
  <c r="R61" i="8"/>
  <c r="H61" i="8"/>
  <c r="T61" i="8" s="1"/>
  <c r="S60" i="8"/>
  <c r="H60" i="8"/>
  <c r="A64" i="8"/>
  <c r="B65" i="8"/>
  <c r="N64" i="8"/>
  <c r="G62" i="8"/>
  <c r="I61" i="8"/>
  <c r="U61" i="8" s="1"/>
  <c r="J61" i="8" l="1"/>
  <c r="V61" i="8" s="1"/>
  <c r="I62" i="8"/>
  <c r="U62" i="8" s="1"/>
  <c r="H62" i="8"/>
  <c r="T62" i="8" s="1"/>
  <c r="T60" i="8"/>
  <c r="I60" i="8"/>
  <c r="U60" i="8" s="1"/>
  <c r="S62" i="8"/>
  <c r="N65" i="8"/>
  <c r="A65" i="8"/>
  <c r="B66" i="8"/>
  <c r="F63" i="8"/>
  <c r="E64" i="8"/>
  <c r="Q64" i="8" s="1"/>
  <c r="K61" i="8" l="1"/>
  <c r="W61" i="8" s="1"/>
  <c r="R63" i="8"/>
  <c r="G63" i="8"/>
  <c r="S63" i="8" s="1"/>
  <c r="A66" i="8"/>
  <c r="N66" i="8"/>
  <c r="B67" i="8"/>
  <c r="F64" i="8"/>
  <c r="E65" i="8"/>
  <c r="Q65" i="8" s="1"/>
  <c r="J62" i="8"/>
  <c r="V62" i="8" s="1"/>
  <c r="J60" i="8"/>
  <c r="H63" i="8"/>
  <c r="T63" i="8" s="1"/>
  <c r="R64" i="8" l="1"/>
  <c r="F66" i="8"/>
  <c r="R66" i="8" s="1"/>
  <c r="E66" i="8"/>
  <c r="Q66" i="8" s="1"/>
  <c r="G64" i="8"/>
  <c r="H64" i="8" s="1"/>
  <c r="T64" i="8" s="1"/>
  <c r="A67" i="8"/>
  <c r="B68" i="8"/>
  <c r="N67" i="8"/>
  <c r="K62" i="8"/>
  <c r="W62" i="8" s="1"/>
  <c r="V60" i="8"/>
  <c r="K60" i="8"/>
  <c r="W60" i="8" s="1"/>
  <c r="F65" i="8"/>
  <c r="G65" i="8" s="1"/>
  <c r="S65" i="8" s="1"/>
  <c r="I63" i="8"/>
  <c r="U63" i="8" s="1"/>
  <c r="E67" i="8" l="1"/>
  <c r="Q67" i="8" s="1"/>
  <c r="H65" i="8"/>
  <c r="T65" i="8" s="1"/>
  <c r="R65" i="8"/>
  <c r="S64" i="8"/>
  <c r="G66" i="8"/>
  <c r="S66" i="8" s="1"/>
  <c r="J63" i="8"/>
  <c r="V63" i="8" s="1"/>
  <c r="H66" i="8"/>
  <c r="T66" i="8" s="1"/>
  <c r="I65" i="8"/>
  <c r="U65" i="8" s="1"/>
  <c r="A68" i="8"/>
  <c r="B69" i="8"/>
  <c r="N68" i="8"/>
  <c r="I64" i="8"/>
  <c r="U64" i="8" s="1"/>
  <c r="J64" i="8" l="1"/>
  <c r="V64" i="8" s="1"/>
  <c r="K63" i="8"/>
  <c r="W63" i="8" s="1"/>
  <c r="J65" i="8"/>
  <c r="V65" i="8" s="1"/>
  <c r="E68" i="8"/>
  <c r="Q68" i="8" s="1"/>
  <c r="I66" i="8"/>
  <c r="J66" i="8" s="1"/>
  <c r="V66" i="8" s="1"/>
  <c r="A69" i="8"/>
  <c r="B70" i="8"/>
  <c r="N69" i="8"/>
  <c r="F67" i="8"/>
  <c r="R67" i="8" s="1"/>
  <c r="K65" i="8" l="1"/>
  <c r="W65" i="8" s="1"/>
  <c r="K64" i="8"/>
  <c r="W64" i="8" s="1"/>
  <c r="G67" i="8"/>
  <c r="S67" i="8" s="1"/>
  <c r="U66" i="8"/>
  <c r="K66" i="8"/>
  <c r="W66" i="8" s="1"/>
  <c r="N70" i="8"/>
  <c r="A70" i="8"/>
  <c r="B71" i="8"/>
  <c r="E69" i="8"/>
  <c r="Q69" i="8" s="1"/>
  <c r="F68" i="8"/>
  <c r="H67" i="8" l="1"/>
  <c r="T67" i="8" s="1"/>
  <c r="F69" i="8"/>
  <c r="R69" i="8" s="1"/>
  <c r="G69" i="8"/>
  <c r="S69" i="8" s="1"/>
  <c r="G68" i="8"/>
  <c r="S68" i="8" s="1"/>
  <c r="B72" i="8"/>
  <c r="N71" i="8"/>
  <c r="A71" i="8"/>
  <c r="R68" i="8"/>
  <c r="E70" i="8"/>
  <c r="Q70" i="8" s="1"/>
  <c r="F70" i="8"/>
  <c r="R70" i="8" s="1"/>
  <c r="H68" i="8" l="1"/>
  <c r="T68" i="8" s="1"/>
  <c r="I67" i="8"/>
  <c r="H69" i="8"/>
  <c r="I69" i="8" s="1"/>
  <c r="U69" i="8" s="1"/>
  <c r="E71" i="8"/>
  <c r="Q71" i="8" s="1"/>
  <c r="J69" i="8"/>
  <c r="V69" i="8" s="1"/>
  <c r="A72" i="8"/>
  <c r="B73" i="8"/>
  <c r="N72" i="8"/>
  <c r="G70" i="8"/>
  <c r="H70" i="8" s="1"/>
  <c r="K69" i="8"/>
  <c r="W69" i="8" s="1"/>
  <c r="I68" i="8"/>
  <c r="U68" i="8" s="1"/>
  <c r="U67" i="8" l="1"/>
  <c r="J67" i="8"/>
  <c r="V67" i="8" s="1"/>
  <c r="T69" i="8"/>
  <c r="T70" i="8"/>
  <c r="I70" i="8"/>
  <c r="U70" i="8" s="1"/>
  <c r="E72" i="8"/>
  <c r="Q72" i="8" s="1"/>
  <c r="F72" i="8"/>
  <c r="R72" i="8" s="1"/>
  <c r="J68" i="8"/>
  <c r="V68" i="8" s="1"/>
  <c r="S70" i="8"/>
  <c r="N73" i="8"/>
  <c r="B74" i="8"/>
  <c r="A73" i="8"/>
  <c r="F71" i="8"/>
  <c r="K67" i="8" l="1"/>
  <c r="W67" i="8" s="1"/>
  <c r="G71" i="8"/>
  <c r="S71" i="8" s="1"/>
  <c r="J70" i="8"/>
  <c r="V70" i="8" s="1"/>
  <c r="E73" i="8"/>
  <c r="Q73" i="8" s="1"/>
  <c r="K68" i="8"/>
  <c r="W68" i="8" s="1"/>
  <c r="A74" i="8"/>
  <c r="N74" i="8"/>
  <c r="B75" i="8"/>
  <c r="R71" i="8"/>
  <c r="G72" i="8"/>
  <c r="K70" i="8"/>
  <c r="W70" i="8" s="1"/>
  <c r="F73" i="8" l="1"/>
  <c r="R73" i="8" s="1"/>
  <c r="H71" i="8"/>
  <c r="T71" i="8" s="1"/>
  <c r="N75" i="8"/>
  <c r="B76" i="8"/>
  <c r="A75" i="8"/>
  <c r="E74" i="8"/>
  <c r="Q74" i="8" s="1"/>
  <c r="S72" i="8"/>
  <c r="H72" i="8"/>
  <c r="I72" i="8" s="1"/>
  <c r="U72" i="8" s="1"/>
  <c r="I71" i="8" l="1"/>
  <c r="G73" i="8"/>
  <c r="S73" i="8" s="1"/>
  <c r="T72" i="8"/>
  <c r="H73" i="8"/>
  <c r="E75" i="8"/>
  <c r="Q75" i="8" s="1"/>
  <c r="J72" i="8"/>
  <c r="V72" i="8" s="1"/>
  <c r="F74" i="8"/>
  <c r="N76" i="8"/>
  <c r="A76" i="8"/>
  <c r="B77" i="8"/>
  <c r="U71" i="8" l="1"/>
  <c r="J71" i="8"/>
  <c r="V71" i="8" s="1"/>
  <c r="N77" i="8"/>
  <c r="B78" i="8"/>
  <c r="A77" i="8"/>
  <c r="F75" i="8"/>
  <c r="R74" i="8"/>
  <c r="H74" i="8"/>
  <c r="T74" i="8" s="1"/>
  <c r="G74" i="8"/>
  <c r="S74" i="8" s="1"/>
  <c r="F76" i="8"/>
  <c r="R76" i="8" s="1"/>
  <c r="E76" i="8"/>
  <c r="Q76" i="8" s="1"/>
  <c r="T73" i="8"/>
  <c r="I73" i="8"/>
  <c r="K72" i="8"/>
  <c r="W72" i="8" s="1"/>
  <c r="K71" i="8" l="1"/>
  <c r="W71" i="8" s="1"/>
  <c r="G76" i="8"/>
  <c r="G75" i="8"/>
  <c r="H75" i="8" s="1"/>
  <c r="T75" i="8" s="1"/>
  <c r="E77" i="8"/>
  <c r="Q77" i="8" s="1"/>
  <c r="U73" i="8"/>
  <c r="J73" i="8"/>
  <c r="H76" i="8"/>
  <c r="T76" i="8" s="1"/>
  <c r="I74" i="8"/>
  <c r="U74" i="8" s="1"/>
  <c r="N78" i="8"/>
  <c r="B79" i="8"/>
  <c r="A78" i="8"/>
  <c r="R75" i="8"/>
  <c r="E78" i="8" l="1"/>
  <c r="Q78" i="8" s="1"/>
  <c r="A79" i="8"/>
  <c r="B80" i="8"/>
  <c r="N79" i="8"/>
  <c r="J74" i="8"/>
  <c r="V74" i="8" s="1"/>
  <c r="F77" i="8"/>
  <c r="G77" i="8" s="1"/>
  <c r="S77" i="8" s="1"/>
  <c r="K74" i="8"/>
  <c r="W74" i="8" s="1"/>
  <c r="V73" i="8"/>
  <c r="K73" i="8"/>
  <c r="W73" i="8" s="1"/>
  <c r="S76" i="8"/>
  <c r="I76" i="8"/>
  <c r="U76" i="8" s="1"/>
  <c r="S75" i="8"/>
  <c r="I75" i="8"/>
  <c r="U75" i="8" s="1"/>
  <c r="E79" i="8" l="1"/>
  <c r="Q79" i="8" s="1"/>
  <c r="H77" i="8"/>
  <c r="T77" i="8" s="1"/>
  <c r="J75" i="8"/>
  <c r="V75" i="8" s="1"/>
  <c r="J76" i="8"/>
  <c r="V76" i="8" s="1"/>
  <c r="R77" i="8"/>
  <c r="A80" i="8"/>
  <c r="B81" i="8"/>
  <c r="N80" i="8"/>
  <c r="F78" i="8"/>
  <c r="I77" i="8" l="1"/>
  <c r="F79" i="8"/>
  <c r="A81" i="8"/>
  <c r="N81" i="8"/>
  <c r="B82" i="8"/>
  <c r="K75" i="8"/>
  <c r="W75" i="8" s="1"/>
  <c r="R78" i="8"/>
  <c r="G78" i="8"/>
  <c r="S78" i="8" s="1"/>
  <c r="E80" i="8"/>
  <c r="Q80" i="8" s="1"/>
  <c r="K76" i="8"/>
  <c r="W76" i="8" s="1"/>
  <c r="R79" i="8" l="1"/>
  <c r="G79" i="8"/>
  <c r="A82" i="8"/>
  <c r="N82" i="8"/>
  <c r="B83" i="8"/>
  <c r="H78" i="8"/>
  <c r="T78" i="8" s="1"/>
  <c r="U77" i="8"/>
  <c r="K77" i="8"/>
  <c r="W77" i="8" s="1"/>
  <c r="J77" i="8"/>
  <c r="V77" i="8" s="1"/>
  <c r="F80" i="8"/>
  <c r="R80" i="8" s="1"/>
  <c r="E81" i="8"/>
  <c r="Q81" i="8" s="1"/>
  <c r="G80" i="8" l="1"/>
  <c r="S80" i="8" s="1"/>
  <c r="F81" i="8"/>
  <c r="R81" i="8" s="1"/>
  <c r="G81" i="8"/>
  <c r="S81" i="8" s="1"/>
  <c r="I78" i="8"/>
  <c r="U78" i="8" s="1"/>
  <c r="B84" i="8"/>
  <c r="A83" i="8"/>
  <c r="N83" i="8"/>
  <c r="S79" i="8"/>
  <c r="H79" i="8"/>
  <c r="T79" i="8" s="1"/>
  <c r="E82" i="8"/>
  <c r="Q82" i="8" s="1"/>
  <c r="K78" i="8" l="1"/>
  <c r="W78" i="8" s="1"/>
  <c r="J78" i="8"/>
  <c r="V78" i="8" s="1"/>
  <c r="H80" i="8"/>
  <c r="I80" i="8" s="1"/>
  <c r="U80" i="8" s="1"/>
  <c r="H81" i="8"/>
  <c r="T81" i="8"/>
  <c r="I81" i="8"/>
  <c r="I79" i="8"/>
  <c r="J79" i="8" s="1"/>
  <c r="V79" i="8" s="1"/>
  <c r="F82" i="8"/>
  <c r="E83" i="8"/>
  <c r="Q83" i="8" s="1"/>
  <c r="B85" i="8"/>
  <c r="A84" i="8"/>
  <c r="N84" i="8"/>
  <c r="J80" i="8"/>
  <c r="V80" i="8" s="1"/>
  <c r="T80" i="8" l="1"/>
  <c r="K80" i="8"/>
  <c r="W80" i="8" s="1"/>
  <c r="U81" i="8"/>
  <c r="J81" i="8"/>
  <c r="V81" i="8" s="1"/>
  <c r="R82" i="8"/>
  <c r="E84" i="8"/>
  <c r="Q84" i="8" s="1"/>
  <c r="A85" i="8"/>
  <c r="N85" i="8"/>
  <c r="B86" i="8"/>
  <c r="F83" i="8"/>
  <c r="R83" i="8" s="1"/>
  <c r="U79" i="8"/>
  <c r="K79" i="8"/>
  <c r="W79" i="8" s="1"/>
  <c r="G82" i="8"/>
  <c r="F84" i="8" l="1"/>
  <c r="R84" i="8" s="1"/>
  <c r="E85" i="8"/>
  <c r="Q85" i="8" s="1"/>
  <c r="F85" i="8"/>
  <c r="R85" i="8" s="1"/>
  <c r="G83" i="8"/>
  <c r="S83" i="8" s="1"/>
  <c r="S82" i="8"/>
  <c r="H82" i="8"/>
  <c r="H83" i="8"/>
  <c r="T83" i="8" s="1"/>
  <c r="K81" i="8"/>
  <c r="W81" i="8" s="1"/>
  <c r="N86" i="8"/>
  <c r="B87" i="8"/>
  <c r="A86" i="8"/>
  <c r="G84" i="8"/>
  <c r="S84" i="8" s="1"/>
  <c r="H84" i="8" l="1"/>
  <c r="T84" i="8" s="1"/>
  <c r="H85" i="8"/>
  <c r="T85" i="8" s="1"/>
  <c r="G85" i="8"/>
  <c r="F86" i="8"/>
  <c r="R86" i="8" s="1"/>
  <c r="E86" i="8"/>
  <c r="Q86" i="8" s="1"/>
  <c r="T82" i="8"/>
  <c r="I82" i="8"/>
  <c r="B88" i="8"/>
  <c r="N87" i="8"/>
  <c r="A87" i="8"/>
  <c r="I83" i="8"/>
  <c r="I84" i="8" l="1"/>
  <c r="U84" i="8" s="1"/>
  <c r="B89" i="8"/>
  <c r="N88" i="8"/>
  <c r="A88" i="8"/>
  <c r="U83" i="8"/>
  <c r="I85" i="8"/>
  <c r="J83" i="8"/>
  <c r="V83" i="8" s="1"/>
  <c r="U82" i="8"/>
  <c r="E87" i="8"/>
  <c r="Q87" i="8" s="1"/>
  <c r="G86" i="8"/>
  <c r="S85" i="8"/>
  <c r="J85" i="8"/>
  <c r="V85" i="8" s="1"/>
  <c r="J82" i="8"/>
  <c r="V82" i="8" s="1"/>
  <c r="J84" i="8" l="1"/>
  <c r="V84" i="8" s="1"/>
  <c r="K83" i="8"/>
  <c r="W83" i="8" s="1"/>
  <c r="F87" i="8"/>
  <c r="E88" i="8"/>
  <c r="Q88" i="8" s="1"/>
  <c r="K84" i="8"/>
  <c r="W84" i="8" s="1"/>
  <c r="S86" i="8"/>
  <c r="H86" i="8"/>
  <c r="G87" i="8"/>
  <c r="S87" i="8" s="1"/>
  <c r="K82" i="8"/>
  <c r="W82" i="8" s="1"/>
  <c r="U85" i="8"/>
  <c r="K85" i="8"/>
  <c r="W85" i="8" s="1"/>
  <c r="B90" i="8"/>
  <c r="A89" i="8"/>
  <c r="N89" i="8"/>
  <c r="E89" i="8" l="1"/>
  <c r="Q89" i="8" s="1"/>
  <c r="F89" i="8"/>
  <c r="R89" i="8" s="1"/>
  <c r="F88" i="8"/>
  <c r="N90" i="8"/>
  <c r="B91" i="8"/>
  <c r="A90" i="8"/>
  <c r="T86" i="8"/>
  <c r="I86" i="8"/>
  <c r="R87" i="8"/>
  <c r="H87" i="8"/>
  <c r="T87" i="8" s="1"/>
  <c r="I87" i="8" l="1"/>
  <c r="A91" i="8"/>
  <c r="N91" i="8"/>
  <c r="B92" i="8"/>
  <c r="G89" i="8"/>
  <c r="U86" i="8"/>
  <c r="J86" i="8"/>
  <c r="V86" i="8" s="1"/>
  <c r="R88" i="8"/>
  <c r="G88" i="8"/>
  <c r="E90" i="8"/>
  <c r="Q90" i="8" s="1"/>
  <c r="K86" i="8" l="1"/>
  <c r="W86" i="8" s="1"/>
  <c r="F90" i="8"/>
  <c r="R90" i="8" s="1"/>
  <c r="U87" i="8"/>
  <c r="J87" i="8"/>
  <c r="H88" i="8"/>
  <c r="T88" i="8" s="1"/>
  <c r="A92" i="8"/>
  <c r="B93" i="8"/>
  <c r="N92" i="8"/>
  <c r="S88" i="8"/>
  <c r="S89" i="8"/>
  <c r="H89" i="8"/>
  <c r="E91" i="8"/>
  <c r="Q91" i="8" s="1"/>
  <c r="F91" i="8"/>
  <c r="R91" i="8" s="1"/>
  <c r="I88" i="8"/>
  <c r="U88" i="8" s="1"/>
  <c r="G90" i="8" l="1"/>
  <c r="G91" i="8"/>
  <c r="S91" i="8" s="1"/>
  <c r="V87" i="8"/>
  <c r="K87" i="8"/>
  <c r="W87" i="8" s="1"/>
  <c r="T89" i="8"/>
  <c r="I89" i="8"/>
  <c r="J88" i="8"/>
  <c r="V88" i="8" s="1"/>
  <c r="E92" i="8"/>
  <c r="Q92" i="8" s="1"/>
  <c r="N93" i="8"/>
  <c r="B94" i="8"/>
  <c r="A93" i="8"/>
  <c r="K88" i="8" l="1"/>
  <c r="W88" i="8" s="1"/>
  <c r="H91" i="8"/>
  <c r="S90" i="8"/>
  <c r="H90" i="8"/>
  <c r="F92" i="8"/>
  <c r="A94" i="8"/>
  <c r="N94" i="8"/>
  <c r="B95" i="8"/>
  <c r="F93" i="8"/>
  <c r="R93" i="8" s="1"/>
  <c r="E93" i="8"/>
  <c r="Q93" i="8" s="1"/>
  <c r="G92" i="8"/>
  <c r="S92" i="8" s="1"/>
  <c r="U89" i="8"/>
  <c r="J89" i="8"/>
  <c r="T90" i="8" l="1"/>
  <c r="T91" i="8"/>
  <c r="I91" i="8"/>
  <c r="I90" i="8"/>
  <c r="U90" i="8" s="1"/>
  <c r="G93" i="8"/>
  <c r="E94" i="8"/>
  <c r="Q94" i="8" s="1"/>
  <c r="F94" i="8"/>
  <c r="H92" i="8"/>
  <c r="T92" i="8" s="1"/>
  <c r="H93" i="8"/>
  <c r="T93" i="8" s="1"/>
  <c r="N95" i="8"/>
  <c r="A95" i="8"/>
  <c r="B96" i="8"/>
  <c r="R92" i="8"/>
  <c r="V89" i="8"/>
  <c r="K89" i="8"/>
  <c r="W89" i="8" s="1"/>
  <c r="U91" i="8" l="1"/>
  <c r="J90" i="8"/>
  <c r="V90" i="8" s="1"/>
  <c r="I92" i="8"/>
  <c r="U92" i="8" s="1"/>
  <c r="J91" i="8"/>
  <c r="V91" i="8" s="1"/>
  <c r="J92" i="8"/>
  <c r="V92" i="8" s="1"/>
  <c r="B97" i="8"/>
  <c r="N96" i="8"/>
  <c r="A96" i="8"/>
  <c r="E95" i="8"/>
  <c r="Q95" i="8" s="1"/>
  <c r="S93" i="8"/>
  <c r="I93" i="8"/>
  <c r="G94" i="8"/>
  <c r="R94" i="8"/>
  <c r="F95" i="8" l="1"/>
  <c r="R95" i="8" s="1"/>
  <c r="K91" i="8"/>
  <c r="W91" i="8" s="1"/>
  <c r="K90" i="8"/>
  <c r="W90" i="8" s="1"/>
  <c r="U93" i="8"/>
  <c r="J93" i="8"/>
  <c r="V93" i="8" s="1"/>
  <c r="G95" i="8"/>
  <c r="S95" i="8" s="1"/>
  <c r="F96" i="8"/>
  <c r="R96" i="8" s="1"/>
  <c r="E96" i="8"/>
  <c r="Q96" i="8" s="1"/>
  <c r="H95" i="8"/>
  <c r="T95" i="8" s="1"/>
  <c r="S94" i="8"/>
  <c r="N97" i="8"/>
  <c r="A97" i="8"/>
  <c r="B98" i="8"/>
  <c r="K92" i="8"/>
  <c r="W92" i="8" s="1"/>
  <c r="I94" i="8"/>
  <c r="U94" i="8" s="1"/>
  <c r="H94" i="8"/>
  <c r="T94" i="8" s="1"/>
  <c r="K93" i="8" l="1"/>
  <c r="W93" i="8" s="1"/>
  <c r="I95" i="8"/>
  <c r="U95" i="8" s="1"/>
  <c r="E97" i="8"/>
  <c r="Q97" i="8" s="1"/>
  <c r="J95" i="8"/>
  <c r="V95" i="8" s="1"/>
  <c r="G96" i="8"/>
  <c r="A98" i="8"/>
  <c r="N98" i="8"/>
  <c r="B99" i="8"/>
  <c r="J94" i="8"/>
  <c r="V94" i="8" s="1"/>
  <c r="S96" i="8" l="1"/>
  <c r="H96" i="8"/>
  <c r="T96" i="8" s="1"/>
  <c r="F97" i="8"/>
  <c r="R97" i="8" s="1"/>
  <c r="A99" i="8"/>
  <c r="N99" i="8"/>
  <c r="B100" i="8"/>
  <c r="K95" i="8"/>
  <c r="W95" i="8" s="1"/>
  <c r="E98" i="8"/>
  <c r="Q98" i="8" s="1"/>
  <c r="K94" i="8"/>
  <c r="W94" i="8" s="1"/>
  <c r="A100" i="8" l="1"/>
  <c r="N100" i="8"/>
  <c r="B101" i="8"/>
  <c r="G97" i="8"/>
  <c r="E99" i="8"/>
  <c r="Q99" i="8" s="1"/>
  <c r="F99" i="8"/>
  <c r="R99" i="8" s="1"/>
  <c r="F98" i="8"/>
  <c r="R98" i="8" s="1"/>
  <c r="I96" i="8"/>
  <c r="U96" i="8" s="1"/>
  <c r="G98" i="8" l="1"/>
  <c r="S98" i="8" s="1"/>
  <c r="A101" i="8"/>
  <c r="B102" i="8"/>
  <c r="N101" i="8"/>
  <c r="H98" i="8"/>
  <c r="S97" i="8"/>
  <c r="H97" i="8"/>
  <c r="T97" i="8" s="1"/>
  <c r="E100" i="8"/>
  <c r="Q100" i="8" s="1"/>
  <c r="J96" i="8"/>
  <c r="V96" i="8" s="1"/>
  <c r="G99" i="8"/>
  <c r="S99" i="8" s="1"/>
  <c r="F100" i="8" l="1"/>
  <c r="R100" i="8" s="1"/>
  <c r="H99" i="8"/>
  <c r="T99" i="8" s="1"/>
  <c r="A102" i="8"/>
  <c r="N102" i="8"/>
  <c r="B103" i="8"/>
  <c r="I99" i="8"/>
  <c r="U99" i="8" s="1"/>
  <c r="T98" i="8"/>
  <c r="I98" i="8"/>
  <c r="E101" i="8"/>
  <c r="Q101" i="8" s="1"/>
  <c r="I97" i="8"/>
  <c r="K96" i="8"/>
  <c r="W96" i="8" s="1"/>
  <c r="F101" i="8" l="1"/>
  <c r="R101" i="8" s="1"/>
  <c r="G100" i="8"/>
  <c r="G101" i="8"/>
  <c r="S101" i="8" s="1"/>
  <c r="H100" i="8"/>
  <c r="T100" i="8" s="1"/>
  <c r="J99" i="8"/>
  <c r="V99" i="8" s="1"/>
  <c r="U97" i="8"/>
  <c r="J97" i="8"/>
  <c r="V97" i="8" s="1"/>
  <c r="S100" i="8"/>
  <c r="E102" i="8"/>
  <c r="Q102" i="8" s="1"/>
  <c r="U98" i="8"/>
  <c r="J98" i="8"/>
  <c r="V98" i="8" s="1"/>
  <c r="B104" i="8"/>
  <c r="N103" i="8"/>
  <c r="A103" i="8"/>
  <c r="I100" i="8"/>
  <c r="U100" i="8" s="1"/>
  <c r="J100" i="8" l="1"/>
  <c r="V100" i="8" s="1"/>
  <c r="K99" i="8"/>
  <c r="W99" i="8" s="1"/>
  <c r="H101" i="8"/>
  <c r="T101" i="8" s="1"/>
  <c r="A104" i="8"/>
  <c r="B105" i="8"/>
  <c r="N104" i="8"/>
  <c r="E103" i="8"/>
  <c r="Q103" i="8" s="1"/>
  <c r="K98" i="8"/>
  <c r="W98" i="8" s="1"/>
  <c r="F102" i="8"/>
  <c r="K97" i="8"/>
  <c r="W97" i="8" s="1"/>
  <c r="K100" i="8"/>
  <c r="W100" i="8" s="1"/>
  <c r="I101" i="8" l="1"/>
  <c r="F103" i="8"/>
  <c r="R103" i="8" s="1"/>
  <c r="E104" i="8"/>
  <c r="Q104" i="8" s="1"/>
  <c r="G103" i="8"/>
  <c r="S103" i="8" s="1"/>
  <c r="N105" i="8"/>
  <c r="B106" i="8"/>
  <c r="A105" i="8"/>
  <c r="R102" i="8"/>
  <c r="G102" i="8"/>
  <c r="S102" i="8" s="1"/>
  <c r="U101" i="8" l="1"/>
  <c r="J101" i="8"/>
  <c r="H103" i="8"/>
  <c r="E105" i="8"/>
  <c r="Q105" i="8" s="1"/>
  <c r="F105" i="8"/>
  <c r="R105" i="8" s="1"/>
  <c r="N106" i="8"/>
  <c r="A106" i="8"/>
  <c r="B107" i="8"/>
  <c r="H102" i="8"/>
  <c r="F104" i="8"/>
  <c r="T103" i="8" l="1"/>
  <c r="I103" i="8"/>
  <c r="V101" i="8"/>
  <c r="K101" i="8"/>
  <c r="W101" i="8" s="1"/>
  <c r="R104" i="8"/>
  <c r="G104" i="8"/>
  <c r="S104" i="8" s="1"/>
  <c r="A107" i="8"/>
  <c r="B108" i="8"/>
  <c r="N107" i="8"/>
  <c r="G105" i="8"/>
  <c r="T102" i="8"/>
  <c r="I102" i="8"/>
  <c r="U102" i="8" s="1"/>
  <c r="E106" i="8"/>
  <c r="Q106" i="8" s="1"/>
  <c r="U103" i="8" l="1"/>
  <c r="J103" i="8"/>
  <c r="F106" i="8"/>
  <c r="A108" i="8"/>
  <c r="B109" i="8"/>
  <c r="N108" i="8"/>
  <c r="H104" i="8"/>
  <c r="S105" i="8"/>
  <c r="H105" i="8"/>
  <c r="E107" i="8"/>
  <c r="Q107" i="8" s="1"/>
  <c r="J102" i="8"/>
  <c r="F107" i="8" l="1"/>
  <c r="V103" i="8"/>
  <c r="K103" i="8"/>
  <c r="W103" i="8" s="1"/>
  <c r="V102" i="8"/>
  <c r="K102" i="8"/>
  <c r="W102" i="8" s="1"/>
  <c r="T104" i="8"/>
  <c r="I104" i="8"/>
  <c r="E108" i="8"/>
  <c r="Q108" i="8" s="1"/>
  <c r="R106" i="8"/>
  <c r="T105" i="8"/>
  <c r="I105" i="8"/>
  <c r="U105" i="8" s="1"/>
  <c r="N109" i="8"/>
  <c r="A109" i="8"/>
  <c r="B110" i="8"/>
  <c r="G106" i="8"/>
  <c r="S106" i="8" s="1"/>
  <c r="R107" i="8" l="1"/>
  <c r="G107" i="8"/>
  <c r="S107" i="8" s="1"/>
  <c r="H107" i="8"/>
  <c r="T107" i="8" s="1"/>
  <c r="E109" i="8"/>
  <c r="Q109" i="8" s="1"/>
  <c r="B111" i="8"/>
  <c r="A110" i="8"/>
  <c r="N110" i="8"/>
  <c r="H106" i="8"/>
  <c r="J105" i="8"/>
  <c r="V105" i="8" s="1"/>
  <c r="F108" i="8"/>
  <c r="J104" i="8"/>
  <c r="U104" i="8"/>
  <c r="F109" i="8" l="1"/>
  <c r="R109" i="8" s="1"/>
  <c r="G109" i="8"/>
  <c r="S109" i="8" s="1"/>
  <c r="I107" i="8"/>
  <c r="U107" i="8" s="1"/>
  <c r="J107" i="8"/>
  <c r="V107" i="8" s="1"/>
  <c r="R108" i="8"/>
  <c r="E110" i="8"/>
  <c r="Q110" i="8" s="1"/>
  <c r="G108" i="8"/>
  <c r="S108" i="8" s="1"/>
  <c r="T106" i="8"/>
  <c r="I106" i="8"/>
  <c r="B112" i="8"/>
  <c r="N111" i="8"/>
  <c r="A111" i="8"/>
  <c r="H109" i="8"/>
  <c r="T109" i="8" s="1"/>
  <c r="V104" i="8"/>
  <c r="K104" i="8"/>
  <c r="W104" i="8" s="1"/>
  <c r="K105" i="8"/>
  <c r="W105" i="8" s="1"/>
  <c r="F110" i="8" l="1"/>
  <c r="R110" i="8" s="1"/>
  <c r="K107" i="8"/>
  <c r="W107" i="8" s="1"/>
  <c r="H108" i="8"/>
  <c r="T108" i="8" s="1"/>
  <c r="A112" i="8"/>
  <c r="B113" i="8"/>
  <c r="N112" i="8"/>
  <c r="I109" i="8"/>
  <c r="E111" i="8"/>
  <c r="Q111" i="8" s="1"/>
  <c r="U106" i="8"/>
  <c r="J106" i="8"/>
  <c r="V106" i="8" s="1"/>
  <c r="K106" i="8" l="1"/>
  <c r="W106" i="8" s="1"/>
  <c r="G110" i="8"/>
  <c r="F111" i="8"/>
  <c r="E112" i="8"/>
  <c r="Q112" i="8" s="1"/>
  <c r="F112" i="8"/>
  <c r="R112" i="8" s="1"/>
  <c r="A113" i="8"/>
  <c r="N113" i="8"/>
  <c r="B114" i="8"/>
  <c r="U109" i="8"/>
  <c r="J109" i="8"/>
  <c r="V109" i="8" s="1"/>
  <c r="I108" i="8"/>
  <c r="S110" i="8" l="1"/>
  <c r="H110" i="8"/>
  <c r="A114" i="8"/>
  <c r="N114" i="8"/>
  <c r="B115" i="8"/>
  <c r="U108" i="8"/>
  <c r="J108" i="8"/>
  <c r="V108" i="8" s="1"/>
  <c r="K109" i="8"/>
  <c r="W109" i="8" s="1"/>
  <c r="E113" i="8"/>
  <c r="Q113" i="8" s="1"/>
  <c r="F113" i="8"/>
  <c r="R113" i="8" s="1"/>
  <c r="R111" i="8"/>
  <c r="G111" i="8"/>
  <c r="G112" i="8"/>
  <c r="S112" i="8" s="1"/>
  <c r="T110" i="8" l="1"/>
  <c r="I110" i="8"/>
  <c r="U110" i="8" s="1"/>
  <c r="A115" i="8"/>
  <c r="B116" i="8"/>
  <c r="N115" i="8"/>
  <c r="H112" i="8"/>
  <c r="T112" i="8" s="1"/>
  <c r="G113" i="8"/>
  <c r="S111" i="8"/>
  <c r="H111" i="8"/>
  <c r="K108" i="8"/>
  <c r="W108" i="8" s="1"/>
  <c r="E114" i="8"/>
  <c r="Q114" i="8" s="1"/>
  <c r="J110" i="8" l="1"/>
  <c r="S113" i="8"/>
  <c r="I112" i="8"/>
  <c r="U112" i="8" s="1"/>
  <c r="E115" i="8"/>
  <c r="Q115" i="8" s="1"/>
  <c r="F114" i="8"/>
  <c r="R114" i="8" s="1"/>
  <c r="T111" i="8"/>
  <c r="I111" i="8"/>
  <c r="U111" i="8" s="1"/>
  <c r="H113" i="8"/>
  <c r="T113" i="8" s="1"/>
  <c r="N116" i="8"/>
  <c r="A116" i="8"/>
  <c r="B117" i="8"/>
  <c r="V110" i="8" l="1"/>
  <c r="K110" i="8"/>
  <c r="W110" i="8" s="1"/>
  <c r="I113" i="8"/>
  <c r="U113" i="8" s="1"/>
  <c r="G114" i="8"/>
  <c r="S114" i="8" s="1"/>
  <c r="J112" i="8"/>
  <c r="V112" i="8" s="1"/>
  <c r="J111" i="8"/>
  <c r="H114" i="8"/>
  <c r="T114" i="8" s="1"/>
  <c r="E116" i="8"/>
  <c r="Q116" i="8" s="1"/>
  <c r="F116" i="8"/>
  <c r="R116" i="8" s="1"/>
  <c r="F115" i="8"/>
  <c r="J113" i="8"/>
  <c r="V113" i="8" s="1"/>
  <c r="N117" i="8"/>
  <c r="B118" i="8"/>
  <c r="A117" i="8"/>
  <c r="K113" i="8" l="1"/>
  <c r="W113" i="8" s="1"/>
  <c r="R115" i="8"/>
  <c r="G115" i="8"/>
  <c r="S115" i="8" s="1"/>
  <c r="A118" i="8"/>
  <c r="B119" i="8"/>
  <c r="N118" i="8"/>
  <c r="V111" i="8"/>
  <c r="K111" i="8"/>
  <c r="W111" i="8" s="1"/>
  <c r="E117" i="8"/>
  <c r="Q117" i="8" s="1"/>
  <c r="I114" i="8"/>
  <c r="U114" i="8" s="1"/>
  <c r="G116" i="8"/>
  <c r="K112" i="8"/>
  <c r="W112" i="8" s="1"/>
  <c r="H115" i="8" l="1"/>
  <c r="T115" i="8" s="1"/>
  <c r="H116" i="8"/>
  <c r="T116" i="8" s="1"/>
  <c r="S116" i="8"/>
  <c r="J114" i="8"/>
  <c r="V114" i="8" s="1"/>
  <c r="B120" i="8"/>
  <c r="A119" i="8"/>
  <c r="N119" i="8"/>
  <c r="K114" i="8"/>
  <c r="W114" i="8" s="1"/>
  <c r="I116" i="8"/>
  <c r="U116" i="8" s="1"/>
  <c r="F117" i="8"/>
  <c r="R117" i="8" s="1"/>
  <c r="E118" i="8"/>
  <c r="Q118" i="8" s="1"/>
  <c r="I115" i="8" l="1"/>
  <c r="U115" i="8" s="1"/>
  <c r="J115" i="8"/>
  <c r="V115" i="8" s="1"/>
  <c r="J116" i="8"/>
  <c r="V116" i="8" s="1"/>
  <c r="K116" i="8"/>
  <c r="W116" i="8" s="1"/>
  <c r="B121" i="8"/>
  <c r="A120" i="8"/>
  <c r="N120" i="8"/>
  <c r="F118" i="8"/>
  <c r="G118" i="8" s="1"/>
  <c r="S118" i="8" s="1"/>
  <c r="G117" i="8"/>
  <c r="E119" i="8"/>
  <c r="Q119" i="8" s="1"/>
  <c r="I117" i="8" l="1"/>
  <c r="U117" i="8" s="1"/>
  <c r="H117" i="8"/>
  <c r="T117" i="8" s="1"/>
  <c r="K115" i="8"/>
  <c r="W115" i="8" s="1"/>
  <c r="F119" i="8"/>
  <c r="S117" i="8"/>
  <c r="R118" i="8"/>
  <c r="E120" i="8"/>
  <c r="Q120" i="8" s="1"/>
  <c r="H118" i="8"/>
  <c r="T118" i="8" s="1"/>
  <c r="N121" i="8"/>
  <c r="B122" i="8"/>
  <c r="A121" i="8"/>
  <c r="J117" i="8" l="1"/>
  <c r="V117" i="8" s="1"/>
  <c r="F120" i="8"/>
  <c r="K117" i="8"/>
  <c r="W117" i="8" s="1"/>
  <c r="E121" i="8"/>
  <c r="Q121" i="8" s="1"/>
  <c r="I118" i="8"/>
  <c r="U118" i="8" s="1"/>
  <c r="G120" i="8"/>
  <c r="S120" i="8" s="1"/>
  <c r="R119" i="8"/>
  <c r="G119" i="8"/>
  <c r="A122" i="8"/>
  <c r="B123" i="8"/>
  <c r="N122" i="8"/>
  <c r="E122" i="8" l="1"/>
  <c r="Q122" i="8" s="1"/>
  <c r="S119" i="8"/>
  <c r="H119" i="8"/>
  <c r="T119" i="8" s="1"/>
  <c r="J118" i="8"/>
  <c r="R120" i="8"/>
  <c r="B124" i="8"/>
  <c r="N123" i="8"/>
  <c r="A123" i="8"/>
  <c r="F121" i="8"/>
  <c r="H120" i="8"/>
  <c r="T120" i="8" s="1"/>
  <c r="I120" i="8" l="1"/>
  <c r="E123" i="8"/>
  <c r="Q123" i="8" s="1"/>
  <c r="F122" i="8"/>
  <c r="V118" i="8"/>
  <c r="K118" i="8"/>
  <c r="W118" i="8" s="1"/>
  <c r="R121" i="8"/>
  <c r="G121" i="8"/>
  <c r="A124" i="8"/>
  <c r="N124" i="8"/>
  <c r="B125" i="8"/>
  <c r="I119" i="8"/>
  <c r="U119" i="8" s="1"/>
  <c r="E124" i="8" l="1"/>
  <c r="Q124" i="8" s="1"/>
  <c r="H121" i="8"/>
  <c r="T121" i="8" s="1"/>
  <c r="R122" i="8"/>
  <c r="G122" i="8"/>
  <c r="H122" i="8" s="1"/>
  <c r="T122" i="8" s="1"/>
  <c r="F123" i="8"/>
  <c r="S121" i="8"/>
  <c r="B126" i="8"/>
  <c r="A125" i="8"/>
  <c r="N125" i="8"/>
  <c r="J119" i="8"/>
  <c r="V119" i="8" s="1"/>
  <c r="U120" i="8"/>
  <c r="J120" i="8"/>
  <c r="A126" i="8" l="1"/>
  <c r="N126" i="8"/>
  <c r="B127" i="8"/>
  <c r="R123" i="8"/>
  <c r="G123" i="8"/>
  <c r="F124" i="8"/>
  <c r="S122" i="8"/>
  <c r="I122" i="8"/>
  <c r="U122" i="8" s="1"/>
  <c r="K119" i="8"/>
  <c r="W119" i="8" s="1"/>
  <c r="E125" i="8"/>
  <c r="Q125" i="8" s="1"/>
  <c r="F125" i="8"/>
  <c r="R125" i="8" s="1"/>
  <c r="V120" i="8"/>
  <c r="K120" i="8"/>
  <c r="W120" i="8" s="1"/>
  <c r="I121" i="8"/>
  <c r="J122" i="8" l="1"/>
  <c r="V122" i="8" s="1"/>
  <c r="A127" i="8"/>
  <c r="B128" i="8"/>
  <c r="N127" i="8"/>
  <c r="U121" i="8"/>
  <c r="J121" i="8"/>
  <c r="V121" i="8" s="1"/>
  <c r="G125" i="8"/>
  <c r="S125" i="8" s="1"/>
  <c r="R124" i="8"/>
  <c r="G124" i="8"/>
  <c r="S123" i="8"/>
  <c r="H123" i="8"/>
  <c r="E126" i="8"/>
  <c r="Q126" i="8" s="1"/>
  <c r="F126" i="8"/>
  <c r="R126" i="8" s="1"/>
  <c r="H125" i="8" l="1"/>
  <c r="T125" i="8" s="1"/>
  <c r="T123" i="8"/>
  <c r="I123" i="8"/>
  <c r="U123" i="8" s="1"/>
  <c r="S124" i="8"/>
  <c r="H124" i="8"/>
  <c r="K121" i="8"/>
  <c r="W121" i="8" s="1"/>
  <c r="A128" i="8"/>
  <c r="N128" i="8"/>
  <c r="B129" i="8"/>
  <c r="K122" i="8"/>
  <c r="W122" i="8" s="1"/>
  <c r="H126" i="8"/>
  <c r="T126" i="8" s="1"/>
  <c r="G126" i="8"/>
  <c r="E127" i="8"/>
  <c r="Q127" i="8" s="1"/>
  <c r="F127" i="8" l="1"/>
  <c r="R127" i="8" s="1"/>
  <c r="I125" i="8"/>
  <c r="J123" i="8"/>
  <c r="V123" i="8" s="1"/>
  <c r="A129" i="8"/>
  <c r="B130" i="8"/>
  <c r="N129" i="8"/>
  <c r="T124" i="8"/>
  <c r="J125" i="8"/>
  <c r="U125" i="8"/>
  <c r="I124" i="8"/>
  <c r="U124" i="8" s="1"/>
  <c r="S126" i="8"/>
  <c r="I126" i="8"/>
  <c r="U126" i="8" s="1"/>
  <c r="J126" i="8"/>
  <c r="V126" i="8" s="1"/>
  <c r="E128" i="8"/>
  <c r="Q128" i="8" s="1"/>
  <c r="G127" i="8"/>
  <c r="S127" i="8" s="1"/>
  <c r="K123" i="8"/>
  <c r="W123" i="8" s="1"/>
  <c r="J124" i="8" l="1"/>
  <c r="V124" i="8" s="1"/>
  <c r="E129" i="8"/>
  <c r="Q129" i="8" s="1"/>
  <c r="H127" i="8"/>
  <c r="T127" i="8" s="1"/>
  <c r="N130" i="8"/>
  <c r="B131" i="8"/>
  <c r="A130" i="8"/>
  <c r="K124" i="8"/>
  <c r="W124" i="8" s="1"/>
  <c r="K126" i="8"/>
  <c r="W126" i="8" s="1"/>
  <c r="F128" i="8"/>
  <c r="R128" i="8" s="1"/>
  <c r="V125" i="8"/>
  <c r="K125" i="8"/>
  <c r="W125" i="8" s="1"/>
  <c r="I127" i="8" l="1"/>
  <c r="U127" i="8" s="1"/>
  <c r="E130" i="8"/>
  <c r="Q130" i="8" s="1"/>
  <c r="F130" i="8"/>
  <c r="R130" i="8" s="1"/>
  <c r="B132" i="8"/>
  <c r="N131" i="8"/>
  <c r="A131" i="8"/>
  <c r="G128" i="8"/>
  <c r="F129" i="8"/>
  <c r="G130" i="8" l="1"/>
  <c r="S130" i="8" s="1"/>
  <c r="J127" i="8"/>
  <c r="S128" i="8"/>
  <c r="E131" i="8"/>
  <c r="Q131" i="8" s="1"/>
  <c r="F131" i="8"/>
  <c r="R131" i="8" s="1"/>
  <c r="V127" i="8"/>
  <c r="K127" i="8"/>
  <c r="W127" i="8" s="1"/>
  <c r="H128" i="8"/>
  <c r="R129" i="8"/>
  <c r="G129" i="8"/>
  <c r="N132" i="8"/>
  <c r="B133" i="8"/>
  <c r="A132" i="8"/>
  <c r="H130" i="8"/>
  <c r="I130" i="8" s="1"/>
  <c r="U130" i="8" s="1"/>
  <c r="T130" i="8" l="1"/>
  <c r="H129" i="8"/>
  <c r="S129" i="8"/>
  <c r="T128" i="8"/>
  <c r="I128" i="8"/>
  <c r="N133" i="8"/>
  <c r="A133" i="8"/>
  <c r="B134" i="8"/>
  <c r="J130" i="8"/>
  <c r="V130" i="8" s="1"/>
  <c r="F132" i="8"/>
  <c r="R132" i="8" s="1"/>
  <c r="E132" i="8"/>
  <c r="Q132" i="8" s="1"/>
  <c r="G131" i="8"/>
  <c r="S131" i="8" s="1"/>
  <c r="H131" i="8" l="1"/>
  <c r="T131" i="8" s="1"/>
  <c r="U128" i="8"/>
  <c r="K128" i="8"/>
  <c r="W128" i="8" s="1"/>
  <c r="J128" i="8"/>
  <c r="V128" i="8" s="1"/>
  <c r="K130" i="8"/>
  <c r="W130" i="8" s="1"/>
  <c r="E133" i="8"/>
  <c r="Q133" i="8" s="1"/>
  <c r="T129" i="8"/>
  <c r="I129" i="8"/>
  <c r="G132" i="8"/>
  <c r="S132" i="8" s="1"/>
  <c r="B135" i="8"/>
  <c r="N134" i="8"/>
  <c r="A134" i="8"/>
  <c r="I131" i="8"/>
  <c r="A135" i="8" l="1"/>
  <c r="B136" i="8"/>
  <c r="N135" i="8"/>
  <c r="F133" i="8"/>
  <c r="U131" i="8"/>
  <c r="J131" i="8"/>
  <c r="V131" i="8" s="1"/>
  <c r="H132" i="8"/>
  <c r="I132" i="8" s="1"/>
  <c r="U132" i="8" s="1"/>
  <c r="U129" i="8"/>
  <c r="J129" i="8"/>
  <c r="E134" i="8"/>
  <c r="Q134" i="8" s="1"/>
  <c r="F134" i="8"/>
  <c r="R134" i="8" s="1"/>
  <c r="G133" i="8"/>
  <c r="S133" i="8" s="1"/>
  <c r="K131" i="8" l="1"/>
  <c r="W131" i="8" s="1"/>
  <c r="H133" i="8"/>
  <c r="T132" i="8"/>
  <c r="G134" i="8"/>
  <c r="N136" i="8"/>
  <c r="B137" i="8"/>
  <c r="A136" i="8"/>
  <c r="H134" i="8"/>
  <c r="T134" i="8" s="1"/>
  <c r="V129" i="8"/>
  <c r="K129" i="8"/>
  <c r="W129" i="8" s="1"/>
  <c r="J132" i="8"/>
  <c r="V132" i="8" s="1"/>
  <c r="R133" i="8"/>
  <c r="I133" i="8"/>
  <c r="U133" i="8" s="1"/>
  <c r="E135" i="8"/>
  <c r="Q135" i="8" s="1"/>
  <c r="F135" i="8"/>
  <c r="R135" i="8" s="1"/>
  <c r="G135" i="8" l="1"/>
  <c r="S135" i="8" s="1"/>
  <c r="I134" i="8"/>
  <c r="U134" i="8" s="1"/>
  <c r="J134" i="8"/>
  <c r="V134" i="8" s="1"/>
  <c r="E136" i="8"/>
  <c r="Q136" i="8" s="1"/>
  <c r="T133" i="8"/>
  <c r="J133" i="8"/>
  <c r="S134" i="8"/>
  <c r="B138" i="8"/>
  <c r="N137" i="8"/>
  <c r="A137" i="8"/>
  <c r="K132" i="8"/>
  <c r="W132" i="8" s="1"/>
  <c r="H135" i="8" l="1"/>
  <c r="I135" i="8" s="1"/>
  <c r="U135" i="8" s="1"/>
  <c r="K134" i="8"/>
  <c r="W134" i="8" s="1"/>
  <c r="A138" i="8"/>
  <c r="N138" i="8"/>
  <c r="B139" i="8"/>
  <c r="E137" i="8"/>
  <c r="Q137" i="8" s="1"/>
  <c r="V133" i="8"/>
  <c r="K133" i="8"/>
  <c r="W133" i="8" s="1"/>
  <c r="F136" i="8"/>
  <c r="R136" i="8" s="1"/>
  <c r="J135" i="8" l="1"/>
  <c r="V135" i="8" s="1"/>
  <c r="T135" i="8"/>
  <c r="F137" i="8"/>
  <c r="R137" i="8" s="1"/>
  <c r="N139" i="8"/>
  <c r="A139" i="8"/>
  <c r="B140" i="8"/>
  <c r="G136" i="8"/>
  <c r="S136" i="8" s="1"/>
  <c r="E138" i="8"/>
  <c r="Q138" i="8" s="1"/>
  <c r="G137" i="8" l="1"/>
  <c r="S137" i="8" s="1"/>
  <c r="H136" i="8"/>
  <c r="T136" i="8" s="1"/>
  <c r="K135" i="8"/>
  <c r="W135" i="8" s="1"/>
  <c r="F138" i="8"/>
  <c r="R138" i="8" s="1"/>
  <c r="I136" i="8"/>
  <c r="N140" i="8"/>
  <c r="A140" i="8"/>
  <c r="B141" i="8"/>
  <c r="E139" i="8"/>
  <c r="Q139" i="8" s="1"/>
  <c r="G138" i="8"/>
  <c r="S138" i="8" s="1"/>
  <c r="H137" i="8"/>
  <c r="T137" i="8" s="1"/>
  <c r="F139" i="8" l="1"/>
  <c r="R139" i="8" s="1"/>
  <c r="I137" i="8"/>
  <c r="U137" i="8" s="1"/>
  <c r="B142" i="8"/>
  <c r="A141" i="8"/>
  <c r="N141" i="8"/>
  <c r="U136" i="8"/>
  <c r="J136" i="8"/>
  <c r="V136" i="8" s="1"/>
  <c r="E140" i="8"/>
  <c r="Q140" i="8" s="1"/>
  <c r="F140" i="8"/>
  <c r="R140" i="8" s="1"/>
  <c r="H138" i="8"/>
  <c r="T138" i="8" s="1"/>
  <c r="G139" i="8" l="1"/>
  <c r="S139" i="8" s="1"/>
  <c r="J137" i="8"/>
  <c r="E141" i="8"/>
  <c r="Q141" i="8" s="1"/>
  <c r="G140" i="8"/>
  <c r="K136" i="8"/>
  <c r="W136" i="8" s="1"/>
  <c r="B143" i="8"/>
  <c r="A142" i="8"/>
  <c r="N142" i="8"/>
  <c r="I138" i="8"/>
  <c r="U138" i="8" s="1"/>
  <c r="J138" i="8" l="1"/>
  <c r="F141" i="8"/>
  <c r="R141" i="8" s="1"/>
  <c r="H139" i="8"/>
  <c r="V137" i="8"/>
  <c r="K137" i="8"/>
  <c r="W137" i="8" s="1"/>
  <c r="T139" i="8"/>
  <c r="S140" i="8"/>
  <c r="H140" i="8"/>
  <c r="I139" i="8"/>
  <c r="U139" i="8" s="1"/>
  <c r="A143" i="8"/>
  <c r="B144" i="8"/>
  <c r="N143" i="8"/>
  <c r="E142" i="8"/>
  <c r="Q142" i="8" s="1"/>
  <c r="F142" i="8"/>
  <c r="R142" i="8" s="1"/>
  <c r="J139" i="8"/>
  <c r="V139" i="8" s="1"/>
  <c r="K139" i="8" l="1"/>
  <c r="W139" i="8" s="1"/>
  <c r="V138" i="8"/>
  <c r="K138" i="8"/>
  <c r="W138" i="8" s="1"/>
  <c r="G141" i="8"/>
  <c r="S141" i="8" s="1"/>
  <c r="G142" i="8"/>
  <c r="H142" i="8" s="1"/>
  <c r="T142" i="8" s="1"/>
  <c r="T140" i="8"/>
  <c r="I140" i="8"/>
  <c r="U140" i="8" s="1"/>
  <c r="A144" i="8"/>
  <c r="B145" i="8"/>
  <c r="N144" i="8"/>
  <c r="E143" i="8"/>
  <c r="Q143" i="8" s="1"/>
  <c r="F143" i="8"/>
  <c r="R143" i="8" s="1"/>
  <c r="J140" i="8"/>
  <c r="V140" i="8" s="1"/>
  <c r="H141" i="8" l="1"/>
  <c r="N145" i="8"/>
  <c r="A145" i="8"/>
  <c r="B146" i="8"/>
  <c r="E144" i="8"/>
  <c r="Q144" i="8" s="1"/>
  <c r="K140" i="8"/>
  <c r="W140" i="8" s="1"/>
  <c r="G143" i="8"/>
  <c r="S143" i="8" s="1"/>
  <c r="I142" i="8"/>
  <c r="U142" i="8" s="1"/>
  <c r="S142" i="8"/>
  <c r="J142" i="8"/>
  <c r="V142" i="8" s="1"/>
  <c r="T141" i="8" l="1"/>
  <c r="I141" i="8"/>
  <c r="U141" i="8" s="1"/>
  <c r="N146" i="8"/>
  <c r="B147" i="8"/>
  <c r="A146" i="8"/>
  <c r="E145" i="8"/>
  <c r="Q145" i="8" s="1"/>
  <c r="K142" i="8"/>
  <c r="W142" i="8" s="1"/>
  <c r="F144" i="8"/>
  <c r="H143" i="8"/>
  <c r="I143" i="8" s="1"/>
  <c r="U143" i="8" s="1"/>
  <c r="J141" i="8" l="1"/>
  <c r="E146" i="8"/>
  <c r="Q146" i="8" s="1"/>
  <c r="T143" i="8"/>
  <c r="N147" i="8"/>
  <c r="B148" i="8"/>
  <c r="A147" i="8"/>
  <c r="J143" i="8"/>
  <c r="V143" i="8" s="1"/>
  <c r="R144" i="8"/>
  <c r="G144" i="8"/>
  <c r="F145" i="8"/>
  <c r="V141" i="8" l="1"/>
  <c r="K141" i="8"/>
  <c r="W141" i="8" s="1"/>
  <c r="K143" i="8"/>
  <c r="W143" i="8" s="1"/>
  <c r="S144" i="8"/>
  <c r="R145" i="8"/>
  <c r="B149" i="8"/>
  <c r="N148" i="8"/>
  <c r="A148" i="8"/>
  <c r="F146" i="8"/>
  <c r="R146" i="8" s="1"/>
  <c r="E147" i="8"/>
  <c r="Q147" i="8" s="1"/>
  <c r="G145" i="8"/>
  <c r="H144" i="8"/>
  <c r="T144" i="8" s="1"/>
  <c r="F147" i="8" l="1"/>
  <c r="R147" i="8" s="1"/>
  <c r="G146" i="8"/>
  <c r="S146" i="8" s="1"/>
  <c r="E148" i="8"/>
  <c r="Q148" i="8" s="1"/>
  <c r="S145" i="8"/>
  <c r="H146" i="8"/>
  <c r="A149" i="8"/>
  <c r="B150" i="8"/>
  <c r="N149" i="8"/>
  <c r="I144" i="8"/>
  <c r="U144" i="8" s="1"/>
  <c r="G147" i="8"/>
  <c r="H145" i="8"/>
  <c r="T145" i="8" s="1"/>
  <c r="I146" i="8"/>
  <c r="U146" i="8" s="1"/>
  <c r="G148" i="8" l="1"/>
  <c r="S148" i="8" s="1"/>
  <c r="F148" i="8"/>
  <c r="R148" i="8" s="1"/>
  <c r="J146" i="8"/>
  <c r="V146" i="8" s="1"/>
  <c r="T146" i="8"/>
  <c r="K146" i="8"/>
  <c r="W146" i="8" s="1"/>
  <c r="A150" i="8"/>
  <c r="B151" i="8"/>
  <c r="N150" i="8"/>
  <c r="S147" i="8"/>
  <c r="H147" i="8"/>
  <c r="T147" i="8" s="1"/>
  <c r="I145" i="8"/>
  <c r="U145" i="8" s="1"/>
  <c r="J144" i="8"/>
  <c r="V144" i="8" s="1"/>
  <c r="E149" i="8"/>
  <c r="Q149" i="8" s="1"/>
  <c r="F149" i="8"/>
  <c r="R149" i="8" s="1"/>
  <c r="H148" i="8" l="1"/>
  <c r="T148" i="8" s="1"/>
  <c r="J145" i="8"/>
  <c r="V145" i="8" s="1"/>
  <c r="I148" i="8"/>
  <c r="U148" i="8" s="1"/>
  <c r="K144" i="8"/>
  <c r="W144" i="8" s="1"/>
  <c r="G149" i="8"/>
  <c r="S149" i="8" s="1"/>
  <c r="I147" i="8"/>
  <c r="U147" i="8" s="1"/>
  <c r="E150" i="8"/>
  <c r="Q150" i="8" s="1"/>
  <c r="A151" i="8"/>
  <c r="B152" i="8"/>
  <c r="N151" i="8"/>
  <c r="K145" i="8"/>
  <c r="W145" i="8" s="1"/>
  <c r="J147" i="8"/>
  <c r="V147" i="8" s="1"/>
  <c r="J148" i="8"/>
  <c r="V148" i="8" s="1"/>
  <c r="H149" i="8" l="1"/>
  <c r="T149" i="8" s="1"/>
  <c r="K148" i="8"/>
  <c r="W148" i="8" s="1"/>
  <c r="B153" i="8"/>
  <c r="A152" i="8"/>
  <c r="N152" i="8"/>
  <c r="F150" i="8"/>
  <c r="F151" i="8"/>
  <c r="R151" i="8" s="1"/>
  <c r="E151" i="8"/>
  <c r="Q151" i="8" s="1"/>
  <c r="I149" i="8"/>
  <c r="U149" i="8" s="1"/>
  <c r="K147" i="8"/>
  <c r="W147" i="8" s="1"/>
  <c r="J149" i="8"/>
  <c r="V149" i="8" s="1"/>
  <c r="H151" i="8" l="1"/>
  <c r="T151" i="8" s="1"/>
  <c r="G151" i="8"/>
  <c r="S151" i="8" s="1"/>
  <c r="R150" i="8"/>
  <c r="G150" i="8"/>
  <c r="S150" i="8" s="1"/>
  <c r="H150" i="8"/>
  <c r="T150" i="8" s="1"/>
  <c r="A153" i="8"/>
  <c r="N153" i="8"/>
  <c r="B154" i="8"/>
  <c r="K149" i="8"/>
  <c r="W149" i="8" s="1"/>
  <c r="E152" i="8"/>
  <c r="Q152" i="8" s="1"/>
  <c r="F152" i="8" l="1"/>
  <c r="R152" i="8" s="1"/>
  <c r="I151" i="8"/>
  <c r="U151" i="8" s="1"/>
  <c r="I150" i="8"/>
  <c r="E153" i="8"/>
  <c r="Q153" i="8" s="1"/>
  <c r="A154" i="8"/>
  <c r="N154" i="8"/>
  <c r="B155" i="8"/>
  <c r="J151" i="8"/>
  <c r="G152" i="8" l="1"/>
  <c r="H152" i="8" s="1"/>
  <c r="T152" i="8" s="1"/>
  <c r="V151" i="8"/>
  <c r="K151" i="8"/>
  <c r="W151" i="8" s="1"/>
  <c r="E154" i="8"/>
  <c r="Q154" i="8" s="1"/>
  <c r="U150" i="8"/>
  <c r="A155" i="8"/>
  <c r="B156" i="8"/>
  <c r="N155" i="8"/>
  <c r="J150" i="8"/>
  <c r="V150" i="8" s="1"/>
  <c r="F153" i="8"/>
  <c r="I152" i="8" l="1"/>
  <c r="U152" i="8" s="1"/>
  <c r="S152" i="8"/>
  <c r="F154" i="8"/>
  <c r="R153" i="8"/>
  <c r="B157" i="8"/>
  <c r="N156" i="8"/>
  <c r="A156" i="8"/>
  <c r="G153" i="8"/>
  <c r="S153" i="8" s="1"/>
  <c r="E155" i="8"/>
  <c r="Q155" i="8" s="1"/>
  <c r="K150" i="8"/>
  <c r="W150" i="8" s="1"/>
  <c r="G154" i="8"/>
  <c r="S154" i="8" s="1"/>
  <c r="J152" i="8" l="1"/>
  <c r="V152" i="8" s="1"/>
  <c r="E156" i="8"/>
  <c r="Q156" i="8" s="1"/>
  <c r="R154" i="8"/>
  <c r="H154" i="8"/>
  <c r="I154" i="8" s="1"/>
  <c r="U154" i="8" s="1"/>
  <c r="B158" i="8"/>
  <c r="N157" i="8"/>
  <c r="A157" i="8"/>
  <c r="F155" i="8"/>
  <c r="H153" i="8"/>
  <c r="K152" i="8" l="1"/>
  <c r="W152" i="8" s="1"/>
  <c r="T153" i="8"/>
  <c r="R155" i="8"/>
  <c r="G155" i="8"/>
  <c r="B159" i="8"/>
  <c r="N158" i="8"/>
  <c r="A158" i="8"/>
  <c r="T154" i="8"/>
  <c r="J154" i="8"/>
  <c r="V154" i="8" s="1"/>
  <c r="I153" i="8"/>
  <c r="U153" i="8" s="1"/>
  <c r="E157" i="8"/>
  <c r="Q157" i="8" s="1"/>
  <c r="F156" i="8"/>
  <c r="R156" i="8" l="1"/>
  <c r="S155" i="8"/>
  <c r="H155" i="8"/>
  <c r="B160" i="8"/>
  <c r="N159" i="8"/>
  <c r="A159" i="8"/>
  <c r="G156" i="8"/>
  <c r="S156" i="8" s="1"/>
  <c r="F157" i="8"/>
  <c r="R157" i="8" s="1"/>
  <c r="K154" i="8"/>
  <c r="W154" i="8" s="1"/>
  <c r="E158" i="8"/>
  <c r="Q158" i="8" s="1"/>
  <c r="J153" i="8"/>
  <c r="G157" i="8" l="1"/>
  <c r="S157" i="8" s="1"/>
  <c r="V153" i="8"/>
  <c r="K153" i="8"/>
  <c r="W153" i="8" s="1"/>
  <c r="F158" i="8"/>
  <c r="E159" i="8"/>
  <c r="Q159" i="8" s="1"/>
  <c r="T155" i="8"/>
  <c r="I155" i="8"/>
  <c r="G158" i="8"/>
  <c r="S158" i="8" s="1"/>
  <c r="B161" i="8"/>
  <c r="N160" i="8"/>
  <c r="A160" i="8"/>
  <c r="H156" i="8"/>
  <c r="H157" i="8" l="1"/>
  <c r="I157" i="8"/>
  <c r="U157" i="8" s="1"/>
  <c r="E160" i="8"/>
  <c r="Q160" i="8" s="1"/>
  <c r="T157" i="8"/>
  <c r="R158" i="8"/>
  <c r="H158" i="8"/>
  <c r="T158" i="8" s="1"/>
  <c r="A161" i="8"/>
  <c r="B162" i="8"/>
  <c r="N161" i="8"/>
  <c r="T156" i="8"/>
  <c r="I156" i="8"/>
  <c r="U156" i="8" s="1"/>
  <c r="U155" i="8"/>
  <c r="J155" i="8"/>
  <c r="V155" i="8" s="1"/>
  <c r="J157" i="8"/>
  <c r="V157" i="8" s="1"/>
  <c r="F159" i="8"/>
  <c r="H159" i="8" l="1"/>
  <c r="T159" i="8" s="1"/>
  <c r="G159" i="8"/>
  <c r="S159" i="8" s="1"/>
  <c r="K156" i="8"/>
  <c r="W156" i="8" s="1"/>
  <c r="J156" i="8"/>
  <c r="V156" i="8" s="1"/>
  <c r="K155" i="8"/>
  <c r="W155" i="8" s="1"/>
  <c r="F160" i="8"/>
  <c r="R160" i="8" s="1"/>
  <c r="A162" i="8"/>
  <c r="N162" i="8"/>
  <c r="B163" i="8"/>
  <c r="I158" i="8"/>
  <c r="U158" i="8" s="1"/>
  <c r="E161" i="8"/>
  <c r="Q161" i="8" s="1"/>
  <c r="G161" i="8"/>
  <c r="S161" i="8" s="1"/>
  <c r="F161" i="8"/>
  <c r="R161" i="8" s="1"/>
  <c r="H161" i="8"/>
  <c r="T161" i="8" s="1"/>
  <c r="G160" i="8"/>
  <c r="S160" i="8" s="1"/>
  <c r="K157" i="8"/>
  <c r="W157" i="8" s="1"/>
  <c r="R159" i="8"/>
  <c r="H160" i="8"/>
  <c r="T160" i="8" s="1"/>
  <c r="J158" i="8" l="1"/>
  <c r="V158" i="8" s="1"/>
  <c r="I159" i="8"/>
  <c r="K158" i="8"/>
  <c r="W158" i="8" s="1"/>
  <c r="E162" i="8"/>
  <c r="Q162" i="8" s="1"/>
  <c r="F162" i="8"/>
  <c r="R162" i="8" s="1"/>
  <c r="I160" i="8"/>
  <c r="U160" i="8" s="1"/>
  <c r="N163" i="8"/>
  <c r="B164" i="8"/>
  <c r="A163" i="8"/>
  <c r="I161" i="8"/>
  <c r="U161" i="8" s="1"/>
  <c r="G162" i="8" l="1"/>
  <c r="S162" i="8" s="1"/>
  <c r="U159" i="8"/>
  <c r="J159" i="8"/>
  <c r="A164" i="8"/>
  <c r="N164" i="8"/>
  <c r="B165" i="8"/>
  <c r="H162" i="8"/>
  <c r="T162" i="8" s="1"/>
  <c r="J160" i="8"/>
  <c r="V160" i="8" s="1"/>
  <c r="E163" i="8"/>
  <c r="Q163" i="8" s="1"/>
  <c r="F163" i="8"/>
  <c r="J161" i="8"/>
  <c r="V161" i="8" s="1"/>
  <c r="V159" i="8" l="1"/>
  <c r="K159" i="8"/>
  <c r="W159" i="8" s="1"/>
  <c r="I162" i="8"/>
  <c r="U162" i="8" s="1"/>
  <c r="H163" i="8"/>
  <c r="T163" i="8" s="1"/>
  <c r="E164" i="8"/>
  <c r="Q164" i="8" s="1"/>
  <c r="K161" i="8"/>
  <c r="W161" i="8" s="1"/>
  <c r="K160" i="8"/>
  <c r="W160" i="8" s="1"/>
  <c r="G163" i="8"/>
  <c r="S163" i="8" s="1"/>
  <c r="R163" i="8"/>
  <c r="A165" i="8"/>
  <c r="N165" i="8"/>
  <c r="B166" i="8"/>
  <c r="J162" i="8" l="1"/>
  <c r="V162" i="8" s="1"/>
  <c r="K162" i="8"/>
  <c r="W162" i="8" s="1"/>
  <c r="E165" i="8"/>
  <c r="Q165" i="8" s="1"/>
  <c r="N166" i="8"/>
  <c r="B167" i="8"/>
  <c r="A166" i="8"/>
  <c r="I163" i="8"/>
  <c r="U163" i="8" s="1"/>
  <c r="F164" i="8"/>
  <c r="R164" i="8" s="1"/>
  <c r="E166" i="8" l="1"/>
  <c r="Q166" i="8" s="1"/>
  <c r="F165" i="8"/>
  <c r="G164" i="8"/>
  <c r="B168" i="8"/>
  <c r="N167" i="8"/>
  <c r="A167" i="8"/>
  <c r="J163" i="8"/>
  <c r="V163" i="8" s="1"/>
  <c r="E167" i="8" l="1"/>
  <c r="Q167" i="8" s="1"/>
  <c r="R165" i="8"/>
  <c r="G165" i="8"/>
  <c r="N168" i="8"/>
  <c r="B169" i="8"/>
  <c r="A168" i="8"/>
  <c r="K163" i="8"/>
  <c r="W163" i="8" s="1"/>
  <c r="S164" i="8"/>
  <c r="H164" i="8"/>
  <c r="F166" i="8"/>
  <c r="F167" i="8" l="1"/>
  <c r="R167" i="8" s="1"/>
  <c r="T164" i="8"/>
  <c r="I164" i="8"/>
  <c r="U164" i="8" s="1"/>
  <c r="A169" i="8"/>
  <c r="N169" i="8"/>
  <c r="B170" i="8"/>
  <c r="S165" i="8"/>
  <c r="H165" i="8"/>
  <c r="R166" i="8"/>
  <c r="G166" i="8"/>
  <c r="S166" i="8" s="1"/>
  <c r="G167" i="8"/>
  <c r="E168" i="8"/>
  <c r="Q168" i="8" s="1"/>
  <c r="H166" i="8" l="1"/>
  <c r="T166" i="8" s="1"/>
  <c r="S167" i="8"/>
  <c r="H167" i="8"/>
  <c r="J164" i="8"/>
  <c r="E169" i="8"/>
  <c r="Q169" i="8" s="1"/>
  <c r="A170" i="8"/>
  <c r="B171" i="8"/>
  <c r="N170" i="8"/>
  <c r="T165" i="8"/>
  <c r="I165" i="8"/>
  <c r="U165" i="8" s="1"/>
  <c r="J165" i="8"/>
  <c r="V165" i="8" s="1"/>
  <c r="F168" i="8"/>
  <c r="I166" i="8"/>
  <c r="U166" i="8" s="1"/>
  <c r="F169" i="8" l="1"/>
  <c r="R169" i="8" s="1"/>
  <c r="R168" i="8"/>
  <c r="E170" i="8"/>
  <c r="Q170" i="8" s="1"/>
  <c r="N171" i="8"/>
  <c r="A171" i="8"/>
  <c r="B172" i="8"/>
  <c r="V164" i="8"/>
  <c r="K164" i="8"/>
  <c r="W164" i="8" s="1"/>
  <c r="G168" i="8"/>
  <c r="K165" i="8"/>
  <c r="W165" i="8" s="1"/>
  <c r="T167" i="8"/>
  <c r="I167" i="8"/>
  <c r="U167" i="8" s="1"/>
  <c r="G169" i="8"/>
  <c r="S169" i="8" s="1"/>
  <c r="J166" i="8"/>
  <c r="V166" i="8" s="1"/>
  <c r="S168" i="8" l="1"/>
  <c r="J167" i="8"/>
  <c r="V167" i="8" s="1"/>
  <c r="A172" i="8"/>
  <c r="N172" i="8"/>
  <c r="B173" i="8"/>
  <c r="K166" i="8"/>
  <c r="W166" i="8" s="1"/>
  <c r="H168" i="8"/>
  <c r="T168" i="8" s="1"/>
  <c r="H169" i="8"/>
  <c r="T169" i="8" s="1"/>
  <c r="E171" i="8"/>
  <c r="Q171" i="8" s="1"/>
  <c r="F171" i="8"/>
  <c r="R171" i="8" s="1"/>
  <c r="F170" i="8"/>
  <c r="R170" i="8" s="1"/>
  <c r="K167" i="8"/>
  <c r="W167" i="8" s="1"/>
  <c r="I168" i="8" l="1"/>
  <c r="U168" i="8" s="1"/>
  <c r="G170" i="8"/>
  <c r="N173" i="8"/>
  <c r="A173" i="8"/>
  <c r="B174" i="8"/>
  <c r="H170" i="8"/>
  <c r="T170" i="8" s="1"/>
  <c r="E172" i="8"/>
  <c r="Q172" i="8" s="1"/>
  <c r="G172" i="8"/>
  <c r="S172" i="8" s="1"/>
  <c r="F172" i="8"/>
  <c r="R172" i="8" s="1"/>
  <c r="I169" i="8"/>
  <c r="U169" i="8" s="1"/>
  <c r="J168" i="8"/>
  <c r="V168" i="8" s="1"/>
  <c r="G171" i="8"/>
  <c r="H171" i="8" s="1"/>
  <c r="T171" i="8" s="1"/>
  <c r="H172" i="8" l="1"/>
  <c r="T172" i="8" s="1"/>
  <c r="I170" i="8"/>
  <c r="U170" i="8" s="1"/>
  <c r="J169" i="8"/>
  <c r="V169" i="8" s="1"/>
  <c r="N174" i="8"/>
  <c r="A174" i="8"/>
  <c r="B175" i="8"/>
  <c r="S170" i="8"/>
  <c r="J170" i="8"/>
  <c r="V170" i="8" s="1"/>
  <c r="E173" i="8"/>
  <c r="Q173" i="8" s="1"/>
  <c r="K168" i="8"/>
  <c r="W168" i="8" s="1"/>
  <c r="S171" i="8"/>
  <c r="K169" i="8"/>
  <c r="W169" i="8" s="1"/>
  <c r="K170" i="8"/>
  <c r="W170" i="8" s="1"/>
  <c r="I172" i="8"/>
  <c r="U172" i="8" s="1"/>
  <c r="I171" i="8"/>
  <c r="U171" i="8" s="1"/>
  <c r="J172" i="8" l="1"/>
  <c r="V172" i="8" s="1"/>
  <c r="J171" i="8"/>
  <c r="V171" i="8" s="1"/>
  <c r="F173" i="8"/>
  <c r="A175" i="8"/>
  <c r="N175" i="8"/>
  <c r="B176" i="8"/>
  <c r="K171" i="8"/>
  <c r="W171" i="8" s="1"/>
  <c r="E174" i="8"/>
  <c r="Q174" i="8" s="1"/>
  <c r="K172" i="8" l="1"/>
  <c r="W172" i="8" s="1"/>
  <c r="R173" i="8"/>
  <c r="G173" i="8"/>
  <c r="S173" i="8" s="1"/>
  <c r="N176" i="8"/>
  <c r="B177" i="8"/>
  <c r="A176" i="8"/>
  <c r="F174" i="8"/>
  <c r="G174" i="8" s="1"/>
  <c r="S174" i="8" s="1"/>
  <c r="E175" i="8"/>
  <c r="Q175" i="8" s="1"/>
  <c r="F175" i="8" l="1"/>
  <c r="G175" i="8" s="1"/>
  <c r="R175" i="8"/>
  <c r="R174" i="8"/>
  <c r="H174" i="8"/>
  <c r="I174" i="8" s="1"/>
  <c r="U174" i="8" s="1"/>
  <c r="E176" i="8"/>
  <c r="Q176" i="8" s="1"/>
  <c r="H173" i="8"/>
  <c r="T173" i="8" s="1"/>
  <c r="N177" i="8"/>
  <c r="A177" i="8"/>
  <c r="B178" i="8"/>
  <c r="S175" i="8" l="1"/>
  <c r="H175" i="8"/>
  <c r="T175" i="8" s="1"/>
  <c r="I173" i="8"/>
  <c r="U173" i="8" s="1"/>
  <c r="F176" i="8"/>
  <c r="R176" i="8" s="1"/>
  <c r="N178" i="8"/>
  <c r="B179" i="8"/>
  <c r="A178" i="8"/>
  <c r="I175" i="8"/>
  <c r="E177" i="8"/>
  <c r="Q177" i="8" s="1"/>
  <c r="F177" i="8"/>
  <c r="R177" i="8" s="1"/>
  <c r="J173" i="8"/>
  <c r="V173" i="8" s="1"/>
  <c r="T174" i="8"/>
  <c r="J174" i="8"/>
  <c r="V174" i="8" s="1"/>
  <c r="G176" i="8" l="1"/>
  <c r="K173" i="8"/>
  <c r="W173" i="8" s="1"/>
  <c r="S176" i="8"/>
  <c r="H176" i="8"/>
  <c r="I176" i="8" s="1"/>
  <c r="U176" i="8" s="1"/>
  <c r="K174" i="8"/>
  <c r="W174" i="8" s="1"/>
  <c r="E178" i="8"/>
  <c r="Q178" i="8" s="1"/>
  <c r="G177" i="8"/>
  <c r="U175" i="8"/>
  <c r="J175" i="8"/>
  <c r="V175" i="8" s="1"/>
  <c r="A179" i="8"/>
  <c r="N179" i="8"/>
  <c r="B180" i="8"/>
  <c r="K175" i="8" l="1"/>
  <c r="W175" i="8" s="1"/>
  <c r="N180" i="8"/>
  <c r="B181" i="8"/>
  <c r="A180" i="8"/>
  <c r="S177" i="8"/>
  <c r="H177" i="8"/>
  <c r="T176" i="8"/>
  <c r="J176" i="8"/>
  <c r="V176" i="8" s="1"/>
  <c r="E179" i="8"/>
  <c r="Q179" i="8" s="1"/>
  <c r="F178" i="8"/>
  <c r="T177" i="8" l="1"/>
  <c r="R178" i="8"/>
  <c r="G178" i="8"/>
  <c r="S178" i="8" s="1"/>
  <c r="K176" i="8"/>
  <c r="W176" i="8" s="1"/>
  <c r="F179" i="8"/>
  <c r="G179" i="8" s="1"/>
  <c r="I177" i="8"/>
  <c r="U177" i="8" s="1"/>
  <c r="E180" i="8"/>
  <c r="Q180" i="8" s="1"/>
  <c r="F180" i="8"/>
  <c r="A181" i="8"/>
  <c r="N181" i="8"/>
  <c r="B182" i="8"/>
  <c r="S179" i="8" l="1"/>
  <c r="B183" i="8"/>
  <c r="N182" i="8"/>
  <c r="A182" i="8"/>
  <c r="E181" i="8"/>
  <c r="Q181" i="8" s="1"/>
  <c r="R179" i="8"/>
  <c r="H179" i="8"/>
  <c r="T179" i="8" s="1"/>
  <c r="H178" i="8"/>
  <c r="J177" i="8"/>
  <c r="V177" i="8" s="1"/>
  <c r="G180" i="8"/>
  <c r="R180" i="8"/>
  <c r="F181" i="8" l="1"/>
  <c r="R181" i="8" s="1"/>
  <c r="I179" i="8"/>
  <c r="U179" i="8" s="1"/>
  <c r="K177" i="8"/>
  <c r="W177" i="8" s="1"/>
  <c r="G181" i="8"/>
  <c r="S181" i="8" s="1"/>
  <c r="H180" i="8"/>
  <c r="T180" i="8" s="1"/>
  <c r="N183" i="8"/>
  <c r="B184" i="8"/>
  <c r="A183" i="8"/>
  <c r="S180" i="8"/>
  <c r="J179" i="8"/>
  <c r="V179" i="8" s="1"/>
  <c r="E182" i="8"/>
  <c r="Q182" i="8" s="1"/>
  <c r="T178" i="8"/>
  <c r="I178" i="8"/>
  <c r="U178" i="8" s="1"/>
  <c r="H181" i="8"/>
  <c r="T181" i="8" s="1"/>
  <c r="I180" i="8"/>
  <c r="U180" i="8" s="1"/>
  <c r="J180" i="8" l="1"/>
  <c r="V180" i="8" s="1"/>
  <c r="F182" i="8"/>
  <c r="R182" i="8" s="1"/>
  <c r="K179" i="8"/>
  <c r="W179" i="8" s="1"/>
  <c r="J181" i="8"/>
  <c r="V181" i="8" s="1"/>
  <c r="I181" i="8"/>
  <c r="U181" i="8" s="1"/>
  <c r="K180" i="8"/>
  <c r="W180" i="8" s="1"/>
  <c r="E183" i="8"/>
  <c r="Q183" i="8" s="1"/>
  <c r="J178" i="8"/>
  <c r="A184" i="8"/>
  <c r="N184" i="8"/>
  <c r="B185" i="8"/>
  <c r="F183" i="8" l="1"/>
  <c r="R183" i="8" s="1"/>
  <c r="G182" i="8"/>
  <c r="V178" i="8"/>
  <c r="K178" i="8"/>
  <c r="W178" i="8" s="1"/>
  <c r="G183" i="8"/>
  <c r="S183" i="8" s="1"/>
  <c r="E184" i="8"/>
  <c r="Q184" i="8" s="1"/>
  <c r="F184" i="8"/>
  <c r="R184" i="8" s="1"/>
  <c r="S182" i="8"/>
  <c r="H182" i="8"/>
  <c r="T182" i="8" s="1"/>
  <c r="K181" i="8"/>
  <c r="W181" i="8" s="1"/>
  <c r="B186" i="8"/>
  <c r="A185" i="8"/>
  <c r="N185" i="8"/>
  <c r="I182" i="8" l="1"/>
  <c r="U182" i="8" s="1"/>
  <c r="H183" i="8"/>
  <c r="T183" i="8" s="1"/>
  <c r="I183" i="8"/>
  <c r="U183" i="8" s="1"/>
  <c r="B187" i="8"/>
  <c r="A186" i="8"/>
  <c r="N186" i="8"/>
  <c r="G184" i="8"/>
  <c r="E185" i="8"/>
  <c r="Q185" i="8" s="1"/>
  <c r="H184" i="8"/>
  <c r="T184" i="8" s="1"/>
  <c r="J182" i="8" l="1"/>
  <c r="S184" i="8"/>
  <c r="J183" i="8"/>
  <c r="V183" i="8" s="1"/>
  <c r="F185" i="8"/>
  <c r="G185" i="8" s="1"/>
  <c r="S185" i="8" s="1"/>
  <c r="E186" i="8"/>
  <c r="Q186" i="8" s="1"/>
  <c r="I184" i="8"/>
  <c r="U184" i="8" s="1"/>
  <c r="N187" i="8"/>
  <c r="A187" i="8"/>
  <c r="K183" i="8" l="1"/>
  <c r="W183" i="8" s="1"/>
  <c r="V182" i="8"/>
  <c r="K182" i="8"/>
  <c r="W182" i="8" s="1"/>
  <c r="R185" i="8"/>
  <c r="F186" i="8"/>
  <c r="R186" i="8" s="1"/>
  <c r="E187" i="8"/>
  <c r="Q187" i="8" s="1"/>
  <c r="H185" i="8"/>
  <c r="T185" i="8" s="1"/>
  <c r="J184" i="8"/>
  <c r="V184" i="8" s="1"/>
  <c r="I185" i="8" l="1"/>
  <c r="K184" i="8"/>
  <c r="W184" i="8" s="1"/>
  <c r="F187" i="8"/>
  <c r="G186" i="8"/>
  <c r="J185" i="8" l="1"/>
  <c r="V185" i="8" s="1"/>
  <c r="U185" i="8"/>
  <c r="S186" i="8"/>
  <c r="R187" i="8"/>
  <c r="G187" i="8"/>
  <c r="H186" i="8"/>
  <c r="T186" i="8" s="1"/>
  <c r="S187" i="8" l="1"/>
  <c r="H187" i="8"/>
  <c r="T187" i="8" s="1"/>
  <c r="K185" i="8"/>
  <c r="W185" i="8" s="1"/>
  <c r="I186" i="8"/>
  <c r="U186" i="8" l="1"/>
  <c r="J186" i="8"/>
  <c r="V186" i="8" s="1"/>
  <c r="K186" i="8"/>
  <c r="W186" i="8" s="1"/>
  <c r="I187" i="8"/>
  <c r="U187" i="8" l="1"/>
  <c r="J187" i="8"/>
  <c r="V187" i="8" s="1"/>
  <c r="K187" i="8" l="1"/>
  <c r="W187" i="8" s="1"/>
  <c r="BA2" i="1"/>
  <c r="BB2" i="1" s="1"/>
  <c r="BA14" i="1"/>
  <c r="BA18" i="1"/>
  <c r="BA17" i="1"/>
  <c r="BA10" i="1"/>
  <c r="BA16" i="1"/>
  <c r="BA9" i="1"/>
  <c r="BA15" i="1"/>
  <c r="BA11" i="1"/>
  <c r="BA13" i="1"/>
  <c r="BA12" i="1"/>
  <c r="BA24" i="1" l="1"/>
  <c r="BA19" i="1"/>
  <c r="BA23" i="1"/>
  <c r="BA21" i="1"/>
  <c r="BA20" i="1"/>
  <c r="BC2" i="1"/>
  <c r="BA25" i="1"/>
  <c r="BA22" i="1"/>
  <c r="BD2" i="1" l="1"/>
  <c r="BA31" i="1"/>
  <c r="BA33" i="1"/>
  <c r="BA28" i="1"/>
  <c r="BA27" i="1"/>
  <c r="BA32" i="1"/>
  <c r="BA30" i="1"/>
  <c r="BA34" i="1"/>
  <c r="BA26" i="1"/>
  <c r="BA29" i="1"/>
  <c r="BA36" i="1" l="1"/>
  <c r="BA39" i="1"/>
  <c r="BA38" i="1"/>
  <c r="BA41" i="1"/>
  <c r="BA35" i="1"/>
  <c r="BE2" i="1"/>
  <c r="BF2" i="1" s="1"/>
  <c r="BG2" i="1" s="1"/>
  <c r="BH2" i="1" s="1"/>
  <c r="BA42" i="1"/>
  <c r="BA40" i="1"/>
  <c r="BA3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ae8736t</author>
    <author>Power Lifting</author>
  </authors>
  <commentList>
    <comment ref="AS1" authorId="0" shapeId="0" xr:uid="{00000000-0006-0000-0300-000001000000}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 xr:uid="{00000000-0006-0000-0300-000002000000}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 xr:uid="{00000000-0006-0000-0300-000003000000}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 xr:uid="{00000000-0006-0000-0300-000004000000}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 xr:uid="{00000000-0006-0000-0300-000005000000}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 xr:uid="{00000000-0006-0000-0300-000006000000}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 xr:uid="{00000000-0006-0000-0300-000007000000}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 xr:uid="{00000000-0006-0000-0300-000008000000}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 xr:uid="{8063FB1A-E3E9-4193-9ADA-C16FF1447B1B}">
      <text>
        <r>
          <rPr>
            <sz val="8"/>
            <color indexed="81"/>
            <rFont val="Tahoma"/>
            <family val="2"/>
          </rPr>
          <t>Squat History:
10:02:05 - Clock Start
SQ-1 10:02:25 75/Good
SQ-2 10:02:52 - 80
10:13:17 - Clock Start
SQ-2 10:13:43 80/Good
SQ-3 10:14:09 - 85
10:23:52 - Clock Start
SQ-3 10:24:19 85/Good</t>
        </r>
      </text>
    </comment>
    <comment ref="T9" authorId="1" shapeId="0" xr:uid="{8DEC39B7-3055-454F-9D07-AEF623C44A87}">
      <text>
        <r>
          <rPr>
            <sz val="8"/>
            <color indexed="81"/>
            <rFont val="Tahoma"/>
            <family val="2"/>
          </rPr>
          <t>Bench History:
11:20:13 - Clock Start
BP-1 11:20:49 85/Good
BP-2 11:21:20 - 90
11:31:53 - Clock Start
BP-2 11:32:32 -90/No-Lift
BP-3 11:32:56 - 90
11:43:12 - Clock Start
BP-3 11:43:49 90/Good</t>
        </r>
      </text>
    </comment>
    <comment ref="Y9" authorId="1" shapeId="0" xr:uid="{28CFB294-57B0-434A-B0EB-AC9A3B0CA464}">
      <text>
        <r>
          <rPr>
            <sz val="8"/>
            <color indexed="81"/>
            <rFont val="Tahoma"/>
            <family val="2"/>
          </rPr>
          <t>Deadlift History:
DL-1 12:05:13 - 115
12:19:39 - Clock Start
DL-1 12:19:54 115/Good
DL-2 12:20:02 - 125
12:28:02 - Clock Start
DL-2 12:28:28 125/Good
DL-3 12:28:47 - 132,5
12:37:45 - Clock Start
DL-3 12:38:04 132,5/Good</t>
        </r>
      </text>
    </comment>
    <comment ref="O10" authorId="1" shapeId="0" xr:uid="{671F5D94-392F-4316-93D5-273F6B7A7E87}">
      <text>
        <r>
          <rPr>
            <sz val="8"/>
            <color indexed="81"/>
            <rFont val="Tahoma"/>
            <family val="2"/>
          </rPr>
          <t>Squat History:
10:03:25 - Clock Start
SQ-1 10:03:51 100/Good
SQ-2 10:04:15 - 105
10:14:20 - Clock Start
SQ-2 10:14:46 105/Good
SQ-3 10:15:07 - 107,5
10:25:13 - Clock Start
SQ-3 10:25:41 -107,5/No-Lift</t>
        </r>
      </text>
    </comment>
    <comment ref="T10" authorId="1" shapeId="0" xr:uid="{11487D9F-913A-41A3-A837-7428BB5361BB}">
      <text>
        <r>
          <rPr>
            <sz val="8"/>
            <color indexed="81"/>
            <rFont val="Tahoma"/>
            <family val="2"/>
          </rPr>
          <t>Bench History:
11:12:27 - Clock Start
BP-1 11:12:57 55/Good
BP-2 11:13:15 - 60
11:22:49 - Clock Start
BP-2 11:23:21 60/Good
BP-3 11:23:34 - 62,5
11:34:32 - Clock Start
BP-3 11:35:06 -62,5/No-Lift</t>
        </r>
      </text>
    </comment>
    <comment ref="Y10" authorId="1" shapeId="0" xr:uid="{DCDBBDAD-7700-4B48-9649-7DC742F4A12A}">
      <text>
        <r>
          <rPr>
            <sz val="8"/>
            <color indexed="81"/>
            <rFont val="Tahoma"/>
            <family val="2"/>
          </rPr>
          <t xml:space="preserve">Deadlift History:
12:20:14 - Clock Start
DL-1 12:20:33 120/Good
DL-2 12:20:52 - 125
12:28:49 - Clock Start
DL-2 12:29:13 -125/No-Lift
DL-3 12:29:17 - 125
DL-3 12:33:20 - </t>
        </r>
      </text>
    </comment>
    <comment ref="O11" authorId="1" shapeId="0" xr:uid="{5A50845C-8D8F-4B9C-920A-E7AFCFBE5352}">
      <text>
        <r>
          <rPr>
            <sz val="8"/>
            <color indexed="81"/>
            <rFont val="Tahoma"/>
            <family val="2"/>
          </rPr>
          <t>Squat History:
10:04:23 - Clock Start
SQ-1 10:04:55 100/Good
SQ-2 10:05:43 - 110
10:16:14 - Clock Start
SQ-2 10:16:48 -110/No-Lift
SQ-3 10:17:01 - 110
10:27:03 - Clock Start
SQ-3 10:27:33 -110/No-Lift</t>
        </r>
      </text>
    </comment>
    <comment ref="T11" authorId="1" shapeId="0" xr:uid="{FB1A3349-B0E7-47F5-AA3C-C0C32BC451B2}">
      <text>
        <r>
          <rPr>
            <sz val="8"/>
            <color indexed="81"/>
            <rFont val="Tahoma"/>
            <family val="2"/>
          </rPr>
          <t>Bench History:
11:16:09 - Clock Start
BP-1 11:16:40 65/Good
BP-2 11:17:34 - 70
11:27:29 - Clock Start
BP-2 11:27:45 70/Good
BP-3 11:28:28 - 72,5
11:37:52 - Clock Start
BP-3 11:38:31 -72,5/No-Lift</t>
        </r>
      </text>
    </comment>
    <comment ref="Y11" authorId="1" shapeId="0" xr:uid="{F704DABD-AB6D-40D6-A74E-0002A4B2B7E5}">
      <text>
        <r>
          <rPr>
            <sz val="8"/>
            <color indexed="81"/>
            <rFont val="Tahoma"/>
            <family val="2"/>
          </rPr>
          <t>Deadlift History:
DL-1 12:09:12 - 120
12:20:49 - Clock Start
DL-1 12:21:16 120/Good
DL-2 12:22:09 - 130
12:29:39 - Clock Start
DL-2 12:30:12 130/Good
DL-3 12:31:00 - 132,5
12:38:33 - Clock Start
DL-3 12:39:07 -132,5/No-Lift</t>
        </r>
      </text>
    </comment>
    <comment ref="O12" authorId="1" shapeId="0" xr:uid="{9BF91080-8F97-4C40-B412-9E124A19467E}">
      <text>
        <r>
          <rPr>
            <sz val="8"/>
            <color indexed="81"/>
            <rFont val="Tahoma"/>
            <family val="2"/>
          </rPr>
          <t>Squat History:
10:05:29 - Clock Start
SQ-1 10:05:55 -100/No-Lift
SQ-2 10:06:23 - 110
10:17:12 - Clock Start
SQ-2 10:17:40 -110/No-Lift
SQ-3 10:18:23 - 110
10:27:57 - Clock Start
SQ-3 10:28:27 -110/No-Lift
SQ-3 10:33:39 - 110
10:34:24 - Clock Start
SQ-3 10:34:45 -110/No-Lift</t>
        </r>
      </text>
    </comment>
    <comment ref="T12" authorId="1" shapeId="0" xr:uid="{5B9F7B3E-0767-4EF1-AC6E-A451B23A4E38}">
      <text>
        <r>
          <rPr>
            <sz val="8"/>
            <color indexed="81"/>
            <rFont val="Tahoma"/>
            <family val="2"/>
          </rPr>
          <t>Bench History:
11:11:20 - Clock Start
BP-1 11:11:51 40/Good
BP-2 11:12:24 - 45
11:21:44 - Clock Start
BP-2 11:22:15 -45/No-Lift
BP-3 11:23:45 - 45
11:33:27 - Clock Start
BP-3 11:33:51 -45/No-Lift</t>
        </r>
      </text>
    </comment>
    <comment ref="Y12" authorId="1" shapeId="0" xr:uid="{12869699-3BA4-4150-ACFD-78BC336B1965}">
      <text>
        <r>
          <rPr>
            <sz val="8"/>
            <color indexed="81"/>
            <rFont val="Tahoma"/>
            <family val="2"/>
          </rPr>
          <t>Deadlift History:
12:21:41 - Clock Start
DL-1 12:21:58 122,5/Good
DL-2 12:22:36 - 132,5
12:30:34 - Clock Start
DL-2 12:30:54 132,5/Good
DL-3 12:31:07 - 140
12:39:47 - Clock Start
DL-3 12:40:03 -140/No-Lift</t>
        </r>
      </text>
    </comment>
    <comment ref="O13" authorId="1" shapeId="0" xr:uid="{B199A373-239A-49ED-8BE1-2B465A214895}">
      <text>
        <r>
          <rPr>
            <sz val="8"/>
            <color indexed="81"/>
            <rFont val="Tahoma"/>
            <family val="2"/>
          </rPr>
          <t>Squat History:
10:06:16 - Clock Start
SQ-1 10:06:41 100/Good
SQ-2 10:06:56 - 110
10:18:03 - Clock Start
SQ-2 10:18:28 110/Good
SQ-3 10:18:42 - 115
10:29:51 - Clock Start
SQ-3 10:30:16 115/Good</t>
        </r>
      </text>
    </comment>
    <comment ref="T13" authorId="1" shapeId="0" xr:uid="{7E3C1EB3-7489-424C-B672-81C6F605BDC0}">
      <text>
        <r>
          <rPr>
            <sz val="8"/>
            <color indexed="81"/>
            <rFont val="Tahoma"/>
            <family val="2"/>
          </rPr>
          <t>Bench History:
11:19:19 - Clock Start
BP-1 11:19:46 75/Good
BP-2 11:20:03 - 82,5
11:30:48 - Clock Start
BP-2 11:31:18 82,5/Good
BP-3 11:31:30 - 87,5
11:42:15 - Clock Start
BP-3 11:42:42 87,5/Good</t>
        </r>
      </text>
    </comment>
    <comment ref="Y13" authorId="1" shapeId="0" xr:uid="{627A3AF2-639A-474D-8E4C-877628E1C854}">
      <text>
        <r>
          <rPr>
            <sz val="8"/>
            <color indexed="81"/>
            <rFont val="Tahoma"/>
            <family val="2"/>
          </rPr>
          <t>Deadlift History:
12:22:38 - Clock Start
DL-1 12:22:52 125/Good
DL-2 12:23:16 - 135
12:31:27 - Clock Start
DL-2 12:31:44 135/Good
DL-3 12:32:08 - 140
12:40:29 - Clock Start
DL-3 12:40:48 140/Good</t>
        </r>
      </text>
    </comment>
    <comment ref="O14" authorId="1" shapeId="0" xr:uid="{20DCCEC7-2E0A-4ACA-9B62-4F0ADBA10E15}">
      <text>
        <r>
          <rPr>
            <sz val="8"/>
            <color indexed="81"/>
            <rFont val="Tahoma"/>
            <family val="2"/>
          </rPr>
          <t>Squat History:
10:07:41 - Clock Start
SQ-1 10:08:05 105/Good
SQ-2 10:08:16 - 110
10:15:16 - Clock Start
SQ-2 10:15:42 -110/No-Lift
SQ-3 10:15:50 - 110
10:26:20 - Clock Start
SQ-3 10:26:42 110/Good</t>
        </r>
      </text>
    </comment>
    <comment ref="T14" authorId="1" shapeId="0" xr:uid="{C6DEAE41-FE13-4A86-8DC3-EFD91FDD8A54}">
      <text>
        <r>
          <rPr>
            <sz val="8"/>
            <color indexed="81"/>
            <rFont val="Tahoma"/>
            <family val="2"/>
          </rPr>
          <t>Bench History:
11:18:17 - Clock Start
BP-1 11:18:43 67,5/Good
BP-2 11:19:02 - 72,5
11:29:40 - Clock Start
BP-2 11:30:05 72,5/Good
BP-3 11:30:29 - 77,5
11:41:15 - Clock Start
BP-3 11:41:42 77,5/Good</t>
        </r>
      </text>
    </comment>
    <comment ref="Y14" authorId="1" shapeId="0" xr:uid="{1C113FA8-92E6-45EA-BA26-DCB001617BB8}">
      <text>
        <r>
          <rPr>
            <sz val="8"/>
            <color indexed="81"/>
            <rFont val="Tahoma"/>
            <family val="2"/>
          </rPr>
          <t>Deadlift History:
12:23:18 - Clock Start
DL-1 12:23:32 130/Good
DL-2 12:23:55 - 140
12:32:12 - Clock Start
DL-2 12:32:29 140/Good
DL-3 12:33:03 - 150
12:42:20 - Clock Start
DL-3 12:42:37 150/Good</t>
        </r>
      </text>
    </comment>
    <comment ref="O15" authorId="1" shapeId="0" xr:uid="{E2537FD9-AD99-425C-9C2F-2B4C0F5AF27C}">
      <text>
        <r>
          <rPr>
            <sz val="8"/>
            <color indexed="81"/>
            <rFont val="Tahoma"/>
            <family val="2"/>
          </rPr>
          <t>Squat History:
10:08:42 - Clock Start
SQ-1 10:09:12 115/Good
SQ-2 10:09:27 - 122,5
10:19:25 - Clock Start
SQ-2 10:19:53 122,5/Good</t>
        </r>
      </text>
    </comment>
    <comment ref="T15" authorId="1" shapeId="0" xr:uid="{A1B4CDAB-3397-4827-929A-4A15F6FAC287}">
      <text>
        <r>
          <rPr>
            <sz val="8"/>
            <color indexed="81"/>
            <rFont val="Tahoma"/>
            <family val="2"/>
          </rPr>
          <t>Bench History:
11:15:21 - Clock Start
BP-1 11:15:56 65/Good
BP-2 11:16:01 - 70
11:26:15 - Clock Start
BP-2 11:26:51 -70/No-Lift
BP-3 11:27:01 - 70
11:35:43 - Clock Start
BP-3 11:36:14 70/Good</t>
        </r>
      </text>
    </comment>
    <comment ref="Y15" authorId="1" shapeId="0" xr:uid="{86D8681A-074D-403A-8A7E-75083E3BA0D3}">
      <text>
        <r>
          <rPr>
            <sz val="8"/>
            <color indexed="81"/>
            <rFont val="Tahoma"/>
            <family val="2"/>
          </rPr>
          <t>Deadlift History:
12:26:26 - Clock Start
DL-1 12:26:48 152,5/Good
DL-2 12:26:55 - 165
12:35:54 - Clock Start
DL-3 12:36:35 - 
DL-3 12:36:36 - 
DL-2 12:37:03 -165/No-Lift
DL-3 12:37:52 - 165
12:44:44 - Clock Start
DL-3 12:45:08 -165/No-Lift</t>
        </r>
      </text>
    </comment>
    <comment ref="O16" authorId="1" shapeId="0" xr:uid="{64BC256F-B9F7-4A17-B488-E24130FD1F36}">
      <text>
        <r>
          <rPr>
            <sz val="8"/>
            <color indexed="81"/>
            <rFont val="Tahoma"/>
            <family val="2"/>
          </rPr>
          <t>Squat History:
10:09:46 - Clock Start
SQ-1 10:10:15 120/Good
SQ-2 10:10:41 - 130
10:21:25 - Clock Start
SQ-2 10:22:00 130/Good
SQ-3 10:22:27 - 140
10:32:52 - Clock Start
SQ-3 10:33:32 -140/No-Lift</t>
        </r>
      </text>
    </comment>
    <comment ref="T16" authorId="1" shapeId="0" xr:uid="{999BF033-BE41-4144-A818-8A7F65FC14C0}">
      <text>
        <r>
          <rPr>
            <sz val="8"/>
            <color indexed="81"/>
            <rFont val="Tahoma"/>
            <family val="2"/>
          </rPr>
          <t>Bench History:
11:17:02 - Clock Start
BP-1 11:17:41 65/Good
BP-2 11:17:59 - 70
11:28:09 - Clock Start
BP-2 11:28:55 70/Good
BP-3 11:29:30 - 72,5
11:39:37 - Clock Start
BP-3 11:40:25 -72,5/No-Lift</t>
        </r>
      </text>
    </comment>
    <comment ref="Y16" authorId="1" shapeId="0" xr:uid="{866CD207-767B-4064-9978-16FF4A10C3D6}">
      <text>
        <r>
          <rPr>
            <sz val="8"/>
            <color indexed="81"/>
            <rFont val="Tahoma"/>
            <family val="2"/>
          </rPr>
          <t>Deadlift History:
12:25:26 - Clock Start
DL-1 12:25:54 145/Good
DL-2 12:26:31 - 160
12:34:33 - Clock Start
DL-2 12:35:08 160/Good
DL-3 12:35:43 - 165
12:45:46 - Clock Start
DL-3 12:46:18 -165/No-Lift</t>
        </r>
      </text>
    </comment>
    <comment ref="O17" authorId="1" shapeId="0" xr:uid="{35EDD29F-8246-48A8-B928-71114D74756B}">
      <text>
        <r>
          <rPr>
            <sz val="8"/>
            <color indexed="81"/>
            <rFont val="Tahoma"/>
            <family val="2"/>
          </rPr>
          <t>Squat History:
10:10:59 - Clock Start
SQ-1 10:11:24 -125/No-Lift
SQ-2 10:12:01 - 135
10:22:35 - Clock Start
SQ-2 10:23:07 -135/No-Lift
SQ-3 10:24:03 - 135
10:31:53 - Clock Start
SQ-3 10:32:22 -135/No-Lift</t>
        </r>
      </text>
    </comment>
    <comment ref="T17" authorId="1" shapeId="0" xr:uid="{43A0362C-E228-4043-AEDE-ACE49FC3261B}">
      <text>
        <r>
          <rPr>
            <sz val="8"/>
            <color indexed="81"/>
            <rFont val="Tahoma"/>
            <family val="2"/>
          </rPr>
          <t>Bench History:
BP-1 11:10:18 - 60
11:13:30 - Clock Start
BP-1 11:13:58 60/Good
BP-2 11:14:43 - 65
11:23:51 - Clock Start
BP-2 11:24:18 65/Good
BP-3 11:24:57 - 70
11:36:49 - Clock Start
BP-3 11:37:22 -70/No-Lift</t>
        </r>
      </text>
    </comment>
    <comment ref="Y17" authorId="1" shapeId="0" xr:uid="{6ACD3DB9-27F7-4838-9908-6017ED1C1A59}">
      <text>
        <r>
          <rPr>
            <sz val="8"/>
            <color indexed="81"/>
            <rFont val="Tahoma"/>
            <family val="2"/>
          </rPr>
          <t>Deadlift History:
12:24:32 - Clock Start
DL-1 12:24:56 140/Good
DL-2 12:25:38 - 150
12:33:42 - Clock Start
DL-2 12:34:09 150/Good
DL-3 12:34:30 - 160
12:43:26 - Clock Start
DL-3 12:43:52 160/Good</t>
        </r>
      </text>
    </comment>
    <comment ref="O18" authorId="1" shapeId="0" xr:uid="{606556EF-4F46-4F18-8031-A67F3A7DE1B8}">
      <text>
        <r>
          <rPr>
            <sz val="8"/>
            <color indexed="81"/>
            <rFont val="Tahoma"/>
            <family val="2"/>
          </rPr>
          <t>Squat History:
10:11:57 - Clock Start
SQ-1 10:12:25 -130/No-Lift
SQ-2 10:12:51 - 130
10:20:30 - Clock Start
SQ-2 10:21:03 -130/No-Lift
SQ-3 10:21:17 - 130
10:30:54 - Clock Start
SQ-3 10:31:21 130/Good</t>
        </r>
      </text>
    </comment>
    <comment ref="T18" authorId="1" shapeId="0" xr:uid="{325F90D3-02EF-46E2-AFB9-061640710E0B}">
      <text>
        <r>
          <rPr>
            <sz val="8"/>
            <color indexed="81"/>
            <rFont val="Tahoma"/>
            <family val="2"/>
          </rPr>
          <t>Bench History:
11:14:13 - Clock Start
BP-1 11:14:39 60/Good
BP-2 11:15:02 - 67,5
11:25:01 - Clock Start
BP-2 11:25:27 67,5/Good
BP-3 11:25:48 - 72,5
11:38:51 - Clock Start
BP-3 11:39:18 -72,5/No-Lift</t>
        </r>
      </text>
    </comment>
    <comment ref="Y18" authorId="1" shapeId="0" xr:uid="{BD615B2D-9055-4495-B021-1223D6559FF2}">
      <text>
        <r>
          <rPr>
            <sz val="8"/>
            <color indexed="81"/>
            <rFont val="Tahoma"/>
            <family val="2"/>
          </rPr>
          <t>Deadlift History:
12:23:47 - Clock Start
DL-1 12:24:05 130/Good
DL-2 12:24:23 - 140
12:32:53 - Clock Start
DL-2 12:33:14 140/Good
DL-3 12:34:14 - 147,5
12:41:27 - Clock Start
DL-3 12:41:46 -147,5/No-Lift</t>
        </r>
      </text>
    </comment>
    <comment ref="O19" authorId="1" shapeId="0" xr:uid="{8FC05118-179E-484A-8C32-506348D6A228}">
      <text>
        <r>
          <rPr>
            <sz val="8"/>
            <color indexed="81"/>
            <rFont val="Tahoma"/>
            <family val="2"/>
          </rPr>
          <t>Squat History:
10:37:15 - Clock Start
SQ-1 10:37:37 130/Good
SQ-2 10:37:56 - 132,5
10:44:44 - Clock Start
SQ-2 10:45:05 132,5/Good
SQ-3 10:45:21 - 135
10:52:48 - Clock Start
SQ-3 10:53:13 135/Good</t>
        </r>
      </text>
    </comment>
    <comment ref="T19" authorId="1" shapeId="0" xr:uid="{9C72443B-BCAC-4DD3-98B9-A3B7E320AAE7}">
      <text>
        <r>
          <rPr>
            <sz val="8"/>
            <color indexed="81"/>
            <rFont val="Tahoma"/>
            <family val="2"/>
          </rPr>
          <t>Bench History:
11:47:42 - Clock Start
BP-1 11:48:12 100/Good
BP-2 11:48:33 - 102,5
11:55:06 - Clock Start
BP-2 11:55:34 102,5/Good
BP-3 11:55:54 - 105
12:01:40 - Clock Start
BP-3 12:02:09 105/Good</t>
        </r>
      </text>
    </comment>
    <comment ref="Y19" authorId="1" shapeId="0" xr:uid="{A8F8CD08-58BB-44DE-8335-B42BE94A59FF}">
      <text>
        <r>
          <rPr>
            <sz val="8"/>
            <color indexed="81"/>
            <rFont val="Tahoma"/>
            <family val="2"/>
          </rPr>
          <t>Deadlift History:
12:48:34 - Clock Start
DL-1 12:48:53 135/Good
DL-2 12:49:40 - 137,5
12:56:23 - Clock Start
DL-2 12:56:38 137,5/Good
DL-3 12:56:59 - 140
13:03:23 - Clock Start
DL-3 13:03:40 140/Good</t>
        </r>
      </text>
    </comment>
    <comment ref="O20" authorId="1" shapeId="0" xr:uid="{091BBC73-937D-419C-A77E-E7509A484C2D}">
      <text>
        <r>
          <rPr>
            <sz val="8"/>
            <color indexed="81"/>
            <rFont val="Tahoma"/>
            <family val="2"/>
          </rPr>
          <t>Squat History:
10:38:12 - Clock Start
SQ-1 10:38:42 140/Good
SQ-2 10:38:55 - 150
10:45:38 - Clock Start
SQ-2 10:46:08 150/Good
SQ-3 10:46:15 - 160
10:53:38 - Clock Start
SQ-3 10:54:09 160/Good</t>
        </r>
      </text>
    </comment>
    <comment ref="T20" authorId="1" shapeId="0" xr:uid="{6321215F-DC1D-491E-BB41-C58BD3ED5D88}">
      <text>
        <r>
          <rPr>
            <sz val="8"/>
            <color indexed="81"/>
            <rFont val="Tahoma"/>
            <family val="2"/>
          </rPr>
          <t>Bench History:
11:50:54 - Clock Start
BP-1 11:51:25 120/Good
BP-2 11:51:44 - 130
11:59:39 - Clock Start
BP-2 12:00:11 130/Good
BP-3 12:00:27 - 132,5
12:07:28 - Clock Start
BP-3 12:08:02 -132,5/No-Lift</t>
        </r>
      </text>
    </comment>
    <comment ref="Y20" authorId="1" shapeId="0" xr:uid="{72BA1CB4-889F-4B8B-9F89-D107DD8ECAB7}">
      <text>
        <r>
          <rPr>
            <sz val="8"/>
            <color indexed="81"/>
            <rFont val="Tahoma"/>
            <family val="2"/>
          </rPr>
          <t>Deadlift History:
12:50:31 - Clock Start
DL-1 12:50:58 190/Good
DL-2 12:51:15 - 205
12:57:57 - Clock Start
DL-2 12:58:26 205/Good
DL-3 12:58:51 - 215
13:05:56 - Clock Start
DL-3 13:06:24 215/Good</t>
        </r>
      </text>
    </comment>
    <comment ref="O21" authorId="1" shapeId="0" xr:uid="{C28ED4F2-6AB9-4BB6-BA30-3B9179B97CE3}">
      <text>
        <r>
          <rPr>
            <sz val="8"/>
            <color indexed="81"/>
            <rFont val="Tahoma"/>
            <family val="2"/>
          </rPr>
          <t>Squat History:
10:39:16 - Clock Start
SQ-1 10:39:47 150/Good
SQ-2 10:40:14 - 160
10:46:38 - Clock Start
SQ-2 10:47:09 160/Good
SQ-3 10:47:58 - 165
10:54:43 - Clock Start
SQ-3 10:55:23 -165/No-Lift</t>
        </r>
      </text>
    </comment>
    <comment ref="T21" authorId="1" shapeId="0" xr:uid="{C2878005-1212-4555-AC39-B92247C81A86}">
      <text>
        <r>
          <rPr>
            <sz val="8"/>
            <color indexed="81"/>
            <rFont val="Tahoma"/>
            <family val="2"/>
          </rPr>
          <t>Bench History:
11:48:39 - Clock Start
BP-1 11:49:15 100/Good
BP-2 11:49:49 - 105
11:56:09 - Clock Start
BP-2 11:56:46 105/Good
BP-3 11:57:19 - 107,5
12:02:45 - Clock Start
BP-3 12:03:15 -107,5/No-Lift</t>
        </r>
      </text>
    </comment>
    <comment ref="Y21" authorId="1" shapeId="0" xr:uid="{3C2A2C2B-096B-4428-B8E1-37414D9B76F2}">
      <text>
        <r>
          <rPr>
            <sz val="8"/>
            <color indexed="81"/>
            <rFont val="Tahoma"/>
            <family val="2"/>
          </rPr>
          <t>Deadlift History:
12:51:23 - Clock Start
DL-1 12:51:52 205/Good
DL-2 12:52:16 - 220
12:59:45 - Clock Start
DL-2 13:00:21 -220/No-Lift
DL-3 13:01:34 - 220
13:07:05 - Clock Start
DL-3 13:07:32 -220/No-Lift</t>
        </r>
      </text>
    </comment>
    <comment ref="O22" authorId="1" shapeId="0" xr:uid="{E4279966-AE5C-45E6-8B68-940E686AC018}">
      <text>
        <r>
          <rPr>
            <sz val="8"/>
            <color indexed="81"/>
            <rFont val="Tahoma"/>
            <family val="2"/>
          </rPr>
          <t>Squat History:
SQ-1 10:26:27 - 150
10:40:06 - Clock Start
SQ-1 10:40:28 150/Good
SQ-2 10:40:54 - 165
10:47:42 - Clock Start
SQ-2 10:48:05 165/Good
SQ-3 10:48:27 - 175
10:55:47 - Clock Start
SQ-3 10:56:12 175/Good</t>
        </r>
      </text>
    </comment>
    <comment ref="T22" authorId="1" shapeId="0" xr:uid="{5D21BC61-E15B-40E6-99E1-EA6B35850D63}">
      <text>
        <r>
          <rPr>
            <sz val="8"/>
            <color indexed="81"/>
            <rFont val="Tahoma"/>
            <family val="2"/>
          </rPr>
          <t>Bench History:
11:46:35 - Clock Start
BP-1 11:47:05 90/Good
BP-2 11:47:23 - 100
11:54:13 - Clock Start
BP-2 11:54:39 100/Good
BP-3 11:55:23 - 107,5
12:03:52 - Clock Start
BP-3 12:04:21 107,5/Good</t>
        </r>
      </text>
    </comment>
    <comment ref="Y22" authorId="1" shapeId="0" xr:uid="{F70D61AC-2349-49FB-978F-90671839AC76}">
      <text>
        <r>
          <rPr>
            <sz val="8"/>
            <color indexed="81"/>
            <rFont val="Tahoma"/>
            <family val="2"/>
          </rPr>
          <t>Deadlift History:
DL-1 12:06:17 - 160
12:49:33 - Clock Start
DL-1 12:49:52 160/Good
DL-2 12:50:14 - 175
12:57:13 - Clock Start
DL-2 12:57:30 175/Good
DL-3 12:58:23 - 190
13:04:39 - Clock Start
DL-3 13:04:56 -190/No-Lift</t>
        </r>
      </text>
    </comment>
    <comment ref="O23" authorId="1" shapeId="0" xr:uid="{CEBD8C8B-FCA5-4406-802D-D90EFCC59A9F}">
      <text>
        <r>
          <rPr>
            <sz val="8"/>
            <color indexed="81"/>
            <rFont val="Tahoma"/>
            <family val="2"/>
          </rPr>
          <t>Squat History:
10:41:06 - Clock Start
SQ-1 10:41:34 170/Good
SQ-2 10:41:54 - 180
10:48:42 - Clock Start
SQ-2 10:49:17 -180/No-Lift
SQ-3 10:49:49 - 180
10:56:36 - Clock Start
SQ-3 10:57:07 180/Good</t>
        </r>
      </text>
    </comment>
    <comment ref="T23" authorId="1" shapeId="0" xr:uid="{6405F928-2C7A-4C0A-A522-4FD4F2D6130D}">
      <text>
        <r>
          <rPr>
            <sz val="8"/>
            <color indexed="81"/>
            <rFont val="Tahoma"/>
            <family val="2"/>
          </rPr>
          <t>Bench History:
11:52:00 - Clock Start
BP-1 11:52:25 122,5/Good
BP-2 11:52:58 - 127,5
11:58:40 - Clock Start
BP-2 11:59:13 127,5/Good
BP-3 11:59:45 - 130
12:06:08 - Clock Start
BP-3 12:06:43 130/Good</t>
        </r>
      </text>
    </comment>
    <comment ref="Y23" authorId="1" shapeId="0" xr:uid="{EBB45335-47E6-41D8-B07A-EEB7F02A9260}">
      <text>
        <r>
          <rPr>
            <sz val="8"/>
            <color indexed="81"/>
            <rFont val="Tahoma"/>
            <family val="2"/>
          </rPr>
          <t>Deadlift History:
12:53:25 - Clock Start
DL-1 12:53:52 215/Good
DL-2 12:55:02 - 225
13:01:00 - Clock Start
DL-2 13:01:26 225/Good
DL-3 13:02:21 - 237,5
DL-3 13:02:42 - 232,5
13:09:26 - Clock Start
DL-3 13:09:54 -232,5/No-Lift</t>
        </r>
      </text>
    </comment>
    <comment ref="O24" authorId="1" shapeId="0" xr:uid="{D9B125A4-1B36-470D-8AFA-1FAD12373FA6}">
      <text>
        <r>
          <rPr>
            <sz val="8"/>
            <color indexed="81"/>
            <rFont val="Tahoma"/>
            <family val="2"/>
          </rPr>
          <t>Squat History:
10:42:08 - Clock Start
SQ-1 10:42:52 -185/No-Lift
SQ-2 10:43:24 - 190
10:49:51 - Clock Start
SQ-2 10:50:40 -190/No-Lift
SQ-3 10:52:04 - 190
10:57:47 - Clock Start
SQ-3 10:58:40 -190/No-Lift</t>
        </r>
      </text>
    </comment>
    <comment ref="T24" authorId="1" shapeId="0" xr:uid="{3FE1AB74-82CB-4003-99FB-638B7990A536}">
      <text>
        <r>
          <rPr>
            <sz val="8"/>
            <color indexed="81"/>
            <rFont val="Tahoma"/>
            <family val="2"/>
          </rPr>
          <t>Bench History:
11:49:44 - Clock Start
BP-1 11:50:27 115/Good
BP-2 11:50:50 - 120
11:57:15 - Clock Start
BP-2 11:58:07 120/Good
BP-3 11:58:51 - 125
12:04:53 - Clock Start
BP-3 12:05:42 -125/No-Lift</t>
        </r>
      </text>
    </comment>
    <comment ref="Y24" authorId="1" shapeId="0" xr:uid="{826F65D3-F9E9-441F-AAE9-C396E07B0723}">
      <text>
        <r>
          <rPr>
            <sz val="8"/>
            <color indexed="81"/>
            <rFont val="Tahoma"/>
            <family val="2"/>
          </rPr>
          <t>Deadlift History:
12:52:21 - Clock Start
DL-1 12:52:48 215/Good
DL-2 12:53:29 - 220
12:58:58 - Clock Start
DL-2 12:59:26 220/Good
DL-3 13:00:27 - 225
13:08:17 - Clock Start
DL-3 13:08:48 -225/No-Lift</t>
        </r>
      </text>
    </comment>
    <comment ref="O25" authorId="1" shapeId="0" xr:uid="{80176F46-2D9B-45CE-B35A-050E72AD851A}">
      <text>
        <r>
          <rPr>
            <sz val="8"/>
            <color indexed="81"/>
            <rFont val="Tahoma"/>
            <family val="2"/>
          </rPr>
          <t>Squat History:
10:43:35 - Clock Start
SQ-1 10:43:57 200/Good
SQ-2 10:44:50 - 210
10:51:25 - Clock Start
SQ-2 10:51:58 210/Good
SQ-3 10:52:31 - 220
10:59:21 - Clock Start
SQ-3 10:59:55 220/Good</t>
        </r>
      </text>
    </comment>
    <comment ref="T25" authorId="1" shapeId="0" xr:uid="{4B8C3818-73A4-4908-B3F6-3B2B0DF5BA5C}">
      <text>
        <r>
          <rPr>
            <sz val="8"/>
            <color indexed="81"/>
            <rFont val="Tahoma"/>
            <family val="2"/>
          </rPr>
          <t>Bench History:
11:53:04 - Clock Start
BP-1 11:53:30 130/Good
BP-2 11:54:16 - 135
12:00:37 - Clock Start
BP-2 12:01:03 135/Good
BP-3 12:01:36 - 140
12:08:30 - Clock Start
BP-3 12:08:57 140/Good</t>
        </r>
      </text>
    </comment>
    <comment ref="Y25" authorId="1" shapeId="0" xr:uid="{2336FB61-AE8D-4B4D-92B7-6C7FEEAC4573}">
      <text>
        <r>
          <rPr>
            <sz val="8"/>
            <color indexed="81"/>
            <rFont val="Tahoma"/>
            <family val="2"/>
          </rPr>
          <t>Deadlift History:
12:54:37 - Clock Start
DL-1 12:54:57 245/Good
DL-2 12:55:39 - 255
13:01:48 - Clock Start
DL-2 13:02:25 255/Good
DL-3 13:03:03 - 265
13:10:41 - Clock Start
DL-3 13:11:07 265/Good</t>
        </r>
      </text>
    </comment>
    <comment ref="O26" authorId="1" shapeId="0" xr:uid="{AC43485C-B1AA-4785-8380-75581A064503}">
      <text>
        <r>
          <rPr>
            <sz val="8"/>
            <color indexed="81"/>
            <rFont val="Tahoma"/>
            <family val="2"/>
          </rPr>
          <t>Squat History:
13:21:56 - Clock Start
13:22:00 - Clock Start
13:32:29 - Clock Start
SQ-1 13:32:40 165/Good
SQ-2 13:34:37 - 175
13:44:03 - Clock Start
SQ-2 13:44:31 175/Good
SQ-3 13:44:49 - 180
13:54:08 - Clock Start
SQ-3 13:54:55 180/Good
14:50:31 - Clock Start</t>
        </r>
      </text>
    </comment>
    <comment ref="T26" authorId="1" shapeId="0" xr:uid="{17120F46-8C53-4993-90CA-49B98860360F}">
      <text>
        <r>
          <rPr>
            <sz val="8"/>
            <color indexed="81"/>
            <rFont val="Tahoma"/>
            <family val="2"/>
          </rPr>
          <t>Bench History:
14:43:25 - Clock Start
BP-1 14:43:54 110/Good
BP-2 14:44:17 - 117,5
14:52:22 - Clock Start
BP-2 14:52:54 117,5/Good
BP-3 14:53:27 - 122,5
15:01:33 - Clock Start
BP-3 15:02:05 122,5/Good</t>
        </r>
      </text>
    </comment>
    <comment ref="Y26" authorId="1" shapeId="0" xr:uid="{EA48B0BA-74F9-453C-8896-F95F1E25221A}">
      <text>
        <r>
          <rPr>
            <sz val="8"/>
            <color indexed="81"/>
            <rFont val="Tahoma"/>
            <family val="2"/>
          </rPr>
          <t>Deadlift History:
15:29:20 - Clock Start
DL-1 15:29:36 200/Good
DL-2 15:30:08 - 210
15:38:03 - Clock Start
DL-2 15:38:28 210/Good
DL-3 15:38:47 - 215
15:46:36 - Clock Start
DL-3 15:47:00 215/Good</t>
        </r>
      </text>
    </comment>
    <comment ref="O27" authorId="1" shapeId="0" xr:uid="{E2C2616B-017A-44B4-8D92-8EDF3CE3A1A0}">
      <text>
        <r>
          <rPr>
            <sz val="8"/>
            <color indexed="81"/>
            <rFont val="Tahoma"/>
            <family val="2"/>
          </rPr>
          <t>Squat History:
13:33:41 - Clock Start
SQ-1 13:34:23 175/Good
SQ-2 13:35:47 - 185
13:45:02 - Clock Start
SQ-2 13:45:39 185/Good
SQ-3 13:46:48 - 195
13:56:19 - Clock Start
SQ-3 13:56:52 195/Good</t>
        </r>
      </text>
    </comment>
    <comment ref="T27" authorId="1" shapeId="0" xr:uid="{43DBAE4F-2532-46D9-A6BA-55656B3F6A4F}">
      <text>
        <r>
          <rPr>
            <sz val="8"/>
            <color indexed="81"/>
            <rFont val="Tahoma"/>
            <family val="2"/>
          </rPr>
          <t>Bench History:
BP-1 14:40:27 - 100
14:41:34 - Clock Start
BP-1 14:42:04 100/Good
BP-2 14:43:12 - 107,5
14:51:19 - Clock Start
BP-2 14:51:49 107,5/Good
BP-3 14:53:06 - 110
15:00:50 - Clock Start
BP-3 15:01:00 110/Good</t>
        </r>
      </text>
    </comment>
    <comment ref="Y27" authorId="1" shapeId="0" xr:uid="{10315D00-B236-404C-84DC-8023A9F6D3E7}">
      <text>
        <r>
          <rPr>
            <sz val="8"/>
            <color indexed="81"/>
            <rFont val="Tahoma"/>
            <family val="2"/>
          </rPr>
          <t>Deadlift History:
15:32:45 - Clock Start
DL-1 15:33:14 225/Good
DL-2 15:34:20 - 240
15:40:36 - Clock Start
DL-2 15:41:16 240/Good
DL-3 15:42:06 - 255
15:51:33 - Clock Start
DL-3 15:52:01 255/Good</t>
        </r>
      </text>
    </comment>
    <comment ref="O28" authorId="1" shapeId="0" xr:uid="{27A378D7-A3E6-4FE2-B6D8-762C01CFF084}">
      <text>
        <r>
          <rPr>
            <sz val="8"/>
            <color indexed="81"/>
            <rFont val="Tahoma"/>
            <family val="2"/>
          </rPr>
          <t>Squat History:
13:34:56 - Clock Start
SQ-1 13:35:41 180/Good
SQ-2 13:35:54 - 187,5
13:46:02 - Clock Start
SQ-2 13:46:34 187,5/Good
SQ-3 13:47:12 - 192,5
13:55:23 - Clock Start
SQ-3 13:55:50 192,5/Good</t>
        </r>
      </text>
    </comment>
    <comment ref="T28" authorId="1" shapeId="0" xr:uid="{9153C8D0-B7F9-4A43-881F-41A42D391D70}">
      <text>
        <r>
          <rPr>
            <sz val="8"/>
            <color indexed="81"/>
            <rFont val="Tahoma"/>
            <family val="2"/>
          </rPr>
          <t>Bench History:
14:42:24 - Clock Start
BP-1 14:42:52 100/Good</t>
        </r>
      </text>
    </comment>
    <comment ref="Y28" authorId="1" shapeId="0" xr:uid="{24F29E5C-65DA-4E3A-BC3A-954557417208}">
      <text>
        <r>
          <rPr>
            <sz val="8"/>
            <color indexed="81"/>
            <rFont val="Tahoma"/>
            <family val="2"/>
          </rPr>
          <t>Deadlift History:
15:31:42 - Clock Start
DL-1 15:32:03 222,5/Good
DL-2 15:32:33 - 230
15:39:11 - Clock Start
DL-2 15:39:30 230/Good
DL-3 15:40:03 - 240
DL-3 15:40:04 - 240
DL-3 15:40:06 - 240
15:47:58 - Clock Start
DL-3 15:48:17 240/Good</t>
        </r>
      </text>
    </comment>
    <comment ref="O29" authorId="1" shapeId="0" xr:uid="{D79F9549-2B88-4267-85F2-8397973304B8}">
      <text>
        <r>
          <rPr>
            <sz val="8"/>
            <color indexed="81"/>
            <rFont val="Tahoma"/>
            <family val="2"/>
          </rPr>
          <t>Squat History:
13:35:56 - Clock Start
SQ-1 13:36:16 180/Good
SQ-2 13:36:36 - 200
13:47:05 - Clock Start
SQ-2 13:47:36 200/Good
SQ-3 13:48:04 - 210
13:57:21 - Clock Start
SQ-3 13:57:51 210/Good</t>
        </r>
      </text>
    </comment>
    <comment ref="T29" authorId="1" shapeId="0" xr:uid="{CB869C51-CF93-404F-A5F1-73F3EDAFF488}">
      <text>
        <r>
          <rPr>
            <sz val="8"/>
            <color indexed="81"/>
            <rFont val="Tahoma"/>
            <family val="2"/>
          </rPr>
          <t>Bench History:
14:45:55 - Clock Start
BP-1 14:46:21 130/Good
BP-2 14:46:35 - 142,5
14:55:42 - Clock Start
BP-2 14:56:09 142,5/Good
BP-3 14:56:40 - 150
15:04:45 - Clock Start
BP-3 15:05:14 150/Good</t>
        </r>
      </text>
    </comment>
    <comment ref="Y29" authorId="1" shapeId="0" xr:uid="{EF439B87-6B32-4FE2-949D-371A1C520A90}">
      <text>
        <r>
          <rPr>
            <sz val="8"/>
            <color indexed="81"/>
            <rFont val="Tahoma"/>
            <family val="2"/>
          </rPr>
          <t>Deadlift History:
15:31:00 - Clock Start
DL-1 15:31:19 220/Good
DL-2 15:31:36 - 240
15:41:29 - Clock Start
DL-2 15:41:49 240/Good
DL-3 15:42:12 - 250
15:50:27 - Clock Start
DL-3 15:50:50 250/Good</t>
        </r>
      </text>
    </comment>
    <comment ref="O30" authorId="1" shapeId="0" xr:uid="{2295FADF-D314-498F-8125-0734D7698D14}">
      <text>
        <r>
          <rPr>
            <sz val="8"/>
            <color indexed="81"/>
            <rFont val="Tahoma"/>
            <family val="2"/>
          </rPr>
          <t>Squat History:
13:36:54 - Clock Start
SQ-1 13:37:25 195/Good
SQ-2 13:37:40 - 210
13:48:06 - Clock Start
SQ-2 13:48:44 210/Good
SQ-3 13:49:08 - 215
13:58:29 - Clock Start
SQ-3 13:59:19 215/Good</t>
        </r>
      </text>
    </comment>
    <comment ref="T30" authorId="1" shapeId="0" xr:uid="{0C14F362-0BE8-4839-996A-BB9C87FBCD5E}">
      <text>
        <r>
          <rPr>
            <sz val="8"/>
            <color indexed="81"/>
            <rFont val="Tahoma"/>
            <family val="2"/>
          </rPr>
          <t>Bench History:
14:44:59 - Clock Start
BP-1 14:45:32 -130/No-Lift
BP-2 14:45:53 - 130
14:53:33 - Clock Start
BP-2 14:54:11 130/Good
BP-3 14:54:57 - 140
15:02:43 - Clock Start
BP-3 15:03:24 140/Good</t>
        </r>
      </text>
    </comment>
    <comment ref="Y30" authorId="1" shapeId="0" xr:uid="{7C6C4732-8D2E-4A20-969E-D6E3F4074A37}">
      <text>
        <r>
          <rPr>
            <sz val="8"/>
            <color indexed="81"/>
            <rFont val="Tahoma"/>
            <family val="2"/>
          </rPr>
          <t>Deadlift History:
15:30:23 - Clock Start
DL-1 15:30:44 220/Good
DL-2 15:31:05 - 235
15:39:56 - Clock Start
DL-2 15:40:16 235/Good
DL-3 15:40:46 - 245
15:49:09 - Clock Start
DL-3 15:49:31 245/Good</t>
        </r>
      </text>
    </comment>
    <comment ref="O31" authorId="1" shapeId="0" xr:uid="{7CEA4763-AEFA-44A6-A392-BE94611268F1}">
      <text>
        <r>
          <rPr>
            <sz val="8"/>
            <color indexed="81"/>
            <rFont val="Tahoma"/>
            <family val="2"/>
          </rPr>
          <t>Squat History:
13:38:24 - Clock Start
SQ-1 13:38:55 210/Good
SQ-2 13:39:50 - 225
13:49:16 - Clock Start
SQ-2 13:49:54 225/Good
SQ-3 13:51:09 - 230
13:59:53 - Clock Start
SQ-3 14:00:25 230/Good</t>
        </r>
      </text>
    </comment>
    <comment ref="T31" authorId="1" shapeId="0" xr:uid="{59869B57-B36D-4D7B-8B83-7FBA11BDEB90}">
      <text>
        <r>
          <rPr>
            <sz val="8"/>
            <color indexed="81"/>
            <rFont val="Tahoma"/>
            <family val="2"/>
          </rPr>
          <t>Bench History:
14:48:44 - Clock Start
BP-1 14:49:20 145/Good
BP-2 14:49:56 - 155
14:57:50 - Clock Start
BP-2 14:58:24 155/Good
BP-3 14:58:59 - 160
15:05:46 - Clock Start
BP-3 15:06:20 160/Good</t>
        </r>
      </text>
    </comment>
    <comment ref="Y31" authorId="1" shapeId="0" xr:uid="{1F46B8B9-A0EC-4694-8535-5DF460F5196A}">
      <text>
        <r>
          <rPr>
            <sz val="8"/>
            <color indexed="81"/>
            <rFont val="Tahoma"/>
            <family val="2"/>
          </rPr>
          <t>Deadlift History:
DL-1 13:17:34 - 255
15:34:38 - Clock Start
DL-1 15:34:57 255/Good
DL-2 15:35:32 - 275
15:43:31 - Clock Start
DL-2 15:43:52 275/Good
DL-3 15:44:27 - 290
15:56:02 - Clock Start
DL-3 15:56:21 -290/No-Lift</t>
        </r>
      </text>
    </comment>
    <comment ref="O32" authorId="1" shapeId="0" xr:uid="{DC0015CB-A2FB-45FE-97C2-98E36D7C3C44}">
      <text>
        <r>
          <rPr>
            <sz val="8"/>
            <color indexed="81"/>
            <rFont val="Tahoma"/>
            <family val="2"/>
          </rPr>
          <t>Squat History:
13:39:37 - Clock Start
SQ-1 13:40:16 225/Good
SQ-2 13:40:37 - 240
13:50:23 - Clock Start
SQ-2 13:50:55 240/Good
SQ-3 13:51:18 - 250
14:00:51 - Clock Start
SQ-3 14:01:30 250/Good</t>
        </r>
      </text>
    </comment>
    <comment ref="T32" authorId="1" shapeId="0" xr:uid="{F24BC095-5B1C-4AB5-9DB9-908CB7CA744A}">
      <text>
        <r>
          <rPr>
            <sz val="8"/>
            <color indexed="81"/>
            <rFont val="Tahoma"/>
            <family val="2"/>
          </rPr>
          <t>Bench History:
14:47:48 - Clock Start
BP-1 14:48:22 145/Good
BP-2 14:48:41 - 155
14:56:44 - Clock Start
BP-2 14:57:25 155/Good
BP-3 14:57:48 - 162,5
15:06:41 - Clock Start
BP-3 15:07:19 -162,5/No-Lift</t>
        </r>
      </text>
    </comment>
    <comment ref="Y32" authorId="1" shapeId="0" xr:uid="{B2398E4A-23C7-4701-9798-D630E27AC837}">
      <text>
        <r>
          <rPr>
            <sz val="8"/>
            <color indexed="81"/>
            <rFont val="Tahoma"/>
            <family val="2"/>
          </rPr>
          <t>Deadlift History:
15:35:29 - Clock Start
DL-1 15:36:00 265/Good
DL-2 15:36:19 - 280
15:44:18 - Clock Start
DL-2 15:44:51 280/Good
DL-3 15:45:14 - 285
15:54:44 - Clock Start
DL-3 15:55:15 -285/No-Lift</t>
        </r>
      </text>
    </comment>
    <comment ref="O33" authorId="1" shapeId="0" xr:uid="{422EEFBC-34CA-4BF9-A93A-9A77AFA092E2}">
      <text>
        <r>
          <rPr>
            <sz val="8"/>
            <color indexed="81"/>
            <rFont val="Tahoma"/>
            <family val="2"/>
          </rPr>
          <t>Squat History:
13:40:45 - Clock Start
SQ-1 13:41:12 230/Good
SQ-2 13:41:56 - 250
13:51:26 - Clock Start
SQ-2 13:51:56 250/Good
SQ-3 13:52:37 - 260
14:03:36 - Clock Start
SQ-3 14:04:05 -260/No-Lift</t>
        </r>
      </text>
    </comment>
    <comment ref="T33" authorId="1" shapeId="0" xr:uid="{CCE59EC1-3CBE-4451-8585-9D43BEA4DE95}">
      <text>
        <r>
          <rPr>
            <sz val="8"/>
            <color indexed="81"/>
            <rFont val="Tahoma"/>
            <family val="2"/>
          </rPr>
          <t>Bench History:
14:46:50 - Clock Start
BP-1 14:47:18 135/Good
BP-2 14:47:55 - 142,5
14:54:52 - Clock Start
BP-2 14:55:23 142,5/Good
BP-3 14:56:18 - 150
15:03:56 - Clock Start
BP-3 15:04:21 -150/No-Lift</t>
        </r>
      </text>
    </comment>
    <comment ref="Y33" authorId="1" shapeId="0" xr:uid="{261DEA56-AC70-42D4-9B3B-402A91792FB9}">
      <text>
        <r>
          <rPr>
            <sz val="8"/>
            <color indexed="81"/>
            <rFont val="Tahoma"/>
            <family val="2"/>
          </rPr>
          <t>Deadlift History:
15:33:44 - Clock Start
DL-1 15:34:11 240/Good
DL-2 15:34:43 - 260
15:42:21 - Clock Start
DL-2 15:42:47 -260/No-Lift
DL-3 15:43:15 - 260
15:52:40 - Clock Start
DL-3 15:53:41 -260/No-Lift</t>
        </r>
      </text>
    </comment>
    <comment ref="O34" authorId="1" shapeId="0" xr:uid="{6E6A8B17-D8DB-4CEA-B993-7C71A7DB0002}">
      <text>
        <r>
          <rPr>
            <sz val="8"/>
            <color indexed="81"/>
            <rFont val="Tahoma"/>
            <family val="2"/>
          </rPr>
          <t>Squat History:
13:42:30 - Clock Start
SQ-1 13:43:13 240/Good
SQ-2 13:43:34 - 250
13:52:29 - Clock Start
SQ-2 13:53:19 250/Good
SQ-3 13:53:58 - 255
14:02:07 - Clock Start
SQ-3 14:02:56 255/Good</t>
        </r>
      </text>
    </comment>
    <comment ref="T34" authorId="1" shapeId="0" xr:uid="{F60A6936-7ACA-4BDF-BC56-E38A820353A9}">
      <text>
        <r>
          <rPr>
            <sz val="8"/>
            <color indexed="81"/>
            <rFont val="Tahoma"/>
            <family val="2"/>
          </rPr>
          <t>Bench History:
14:49:50 - Clock Start
BP-1 14:50:35 160/Good
BP-2 14:51:16 - 165
14:58:54 - Clock Start
BP-2 14:59:45 165/Good
BP-3 15:00:31 - 170
15:07:52 - Clock Start
BP-3 15:08:27 -170/No-Lift</t>
        </r>
      </text>
    </comment>
    <comment ref="Y34" authorId="1" shapeId="0" xr:uid="{06816923-6516-4D31-B238-F8D4531F9840}">
      <text>
        <r>
          <rPr>
            <sz val="8"/>
            <color indexed="81"/>
            <rFont val="Tahoma"/>
            <family val="2"/>
          </rPr>
          <t>Deadlift History:
15:36:22 - Clock Start
DL-1 15:36:56 270/Good
DL-2 15:37:41 - 280
15:45:07 - Clock Start
DL-2 15:45:38 280/Good
DL-3 15:46:17 - 290
15:56:53 - Clock Start
DL-3 15:57:21 290/Good</t>
        </r>
      </text>
    </comment>
    <comment ref="O35" authorId="1" shapeId="0" xr:uid="{AD25F113-343D-4BBE-BD8A-5D50A8CFCED4}">
      <text>
        <r>
          <rPr>
            <sz val="8"/>
            <color indexed="81"/>
            <rFont val="Tahoma"/>
            <family val="2"/>
          </rPr>
          <t>Squat History:</t>
        </r>
      </text>
    </comment>
    <comment ref="T35" authorId="1" shapeId="0" xr:uid="{6BC1D04C-F33F-49A2-9CB0-183149C83EF2}">
      <text>
        <r>
          <rPr>
            <sz val="8"/>
            <color indexed="81"/>
            <rFont val="Tahoma"/>
            <family val="2"/>
          </rPr>
          <t>Bench History:
14:14:32 - Clock Start
BP-1 14:14:54 40/Good
BP-2 14:15:09 - 42,5
14:23:48 - Clock Start
BP-2 14:24:15 -42,5/No-Lift
BP-3 14:24:44 - 45
14:32:42 - Clock Start
BP-3 14:33:09 -45/No-Lift</t>
        </r>
      </text>
    </comment>
    <comment ref="Y35" authorId="1" shapeId="0" xr:uid="{D98F33A8-DB95-4B94-8898-1DAC314F0A17}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6" authorId="1" shapeId="0" xr:uid="{A8139EEB-82A6-4619-9018-CA91157AD9B6}">
      <text>
        <r>
          <rPr>
            <sz val="8"/>
            <color indexed="81"/>
            <rFont val="Tahoma"/>
            <family val="2"/>
          </rPr>
          <t>Squat History:</t>
        </r>
      </text>
    </comment>
    <comment ref="T36" authorId="1" shapeId="0" xr:uid="{CC681107-9269-4E92-BD8A-5B3FFF2B6418}">
      <text>
        <r>
          <rPr>
            <sz val="8"/>
            <color indexed="81"/>
            <rFont val="Tahoma"/>
            <family val="2"/>
          </rPr>
          <t>Bench History:
14:15:31 - Clock Start
BP-1 14:15:58 70/Good
BP-2 14:16:35 - 75
14:24:53 - Clock Start
BP-2 14:25:21 -75/No-Lift
BP-3 14:26:37 - 75
14:33:49 - Clock Start
BP-3 14:34:13 -75/No-Lift</t>
        </r>
      </text>
    </comment>
    <comment ref="Y36" authorId="1" shapeId="0" xr:uid="{77B82925-BB3A-44DD-A4F0-13521CA62DF7}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7" authorId="1" shapeId="0" xr:uid="{2D73941C-D591-436E-872A-5B6DE2BD640E}">
      <text>
        <r>
          <rPr>
            <sz val="8"/>
            <color indexed="81"/>
            <rFont val="Tahoma"/>
            <family val="2"/>
          </rPr>
          <t>Squat History:</t>
        </r>
      </text>
    </comment>
    <comment ref="T37" authorId="1" shapeId="0" xr:uid="{0957ABEE-E43E-43F7-B460-F72916A10FF2}">
      <text>
        <r>
          <rPr>
            <sz val="8"/>
            <color indexed="81"/>
            <rFont val="Tahoma"/>
            <family val="2"/>
          </rPr>
          <t>Bench History:
14:16:43 - Clock Start
BP-1 14:17:16 85/Good
BP-2 14:17:33 - 90
14:27:02 - Clock Start
BP-2 14:27:40 90/Good
BP-3 14:28:02 - 92,5
14:36:05 - Clock Start
BP-3 14:36:38 -92,5/No-Lift</t>
        </r>
      </text>
    </comment>
    <comment ref="Y37" authorId="1" shapeId="0" xr:uid="{B94C495C-00E2-48AC-AFB5-8532520563AB}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8" authorId="1" shapeId="0" xr:uid="{0E104242-7ED9-4575-8D02-454C2737BAB8}">
      <text>
        <r>
          <rPr>
            <sz val="8"/>
            <color indexed="81"/>
            <rFont val="Tahoma"/>
            <family val="2"/>
          </rPr>
          <t>Squat History:</t>
        </r>
      </text>
    </comment>
    <comment ref="T38" authorId="1" shapeId="0" xr:uid="{3351E7BF-BA7F-4334-A6C6-6BA4F8775C14}">
      <text>
        <r>
          <rPr>
            <sz val="8"/>
            <color indexed="81"/>
            <rFont val="Tahoma"/>
            <family val="2"/>
          </rPr>
          <t>Bench History:
BP-1 14:09:54 - 85
14:17:37 - Clock Start
BP-1 14:18:28 -85/No-Lift
BP-2 14:19:37 - 87,5
14:25:49 - Clock Start
BP-2 14:26:32 -87,5/No-Lift
BP-3 14:27:44 - 87,5
14:34:41 - Clock Start
BP-3 14:35:36 -87,5/No-Lift</t>
        </r>
      </text>
    </comment>
    <comment ref="Y38" authorId="1" shapeId="0" xr:uid="{77907B23-E7BA-4022-825B-166AF6500B8E}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9" authorId="1" shapeId="0" xr:uid="{12C4D4E3-D20D-45A8-88F2-966DB22A3340}">
      <text>
        <r>
          <rPr>
            <sz val="8"/>
            <color indexed="81"/>
            <rFont val="Tahoma"/>
            <family val="2"/>
          </rPr>
          <t>Squat History:</t>
        </r>
      </text>
    </comment>
    <comment ref="T39" authorId="1" shapeId="0" xr:uid="{B663765B-2196-4F0A-88F8-8388E376C045}">
      <text>
        <r>
          <rPr>
            <sz val="8"/>
            <color indexed="81"/>
            <rFont val="Tahoma"/>
            <family val="2"/>
          </rPr>
          <t>Bench History:
14:18:57 - Clock Start
BP-1 14:19:29 87,5/Good
BP-2 14:19:58 - 92,5
14:28:07 - Clock Start
BP-2 14:28:40 92,5/Good
BP-3 14:29:05 - 97,5
14:37:11 - Clock Start
BP-3 14:37:45 97,5/Good</t>
        </r>
      </text>
    </comment>
    <comment ref="Y39" authorId="1" shapeId="0" xr:uid="{5D1E50D5-466B-4936-A637-347EDC8A321F}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40" authorId="1" shapeId="0" xr:uid="{7E2B7C13-D57C-493A-B411-F25307EC5D07}">
      <text>
        <r>
          <rPr>
            <sz val="8"/>
            <color indexed="81"/>
            <rFont val="Tahoma"/>
            <family val="2"/>
          </rPr>
          <t>Squat History:</t>
        </r>
      </text>
    </comment>
    <comment ref="T40" authorId="1" shapeId="0" xr:uid="{E7988297-AA34-4597-B8F8-DECC06B4165C}">
      <text>
        <r>
          <rPr>
            <sz val="8"/>
            <color indexed="81"/>
            <rFont val="Tahoma"/>
            <family val="2"/>
          </rPr>
          <t>Bench History:
14:20:01 - Clock Start
BP-1 14:20:28 92,5/Good
BP-2 14:20:49 - 97,5
14:29:16 - Clock Start
BP-2 14:29:41 97,5/Good
BP-3 14:30:10 - 100
14:38:16 - Clock Start
BP-3 14:38:40 -100/No-Lift</t>
        </r>
      </text>
    </comment>
    <comment ref="Y40" authorId="1" shapeId="0" xr:uid="{618AF9DB-F1CB-4375-93BA-0994287AD3E0}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41" authorId="1" shapeId="0" xr:uid="{82E328C2-FA93-4687-B8AB-2586383A8E28}">
      <text>
        <r>
          <rPr>
            <sz val="8"/>
            <color indexed="81"/>
            <rFont val="Tahoma"/>
            <family val="2"/>
          </rPr>
          <t>Squat History:</t>
        </r>
      </text>
    </comment>
    <comment ref="T41" authorId="1" shapeId="0" xr:uid="{C8910EDB-28D3-458B-94D5-6A7353C054A2}">
      <text>
        <r>
          <rPr>
            <sz val="8"/>
            <color indexed="81"/>
            <rFont val="Tahoma"/>
            <family val="2"/>
          </rPr>
          <t>Bench History:
14:21:06 - Clock Start
BP-1 14:21:43 -110/No-Lift
BP-2 14:23:22 - 110
14:30:15 - Clock Start
BP-2 14:30:54 110/Good</t>
        </r>
      </text>
    </comment>
    <comment ref="Y41" authorId="1" shapeId="0" xr:uid="{C581F971-4E45-4CAD-8565-A8BA03452FE8}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42" authorId="1" shapeId="0" xr:uid="{3DE4071C-F566-450F-B211-5B2FF6FFB29C}">
      <text>
        <r>
          <rPr>
            <sz val="8"/>
            <color indexed="81"/>
            <rFont val="Tahoma"/>
            <family val="2"/>
          </rPr>
          <t>Squat History:</t>
        </r>
      </text>
    </comment>
    <comment ref="T42" authorId="1" shapeId="0" xr:uid="{4B2732EB-ACBA-4AA5-AF82-C0E505FCF723}">
      <text>
        <r>
          <rPr>
            <sz val="8"/>
            <color indexed="81"/>
            <rFont val="Tahoma"/>
            <family val="2"/>
          </rPr>
          <t>Bench History:
BP-1 13:56:07 - 137,5
14:22:30 - Clock Start
BP-1 14:23:00 137,5/Good
BP-2 14:23:17 - 145
14:31:30 - Clock Start
BP-2 14:32:00 145/Good
BP-3 14:32:24 - 150
14:39:18 - Clock Start
BP-3 14:39:51 150/Good</t>
        </r>
      </text>
    </comment>
    <comment ref="Y42" authorId="1" shapeId="0" xr:uid="{AC25C6C5-A3D3-4138-8AC6-96E405943040}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<sst xmlns="http://schemas.openxmlformats.org/spreadsheetml/2006/main" count="713" uniqueCount="336">
  <si>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</si>
  <si>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</si>
  <si>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</si>
  <si>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</si>
  <si>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</si>
  <si>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</si>
  <si>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</si>
  <si>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</si>
  <si>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</si>
  <si>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</si>
  <si>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</si>
  <si>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</si>
  <si>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</si>
  <si>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</si>
  <si>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</si>
  <si>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</si>
  <si>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</si>
  <si>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</si>
  <si>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</si>
  <si>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</si>
  <si>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</si>
  <si>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</si>
  <si>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</si>
  <si>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</si>
  <si>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</si>
  <si>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</si>
  <si>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</si>
  <si>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</si>
  <si>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</si>
  <si>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</si>
  <si>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</si>
  <si>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</si>
  <si>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</si>
  <si>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</si>
  <si>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</si>
  <si>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</si>
  <si>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</si>
  <si>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</si>
  <si>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</si>
  <si>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</si>
  <si>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</si>
  <si>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</si>
  <si>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</si>
  <si>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</si>
  <si>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</si>
  <si>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</si>
  <si>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</si>
  <si>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</si>
  <si>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</si>
  <si>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</si>
  <si>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</si>
  <si>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</si>
  <si>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</si>
  <si>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</si>
  <si>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</si>
  <si>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</si>
  <si>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</si>
  <si>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</si>
  <si>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</si>
  <si>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</si>
  <si>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</si>
  <si>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</si>
  <si>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</si>
  <si>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</si>
  <si>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</si>
  <si>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</si>
  <si>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</si>
  <si>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</si>
  <si>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</si>
  <si>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</si>
  <si>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</si>
  <si>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</si>
  <si>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</si>
  <si>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</si>
  <si>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</si>
  <si>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</si>
  <si>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</si>
  <si>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</si>
  <si>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</si>
  <si>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</si>
  <si>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</si>
  <si>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</si>
  <si>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</si>
  <si>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</si>
  <si>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</si>
  <si>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</si>
  <si>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</si>
  <si>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</si>
  <si>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</si>
  <si>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</si>
  <si>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</si>
  <si>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</si>
  <si>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</si>
  <si>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</si>
  <si>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</si>
  <si>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</si>
  <si>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</si>
  <si>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</si>
  <si>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</si>
  <si>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</si>
  <si>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</si>
  <si>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</si>
  <si>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</si>
  <si>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</si>
  <si>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</si>
  <si>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</si>
  <si>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</si>
  <si>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</si>
  <si>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</si>
  <si>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</si>
  <si>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</si>
  <si>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</si>
  <si>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</si>
  <si>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</si>
  <si>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</si>
  <si>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</si>
  <si>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</si>
  <si>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</si>
  <si>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</si>
  <si>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</si>
  <si>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</si>
  <si>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</si>
  <si>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</si>
  <si>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</si>
  <si>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</si>
  <si>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</si>
  <si>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</si>
  <si>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</si>
  <si>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</si>
  <si>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</si>
  <si>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</si>
  <si>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</si>
  <si>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</si>
  <si>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</si>
  <si>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</si>
  <si>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</si>
  <si>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</si>
  <si>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</si>
  <si>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</si>
  <si>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</si>
  <si>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</si>
  <si>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</si>
  <si>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</si>
  <si>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</si>
  <si>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</si>
  <si>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</si>
  <si>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</si>
  <si>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</si>
  <si>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</si>
  <si>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</si>
  <si>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</si>
  <si>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</si>
  <si>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</si>
  <si>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</si>
  <si>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</si>
  <si>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</si>
  <si>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</si>
  <si>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</si>
  <si>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</si>
  <si>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</si>
  <si>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</si>
  <si>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</si>
  <si>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</si>
  <si>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</si>
  <si>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</si>
  <si>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</si>
  <si>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</si>
  <si>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</si>
  <si>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</si>
  <si>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</si>
  <si>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</si>
  <si>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</si>
  <si>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</si>
  <si>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</si>
  <si>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</si>
  <si>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</si>
  <si>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</si>
  <si>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</si>
  <si>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</si>
  <si>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</si>
  <si>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</si>
  <si>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</si>
  <si>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</si>
  <si>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</si>
  <si>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</si>
  <si>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Age-Wilks</t>
  </si>
  <si>
    <t>Wilks</t>
  </si>
  <si>
    <t>Born</t>
  </si>
  <si>
    <t>Lott</t>
  </si>
  <si>
    <t>Namn</t>
  </si>
  <si>
    <t>Klubb</t>
  </si>
  <si>
    <t>Total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</si>
  <si>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</si>
  <si>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</si>
  <si>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</si>
  <si>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</si>
  <si>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</si>
  <si>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</si>
  <si>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</si>
  <si>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</si>
  <si>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VAIS</t>
  </si>
  <si>
    <t>BAK</t>
  </si>
  <si>
    <t>SKS</t>
  </si>
  <si>
    <t>SKK</t>
  </si>
  <si>
    <t>Borås AK</t>
  </si>
  <si>
    <t>Sommarhemmets KS</t>
  </si>
  <si>
    <t>Skövde KK</t>
  </si>
  <si>
    <t>FTK</t>
  </si>
  <si>
    <t>Falköpings TK</t>
  </si>
  <si>
    <t>M-EQ</t>
  </si>
  <si>
    <t>Equipped Men</t>
  </si>
  <si>
    <t>M-BL</t>
  </si>
  <si>
    <t>F-BL</t>
  </si>
  <si>
    <t>Vedum AIS</t>
  </si>
  <si>
    <t>Föreningen Pure Power</t>
  </si>
  <si>
    <t>Tävlingsprotokoll styrkelyft och bänkpress</t>
  </si>
  <si>
    <t>Arrangör:</t>
  </si>
  <si>
    <t>Ort:</t>
  </si>
  <si>
    <t>Arrangemang:</t>
  </si>
  <si>
    <t>Datum:</t>
  </si>
  <si>
    <t>Rekord markeras med en ring</t>
  </si>
  <si>
    <t>KNÄBÖJ</t>
  </si>
  <si>
    <t>BÄNKPRESS</t>
  </si>
  <si>
    <t>MARKLYFT</t>
  </si>
  <si>
    <t>Kl/Utr</t>
  </si>
  <si>
    <t>Licens</t>
  </si>
  <si>
    <t>Vikt</t>
  </si>
  <si>
    <t>Förening</t>
  </si>
  <si>
    <t>1.</t>
  </si>
  <si>
    <t>2.</t>
  </si>
  <si>
    <t>3.</t>
  </si>
  <si>
    <t>Godk</t>
  </si>
  <si>
    <t>HD</t>
  </si>
  <si>
    <t>bok nr</t>
  </si>
  <si>
    <t>Tävl.sekr</t>
  </si>
  <si>
    <t>SD</t>
  </si>
  <si>
    <t>Speaker</t>
  </si>
  <si>
    <t>Jury</t>
  </si>
  <si>
    <t>Tävl.led</t>
  </si>
  <si>
    <t>TK</t>
  </si>
  <si>
    <t>Rack:</t>
  </si>
  <si>
    <t>MAK</t>
  </si>
  <si>
    <t>Muskel AK</t>
  </si>
  <si>
    <t>FAK</t>
  </si>
  <si>
    <t>Fysiken AK</t>
  </si>
  <si>
    <t>VSK</t>
  </si>
  <si>
    <t>Vagnhallen SK</t>
  </si>
  <si>
    <t>Ctrl + Shift +</t>
  </si>
  <si>
    <t>Next Grp</t>
  </si>
  <si>
    <t>F-EQ</t>
  </si>
  <si>
    <t>Equipped Women</t>
  </si>
  <si>
    <t>CGSK</t>
  </si>
  <si>
    <t>Crossfit Gårda SK</t>
  </si>
  <si>
    <t>Malin Wahlberg</t>
  </si>
  <si>
    <t>Isabelle Karlsson</t>
  </si>
  <si>
    <t>Madeleine Lenhagen</t>
  </si>
  <si>
    <t>K.V.</t>
  </si>
  <si>
    <t>KB1</t>
  </si>
  <si>
    <t>KB2</t>
  </si>
  <si>
    <t>KB3</t>
  </si>
  <si>
    <t>BP1</t>
  </si>
  <si>
    <t>BP2</t>
  </si>
  <si>
    <t>BP3</t>
  </si>
  <si>
    <t>DL1</t>
  </si>
  <si>
    <t>DL2</t>
  </si>
  <si>
    <t>DL3</t>
  </si>
  <si>
    <t>Börje Lindh</t>
  </si>
  <si>
    <t>GSK</t>
  </si>
  <si>
    <t>Fredrik Vad Jensen</t>
  </si>
  <si>
    <t>Serieomgång 2</t>
  </si>
  <si>
    <t>Göteborgs SK</t>
  </si>
  <si>
    <t>Mathilda Andersson</t>
  </si>
  <si>
    <t>5/5</t>
  </si>
  <si>
    <t>Malin Carlsson</t>
  </si>
  <si>
    <t>4/5a</t>
  </si>
  <si>
    <t>7/5a</t>
  </si>
  <si>
    <t>7/4</t>
  </si>
  <si>
    <t>Johanna Jilsén</t>
  </si>
  <si>
    <t>7/7</t>
  </si>
  <si>
    <t>Sandra Hansson</t>
  </si>
  <si>
    <t>6/6</t>
  </si>
  <si>
    <t>Rebecca Glamheden</t>
  </si>
  <si>
    <t>7/7a</t>
  </si>
  <si>
    <t>Anna Hansson</t>
  </si>
  <si>
    <t>Minna Lindblom</t>
  </si>
  <si>
    <t>6/7</t>
  </si>
  <si>
    <t>6/6a</t>
  </si>
  <si>
    <t>10/7</t>
  </si>
  <si>
    <t>Emil Löfgren</t>
  </si>
  <si>
    <t>9/5a</t>
  </si>
  <si>
    <t>Rickard Nyberg</t>
  </si>
  <si>
    <t>10/6a</t>
  </si>
  <si>
    <t>Viktor Mattsson</t>
  </si>
  <si>
    <t>Eric McNabb</t>
  </si>
  <si>
    <t>8/5</t>
  </si>
  <si>
    <t>Calle Öberg</t>
  </si>
  <si>
    <t>9/5</t>
  </si>
  <si>
    <t>6/5a</t>
  </si>
  <si>
    <t>Kl</t>
  </si>
  <si>
    <t>Erik Lidén</t>
  </si>
  <si>
    <t>11/7</t>
  </si>
  <si>
    <t>Nicklas Brännstedt</t>
  </si>
  <si>
    <t>Viktor Nyvall</t>
  </si>
  <si>
    <t>Daniel Zärnblom</t>
  </si>
  <si>
    <t>Klaes Petersson</t>
  </si>
  <si>
    <t>20i</t>
  </si>
  <si>
    <t>12/7a</t>
  </si>
  <si>
    <t>Jonatan Nilsson</t>
  </si>
  <si>
    <t>10/5</t>
  </si>
  <si>
    <t>Henning Holmgren</t>
  </si>
  <si>
    <t>Victor Eryd</t>
  </si>
  <si>
    <t>10/6</t>
  </si>
  <si>
    <t>Jonas Nordenmark</t>
  </si>
  <si>
    <t>11/6</t>
  </si>
  <si>
    <t>10/8</t>
  </si>
  <si>
    <t>Sandra Jakobsson</t>
  </si>
  <si>
    <t>5/6</t>
  </si>
  <si>
    <t>Bo-Göran Henriksson</t>
  </si>
  <si>
    <t>4/3</t>
  </si>
  <si>
    <t>Pernilla Röhr</t>
  </si>
  <si>
    <t>5/6a</t>
  </si>
  <si>
    <t>Åsa Pennebratt</t>
  </si>
  <si>
    <t>Rena Ivarsson</t>
  </si>
  <si>
    <t>Ingrid Råde</t>
  </si>
  <si>
    <t>Torleif Carlsson</t>
  </si>
  <si>
    <t>10/7a</t>
  </si>
  <si>
    <t>900122jn</t>
  </si>
  <si>
    <t>930610ve</t>
  </si>
  <si>
    <t>890105hh</t>
  </si>
  <si>
    <t>790929jn</t>
  </si>
  <si>
    <t>960925vn</t>
  </si>
  <si>
    <t>810919nb</t>
  </si>
  <si>
    <t>770121el</t>
  </si>
  <si>
    <t>820819dz</t>
  </si>
  <si>
    <t>881104kp</t>
  </si>
  <si>
    <t>Grp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</si>
</sst>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7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48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82"/>
      <name val="Arial"/>
      <family val="2"/>
    </font>
    <font>
      <sz val="36"/>
      <name val="Arial"/>
      <family val="2"/>
    </font>
    <font>
      <sz val="22"/>
      <name val="Arial"/>
      <family val="2"/>
    </font>
    <font>
      <sz val="26"/>
      <name val="Arial"/>
      <family val="2"/>
    </font>
    <font>
      <sz val="24"/>
      <color theme="0"/>
      <name val="Arial"/>
      <family val="2"/>
    </font>
    <font>
      <sz val="22"/>
      <color theme="1"/>
      <name val="Arial"/>
      <family val="2"/>
    </font>
    <font>
      <sz val="26"/>
      <color theme="1"/>
      <name val="Arial"/>
      <family val="2"/>
    </font>
    <font>
      <sz val="5"/>
      <color theme="0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trike/>
      <sz val="10"/>
      <color indexed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 tint="0.499984740745262"/>
      </left>
      <right/>
      <top style="thin">
        <color theme="1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3">
    <xf numFmtId="0" fontId="0" fillId="0" borderId="0"/>
    <xf numFmtId="0" fontId="3" fillId="0" borderId="0"/>
    <xf numFmtId="0" fontId="2" fillId="0" borderId="0"/>
  </cellStyleXfs>
  <cellXfs count="43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4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6" fillId="3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4" fillId="2" borderId="10" xfId="0" applyFont="1" applyFill="1" applyBorder="1" applyAlignment="1">
      <alignment horizontal="center" wrapText="1"/>
    </xf>
    <xf numFmtId="0" fontId="4" fillId="2" borderId="11" xfId="0" applyFont="1" applyFill="1" applyBorder="1" applyAlignment="1">
      <alignment horizontal="center" wrapText="1"/>
    </xf>
    <xf numFmtId="0" fontId="10" fillId="8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wrapText="1"/>
    </xf>
    <xf numFmtId="0" fontId="12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10" fillId="9" borderId="1" xfId="0" applyFont="1" applyFill="1" applyBorder="1" applyAlignment="1">
      <alignment horizontal="center" wrapText="1"/>
    </xf>
    <xf numFmtId="0" fontId="10" fillId="0" borderId="0" xfId="0" applyFont="1" applyBorder="1"/>
    <xf numFmtId="0" fontId="0" fillId="0" borderId="0" xfId="0" applyBorder="1"/>
    <xf numFmtId="168" fontId="3" fillId="0" borderId="0" xfId="0" applyNumberFormat="1" applyFont="1" applyFill="1" applyBorder="1" applyAlignment="1" applyProtection="1">
      <alignment horizontal="center"/>
      <protection hidden="1"/>
    </xf>
    <xf numFmtId="0" fontId="10" fillId="9" borderId="12" xfId="0" applyFont="1" applyFill="1" applyBorder="1" applyAlignment="1">
      <alignment horizontal="center" wrapText="1"/>
    </xf>
    <xf numFmtId="0" fontId="10" fillId="9" borderId="11" xfId="0" applyFont="1" applyFill="1" applyBorder="1" applyAlignment="1">
      <alignment horizontal="center" wrapText="1"/>
    </xf>
    <xf numFmtId="0" fontId="4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11" borderId="1" xfId="0" applyFont="1" applyFill="1" applyBorder="1" applyAlignment="1">
      <alignment horizontal="center"/>
    </xf>
    <xf numFmtId="0" fontId="17" fillId="0" borderId="1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9" fillId="3" borderId="14" xfId="0" applyFont="1" applyFill="1" applyBorder="1" applyAlignment="1">
      <alignment horizontal="center" vertical="center"/>
    </xf>
    <xf numFmtId="0" fontId="18" fillId="4" borderId="14" xfId="0" applyFont="1" applyFill="1" applyBorder="1" applyAlignment="1">
      <alignment horizontal="center" vertical="center"/>
    </xf>
    <xf numFmtId="0" fontId="19" fillId="5" borderId="14" xfId="0" applyFont="1" applyFill="1" applyBorder="1" applyAlignment="1">
      <alignment horizontal="center" vertical="center"/>
    </xf>
    <xf numFmtId="0" fontId="19" fillId="6" borderId="14" xfId="0" applyFont="1" applyFill="1" applyBorder="1" applyAlignment="1">
      <alignment horizontal="center" vertical="center"/>
    </xf>
    <xf numFmtId="0" fontId="18" fillId="7" borderId="14" xfId="0" applyFont="1" applyFill="1" applyBorder="1" applyAlignment="1">
      <alignment horizontal="center" vertical="center"/>
    </xf>
    <xf numFmtId="0" fontId="18" fillId="11" borderId="14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0" fillId="0" borderId="1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6" fillId="6" borderId="5" xfId="0" applyFont="1" applyFill="1" applyBorder="1" applyAlignment="1">
      <alignment horizontal="center"/>
    </xf>
    <xf numFmtId="0" fontId="4" fillId="7" borderId="5" xfId="0" applyFont="1" applyFill="1" applyBorder="1" applyAlignment="1">
      <alignment horizontal="center"/>
    </xf>
    <xf numFmtId="0" fontId="4" fillId="11" borderId="5" xfId="0" applyFont="1" applyFill="1" applyBorder="1" applyAlignment="1">
      <alignment horizontal="center"/>
    </xf>
    <xf numFmtId="0" fontId="10" fillId="0" borderId="0" xfId="0" applyFont="1"/>
    <xf numFmtId="0" fontId="4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4" fillId="0" borderId="6" xfId="0" applyFont="1" applyFill="1" applyBorder="1" applyAlignment="1" applyProtection="1">
      <alignment horizontal="center"/>
      <protection locked="0"/>
    </xf>
    <xf numFmtId="0" fontId="14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9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21" fillId="0" borderId="0" xfId="0" applyFont="1" applyFill="1" applyAlignment="1">
      <alignment horizontal="left"/>
    </xf>
    <xf numFmtId="0" fontId="21" fillId="0" borderId="0" xfId="0" applyFont="1" applyFill="1" applyAlignment="1">
      <alignment horizontal="center" shrinkToFit="1"/>
    </xf>
    <xf numFmtId="167" fontId="21" fillId="0" borderId="0" xfId="0" applyNumberFormat="1" applyFont="1" applyFill="1" applyAlignment="1">
      <alignment horizontal="center"/>
    </xf>
    <xf numFmtId="0" fontId="10" fillId="0" borderId="0" xfId="0" applyFont="1" applyFill="1" applyAlignment="1" applyProtection="1">
      <alignment horizontal="center"/>
      <protection locked="0"/>
    </xf>
    <xf numFmtId="0" fontId="10" fillId="0" borderId="0" xfId="0" applyFont="1" applyFill="1" applyProtection="1">
      <protection locked="0"/>
    </xf>
    <xf numFmtId="0" fontId="9" fillId="0" borderId="0" xfId="0" applyFont="1" applyFill="1" applyAlignment="1">
      <alignment horizontal="center"/>
    </xf>
    <xf numFmtId="0" fontId="21" fillId="0" borderId="0" xfId="0" applyFont="1" applyFill="1" applyAlignment="1">
      <alignment horizontal="right"/>
    </xf>
    <xf numFmtId="0" fontId="12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3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6" fillId="0" borderId="0" xfId="0" applyFont="1" applyBorder="1" applyAlignment="1" applyProtection="1">
      <alignment horizontal="center"/>
      <protection locked="0"/>
    </xf>
    <xf numFmtId="49" fontId="26" fillId="0" borderId="0" xfId="0" applyNumberFormat="1" applyFont="1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center"/>
    </xf>
    <xf numFmtId="0" fontId="27" fillId="0" borderId="0" xfId="0" applyFont="1" applyProtection="1"/>
    <xf numFmtId="0" fontId="28" fillId="2" borderId="19" xfId="0" applyFont="1" applyFill="1" applyBorder="1" applyAlignment="1" applyProtection="1">
      <alignment horizontal="center"/>
      <protection locked="0"/>
    </xf>
    <xf numFmtId="0" fontId="28" fillId="2" borderId="19" xfId="0" applyFont="1" applyFill="1" applyBorder="1" applyAlignment="1" applyProtection="1">
      <alignment horizontal="center" wrapText="1"/>
      <protection locked="0"/>
    </xf>
    <xf numFmtId="49" fontId="28" fillId="2" borderId="19" xfId="0" applyNumberFormat="1" applyFont="1" applyFill="1" applyBorder="1" applyAlignment="1" applyProtection="1">
      <alignment horizontal="center" wrapText="1"/>
      <protection locked="0"/>
    </xf>
    <xf numFmtId="0" fontId="28" fillId="2" borderId="3" xfId="0" applyFont="1" applyFill="1" applyBorder="1" applyAlignment="1" applyProtection="1">
      <alignment vertical="center" wrapText="1"/>
    </xf>
    <xf numFmtId="0" fontId="28" fillId="2" borderId="1" xfId="0" applyFont="1" applyFill="1" applyBorder="1" applyAlignment="1" applyProtection="1">
      <alignment vertical="center" wrapText="1"/>
    </xf>
    <xf numFmtId="0" fontId="28" fillId="2" borderId="1" xfId="0" applyFont="1" applyFill="1" applyBorder="1" applyAlignment="1" applyProtection="1">
      <alignment horizontal="center" vertical="center" wrapText="1"/>
    </xf>
    <xf numFmtId="0" fontId="26" fillId="0" borderId="1" xfId="0" applyFont="1" applyBorder="1" applyAlignment="1" applyProtection="1">
      <alignment horizontal="center"/>
      <protection locked="0"/>
    </xf>
    <xf numFmtId="49" fontId="26" fillId="0" borderId="1" xfId="0" applyNumberFormat="1" applyFont="1" applyBorder="1" applyAlignment="1" applyProtection="1">
      <alignment horizontal="center"/>
      <protection locked="0"/>
    </xf>
    <xf numFmtId="0" fontId="27" fillId="0" borderId="0" xfId="0" applyFont="1" applyProtection="1">
      <protection locked="0"/>
    </xf>
    <xf numFmtId="0" fontId="27" fillId="0" borderId="0" xfId="0" applyFont="1" applyAlignment="1" applyProtection="1">
      <alignment horizontal="center"/>
      <protection locked="0"/>
    </xf>
    <xf numFmtId="0" fontId="4" fillId="2" borderId="19" xfId="0" applyFont="1" applyFill="1" applyBorder="1" applyAlignment="1" applyProtection="1">
      <alignment horizontal="center" wrapText="1"/>
      <protection locked="0"/>
    </xf>
    <xf numFmtId="0" fontId="30" fillId="0" borderId="0" xfId="0" applyFont="1" applyBorder="1"/>
    <xf numFmtId="0" fontId="30" fillId="0" borderId="0" xfId="0" applyNumberFormat="1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49" fontId="30" fillId="0" borderId="0" xfId="0" applyNumberFormat="1" applyFont="1" applyBorder="1" applyAlignment="1">
      <alignment horizontal="center"/>
    </xf>
    <xf numFmtId="167" fontId="30" fillId="0" borderId="0" xfId="0" applyNumberFormat="1" applyFont="1" applyBorder="1"/>
    <xf numFmtId="0" fontId="32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 wrapText="1"/>
    </xf>
    <xf numFmtId="1" fontId="30" fillId="0" borderId="0" xfId="0" applyNumberFormat="1" applyFont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wrapText="1"/>
    </xf>
    <xf numFmtId="0" fontId="34" fillId="11" borderId="0" xfId="0" applyFont="1" applyFill="1" applyBorder="1" applyAlignment="1">
      <alignment horizontal="center" vertical="center"/>
    </xf>
    <xf numFmtId="166" fontId="30" fillId="0" borderId="0" xfId="0" applyNumberFormat="1" applyFont="1" applyBorder="1" applyAlignment="1">
      <alignment horizontal="center"/>
    </xf>
    <xf numFmtId="0" fontId="30" fillId="0" borderId="1" xfId="0" applyFont="1" applyBorder="1"/>
    <xf numFmtId="0" fontId="37" fillId="0" borderId="0" xfId="0" applyFont="1" applyBorder="1" applyAlignment="1">
      <alignment horizontal="center"/>
    </xf>
    <xf numFmtId="169" fontId="30" fillId="0" borderId="0" xfId="0" applyNumberFormat="1" applyFont="1" applyBorder="1"/>
    <xf numFmtId="0" fontId="34" fillId="0" borderId="0" xfId="0" applyFont="1" applyBorder="1" applyAlignment="1">
      <alignment horizontal="center"/>
    </xf>
    <xf numFmtId="169" fontId="33" fillId="2" borderId="0" xfId="0" applyNumberFormat="1" applyFont="1" applyFill="1" applyBorder="1" applyAlignment="1">
      <alignment horizontal="center"/>
    </xf>
    <xf numFmtId="0" fontId="30" fillId="2" borderId="0" xfId="0" applyFont="1" applyFill="1" applyBorder="1" applyAlignment="1">
      <alignment horizontal="center"/>
    </xf>
    <xf numFmtId="0" fontId="33" fillId="2" borderId="0" xfId="0" applyFont="1" applyFill="1" applyBorder="1" applyAlignment="1">
      <alignment horizontal="center" wrapText="1"/>
    </xf>
    <xf numFmtId="0" fontId="33" fillId="2" borderId="0" xfId="0" applyFont="1" applyFill="1" applyBorder="1" applyAlignment="1">
      <alignment horizontal="center"/>
    </xf>
    <xf numFmtId="0" fontId="33" fillId="2" borderId="0" xfId="0" applyFont="1" applyFill="1" applyBorder="1"/>
    <xf numFmtId="0" fontId="30" fillId="0" borderId="1" xfId="0" applyFont="1" applyFill="1" applyBorder="1"/>
    <xf numFmtId="0" fontId="30" fillId="0" borderId="1" xfId="0" applyFont="1" applyBorder="1" applyAlignment="1">
      <alignment horizontal="center"/>
    </xf>
    <xf numFmtId="169" fontId="30" fillId="0" borderId="0" xfId="0" applyNumberFormat="1" applyFont="1" applyBorder="1" applyAlignment="1">
      <alignment horizontal="center"/>
    </xf>
    <xf numFmtId="166" fontId="33" fillId="2" borderId="0" xfId="0" applyNumberFormat="1" applyFont="1" applyFill="1" applyBorder="1" applyAlignment="1">
      <alignment horizontal="center" vertical="center" wrapText="1"/>
    </xf>
    <xf numFmtId="0" fontId="30" fillId="0" borderId="0" xfId="0" applyFont="1" applyBorder="1" applyAlignment="1"/>
    <xf numFmtId="0" fontId="38" fillId="0" borderId="2" xfId="0" applyFont="1" applyFill="1" applyBorder="1" applyAlignment="1">
      <alignment horizontal="center" vertical="center" shrinkToFit="1"/>
    </xf>
    <xf numFmtId="0" fontId="38" fillId="0" borderId="3" xfId="0" applyFont="1" applyFill="1" applyBorder="1" applyAlignment="1">
      <alignment horizontal="center" vertical="center" shrinkToFit="1"/>
    </xf>
    <xf numFmtId="0" fontId="38" fillId="0" borderId="4" xfId="0" applyFont="1" applyFill="1" applyBorder="1" applyAlignment="1">
      <alignment horizontal="center" vertical="center" shrinkToFit="1"/>
    </xf>
    <xf numFmtId="0" fontId="39" fillId="0" borderId="5" xfId="0" applyFont="1" applyFill="1" applyBorder="1" applyAlignment="1">
      <alignment horizontal="center" vertical="center" wrapText="1"/>
    </xf>
    <xf numFmtId="0" fontId="33" fillId="0" borderId="5" xfId="0" applyFont="1" applyFill="1" applyBorder="1" applyAlignment="1">
      <alignment horizontal="center" vertical="center" wrapText="1"/>
    </xf>
    <xf numFmtId="0" fontId="30" fillId="0" borderId="5" xfId="0" applyFont="1" applyFill="1" applyBorder="1"/>
    <xf numFmtId="0" fontId="30" fillId="0" borderId="5" xfId="0" applyNumberFormat="1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0" fontId="31" fillId="0" borderId="5" xfId="0" applyFont="1" applyFill="1" applyBorder="1" applyAlignment="1">
      <alignment horizontal="center"/>
    </xf>
    <xf numFmtId="49" fontId="30" fillId="0" borderId="5" xfId="0" applyNumberFormat="1" applyFont="1" applyFill="1" applyBorder="1" applyAlignment="1">
      <alignment horizontal="center"/>
    </xf>
    <xf numFmtId="0" fontId="30" fillId="0" borderId="40" xfId="0" applyFont="1" applyFill="1" applyBorder="1" applyAlignment="1">
      <alignment horizontal="center"/>
    </xf>
    <xf numFmtId="0" fontId="30" fillId="0" borderId="0" xfId="0" applyFont="1" applyFill="1" applyBorder="1" applyAlignment="1">
      <alignment horizontal="center"/>
    </xf>
    <xf numFmtId="0" fontId="30" fillId="0" borderId="4" xfId="0" applyFont="1" applyFill="1" applyBorder="1" applyAlignment="1">
      <alignment horizontal="center"/>
    </xf>
    <xf numFmtId="167" fontId="30" fillId="0" borderId="5" xfId="0" applyNumberFormat="1" applyFont="1" applyFill="1" applyBorder="1"/>
    <xf numFmtId="0" fontId="32" fillId="0" borderId="5" xfId="0" applyFont="1" applyFill="1" applyBorder="1" applyAlignment="1">
      <alignment horizontal="center"/>
    </xf>
    <xf numFmtId="0" fontId="37" fillId="0" borderId="5" xfId="0" applyFont="1" applyBorder="1" applyAlignment="1">
      <alignment horizontal="center"/>
    </xf>
    <xf numFmtId="0" fontId="30" fillId="0" borderId="5" xfId="0" applyFont="1" applyBorder="1" applyAlignment="1">
      <alignment horizontal="center"/>
    </xf>
    <xf numFmtId="169" fontId="30" fillId="0" borderId="5" xfId="0" applyNumberFormat="1" applyFont="1" applyFill="1" applyBorder="1" applyAlignment="1">
      <alignment horizontal="center"/>
    </xf>
    <xf numFmtId="0" fontId="33" fillId="2" borderId="5" xfId="0" applyFont="1" applyFill="1" applyBorder="1" applyAlignment="1">
      <alignment horizontal="center"/>
    </xf>
    <xf numFmtId="0" fontId="33" fillId="2" borderId="5" xfId="0" applyFont="1" applyFill="1" applyBorder="1"/>
    <xf numFmtId="166" fontId="30" fillId="0" borderId="5" xfId="0" applyNumberFormat="1" applyFont="1" applyFill="1" applyBorder="1" applyAlignment="1">
      <alignment horizontal="center"/>
    </xf>
    <xf numFmtId="0" fontId="40" fillId="10" borderId="1" xfId="0" applyFont="1" applyFill="1" applyBorder="1" applyAlignment="1" applyProtection="1">
      <alignment horizontal="center" vertical="center" wrapText="1"/>
      <protection locked="0"/>
    </xf>
    <xf numFmtId="0" fontId="33" fillId="2" borderId="1" xfId="0" applyFont="1" applyFill="1" applyBorder="1" applyAlignment="1">
      <alignment vertical="center"/>
    </xf>
    <xf numFmtId="0" fontId="33" fillId="2" borderId="1" xfId="0" applyFont="1" applyFill="1" applyBorder="1" applyAlignment="1">
      <alignment horizontal="center" vertical="center" wrapText="1"/>
    </xf>
    <xf numFmtId="0" fontId="33" fillId="2" borderId="1" xfId="0" applyFont="1" applyFill="1" applyBorder="1" applyAlignment="1">
      <alignment vertical="center" wrapText="1"/>
    </xf>
    <xf numFmtId="0" fontId="33" fillId="2" borderId="1" xfId="0" applyNumberFormat="1" applyFont="1" applyFill="1" applyBorder="1" applyAlignment="1">
      <alignment horizontal="center" vertical="center" wrapText="1"/>
    </xf>
    <xf numFmtId="49" fontId="33" fillId="2" borderId="1" xfId="0" applyNumberFormat="1" applyFont="1" applyFill="1" applyBorder="1" applyAlignment="1">
      <alignment horizontal="center" vertical="center" wrapText="1"/>
    </xf>
    <xf numFmtId="0" fontId="33" fillId="2" borderId="2" xfId="0" applyFont="1" applyFill="1" applyBorder="1" applyAlignment="1">
      <alignment horizontal="center" vertical="center" wrapText="1"/>
    </xf>
    <xf numFmtId="0" fontId="33" fillId="2" borderId="3" xfId="0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167" fontId="42" fillId="2" borderId="1" xfId="0" applyNumberFormat="1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0" fontId="34" fillId="11" borderId="1" xfId="0" applyFont="1" applyFill="1" applyBorder="1" applyAlignment="1">
      <alignment horizontal="center" vertical="center" wrapText="1"/>
    </xf>
    <xf numFmtId="166" fontId="33" fillId="2" borderId="1" xfId="0" applyNumberFormat="1" applyFont="1" applyFill="1" applyBorder="1" applyAlignment="1">
      <alignment horizontal="center" vertical="center" wrapText="1"/>
    </xf>
    <xf numFmtId="0" fontId="30" fillId="0" borderId="1" xfId="0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shrinkToFit="1"/>
      <protection locked="0"/>
    </xf>
    <xf numFmtId="0" fontId="30" fillId="0" borderId="1" xfId="0" applyFont="1" applyBorder="1" applyAlignment="1" applyProtection="1">
      <alignment horizontal="center" shrinkToFit="1"/>
      <protection locked="0"/>
    </xf>
    <xf numFmtId="164" fontId="30" fillId="0" borderId="1" xfId="0" applyNumberFormat="1" applyFont="1" applyBorder="1" applyAlignment="1">
      <alignment shrinkToFit="1"/>
    </xf>
    <xf numFmtId="0" fontId="30" fillId="0" borderId="1" xfId="0" applyNumberFormat="1" applyFont="1" applyBorder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center"/>
      <protection locked="0"/>
    </xf>
    <xf numFmtId="0" fontId="30" fillId="2" borderId="1" xfId="0" applyFont="1" applyFill="1" applyBorder="1" applyAlignment="1" applyProtection="1">
      <alignment horizontal="center" shrinkToFit="1"/>
    </xf>
    <xf numFmtId="49" fontId="30" fillId="0" borderId="1" xfId="0" applyNumberFormat="1" applyFont="1" applyBorder="1" applyAlignment="1" applyProtection="1">
      <alignment horizontal="center"/>
      <protection locked="0"/>
    </xf>
    <xf numFmtId="0" fontId="30" fillId="0" borderId="2" xfId="0" applyFont="1" applyBorder="1" applyAlignment="1" applyProtection="1">
      <alignment horizontal="center"/>
      <protection locked="0"/>
    </xf>
    <xf numFmtId="0" fontId="30" fillId="2" borderId="3" xfId="0" applyFont="1" applyFill="1" applyBorder="1" applyAlignment="1" applyProtection="1">
      <alignment horizontal="center" shrinkToFit="1"/>
    </xf>
    <xf numFmtId="167" fontId="30" fillId="2" borderId="1" xfId="0" applyNumberFormat="1" applyFont="1" applyFill="1" applyBorder="1" applyAlignment="1" applyProtection="1">
      <alignment horizontal="center"/>
    </xf>
    <xf numFmtId="0" fontId="30" fillId="0" borderId="1" xfId="0" applyFont="1" applyBorder="1" applyAlignment="1">
      <alignment horizontal="center" shrinkToFit="1"/>
    </xf>
    <xf numFmtId="167" fontId="32" fillId="2" borderId="1" xfId="0" applyNumberFormat="1" applyFont="1" applyFill="1" applyBorder="1" applyAlignment="1">
      <alignment horizontal="center"/>
    </xf>
    <xf numFmtId="0" fontId="32" fillId="0" borderId="1" xfId="0" applyFont="1" applyBorder="1" applyAlignment="1">
      <alignment horizontal="center"/>
    </xf>
    <xf numFmtId="169" fontId="30" fillId="0" borderId="1" xfId="0" applyNumberFormat="1" applyFont="1" applyBorder="1"/>
    <xf numFmtId="0" fontId="44" fillId="0" borderId="1" xfId="0" applyFont="1" applyBorder="1" applyAlignment="1">
      <alignment horizontal="center"/>
    </xf>
    <xf numFmtId="166" fontId="30" fillId="0" borderId="1" xfId="0" applyNumberFormat="1" applyFont="1" applyBorder="1" applyAlignment="1">
      <alignment horizontal="center"/>
    </xf>
    <xf numFmtId="0" fontId="30" fillId="0" borderId="1" xfId="0" applyFont="1" applyBorder="1" applyAlignment="1"/>
    <xf numFmtId="0" fontId="30" fillId="0" borderId="1" xfId="0" applyNumberFormat="1" applyFont="1" applyBorder="1" applyAlignment="1">
      <alignment horizontal="center"/>
    </xf>
    <xf numFmtId="0" fontId="31" fillId="0" borderId="1" xfId="0" applyFont="1" applyBorder="1" applyAlignment="1">
      <alignment horizontal="center"/>
    </xf>
    <xf numFmtId="49" fontId="30" fillId="0" borderId="1" xfId="0" applyNumberFormat="1" applyFont="1" applyBorder="1" applyAlignment="1">
      <alignment horizontal="center"/>
    </xf>
    <xf numFmtId="167" fontId="30" fillId="0" borderId="1" xfId="0" applyNumberFormat="1" applyFont="1" applyBorder="1"/>
    <xf numFmtId="0" fontId="10" fillId="0" borderId="0" xfId="0" applyFont="1" applyFill="1" applyBorder="1"/>
    <xf numFmtId="0" fontId="4" fillId="0" borderId="5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>
      <alignment vertical="center" wrapText="1"/>
    </xf>
    <xf numFmtId="0" fontId="4" fillId="0" borderId="5" xfId="0" applyFont="1" applyFill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 wrapText="1"/>
    </xf>
    <xf numFmtId="167" fontId="4" fillId="0" borderId="5" xfId="0" applyNumberFormat="1" applyFont="1" applyFill="1" applyBorder="1" applyAlignment="1">
      <alignment horizontal="center" vertical="center" wrapText="1"/>
    </xf>
    <xf numFmtId="0" fontId="3" fillId="0" borderId="0" xfId="1" applyBorder="1" applyAlignment="1">
      <alignment horizontal="center"/>
    </xf>
    <xf numFmtId="0" fontId="45" fillId="0" borderId="0" xfId="1" applyFont="1" applyBorder="1" applyAlignment="1">
      <alignment vertical="center"/>
    </xf>
    <xf numFmtId="0" fontId="29" fillId="0" borderId="0" xfId="1" applyFont="1" applyBorder="1" applyAlignment="1">
      <alignment vertical="center"/>
    </xf>
    <xf numFmtId="165" fontId="3" fillId="0" borderId="0" xfId="1" applyNumberFormat="1" applyBorder="1" applyAlignment="1">
      <alignment horizontal="center"/>
    </xf>
    <xf numFmtId="0" fontId="3" fillId="0" borderId="0" xfId="1" applyBorder="1"/>
    <xf numFmtId="0" fontId="3" fillId="0" borderId="0" xfId="1" applyAlignment="1">
      <alignment horizontal="center"/>
    </xf>
    <xf numFmtId="20" fontId="29" fillId="0" borderId="0" xfId="1" applyNumberFormat="1" applyFont="1" applyBorder="1" applyAlignment="1"/>
    <xf numFmtId="0" fontId="29" fillId="0" borderId="0" xfId="1" applyFont="1" applyBorder="1" applyAlignment="1"/>
    <xf numFmtId="165" fontId="29" fillId="0" borderId="0" xfId="1" applyNumberFormat="1" applyFont="1" applyBorder="1" applyAlignment="1"/>
    <xf numFmtId="0" fontId="3" fillId="0" borderId="0" xfId="1"/>
    <xf numFmtId="0" fontId="8" fillId="0" borderId="0" xfId="1" applyFont="1" applyFill="1" applyBorder="1" applyAlignment="1">
      <alignment vertical="center"/>
    </xf>
    <xf numFmtId="0" fontId="9" fillId="0" borderId="0" xfId="1" applyFont="1" applyBorder="1" applyAlignment="1">
      <alignment vertical="center"/>
    </xf>
    <xf numFmtId="165" fontId="9" fillId="0" borderId="0" xfId="1" applyNumberFormat="1" applyFont="1" applyBorder="1" applyAlignment="1">
      <alignment vertical="center"/>
    </xf>
    <xf numFmtId="165" fontId="3" fillId="0" borderId="0" xfId="1" applyNumberFormat="1" applyAlignment="1">
      <alignment horizontal="center"/>
    </xf>
    <xf numFmtId="0" fontId="49" fillId="0" borderId="0" xfId="1" applyFont="1" applyFill="1" applyBorder="1" applyAlignment="1">
      <alignment vertical="center"/>
    </xf>
    <xf numFmtId="0" fontId="9" fillId="0" borderId="0" xfId="1" applyFont="1" applyBorder="1" applyAlignment="1"/>
    <xf numFmtId="0" fontId="49" fillId="0" borderId="41" xfId="1" applyFont="1" applyFill="1" applyBorder="1" applyAlignment="1">
      <alignment vertical="center"/>
    </xf>
    <xf numFmtId="0" fontId="50" fillId="0" borderId="41" xfId="1" applyFont="1" applyBorder="1" applyAlignment="1">
      <alignment vertical="center"/>
    </xf>
    <xf numFmtId="0" fontId="51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52" fillId="0" borderId="0" xfId="0" applyFont="1" applyAlignment="1"/>
    <xf numFmtId="0" fontId="29" fillId="0" borderId="0" xfId="0" applyFont="1" applyBorder="1" applyAlignment="1">
      <alignment vertical="top"/>
    </xf>
    <xf numFmtId="0" fontId="52" fillId="0" borderId="0" xfId="0" applyFont="1" applyBorder="1" applyAlignment="1"/>
    <xf numFmtId="0" fontId="0" fillId="13" borderId="0" xfId="0" applyFill="1"/>
    <xf numFmtId="14" fontId="26" fillId="0" borderId="0" xfId="0" applyNumberFormat="1" applyFont="1" applyBorder="1" applyAlignment="1" applyProtection="1">
      <alignment horizontal="center"/>
      <protection locked="0"/>
    </xf>
    <xf numFmtId="14" fontId="4" fillId="2" borderId="19" xfId="0" applyNumberFormat="1" applyFont="1" applyFill="1" applyBorder="1" applyAlignment="1" applyProtection="1">
      <alignment horizontal="center" wrapText="1"/>
      <protection locked="0"/>
    </xf>
    <xf numFmtId="14" fontId="26" fillId="0" borderId="1" xfId="0" applyNumberFormat="1" applyFont="1" applyBorder="1" applyAlignment="1" applyProtection="1">
      <alignment horizontal="center"/>
      <protection locked="0"/>
    </xf>
    <xf numFmtId="14" fontId="4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2" fillId="0" borderId="0" xfId="2"/>
    <xf numFmtId="0" fontId="54" fillId="0" borderId="0" xfId="2" applyFont="1"/>
    <xf numFmtId="0" fontId="55" fillId="0" borderId="0" xfId="2" applyFont="1"/>
    <xf numFmtId="0" fontId="2" fillId="0" borderId="0" xfId="2" applyBorder="1"/>
    <xf numFmtId="0" fontId="2" fillId="0" borderId="0" xfId="2" applyAlignment="1">
      <alignment horizontal="right"/>
    </xf>
    <xf numFmtId="0" fontId="57" fillId="0" borderId="0" xfId="2" applyFont="1"/>
    <xf numFmtId="0" fontId="57" fillId="0" borderId="0" xfId="2" applyFont="1" applyBorder="1"/>
    <xf numFmtId="0" fontId="57" fillId="0" borderId="1" xfId="2" applyFont="1" applyBorder="1" applyAlignment="1">
      <alignment horizontal="left"/>
    </xf>
    <xf numFmtId="0" fontId="57" fillId="0" borderId="2" xfId="2" applyFont="1" applyBorder="1" applyAlignment="1">
      <alignment horizontal="left" vertical="center" wrapText="1"/>
    </xf>
    <xf numFmtId="0" fontId="57" fillId="0" borderId="1" xfId="2" applyFont="1" applyBorder="1" applyAlignment="1">
      <alignment horizontal="left" vertical="center" wrapText="1"/>
    </xf>
    <xf numFmtId="165" fontId="57" fillId="0" borderId="1" xfId="2" applyNumberFormat="1" applyFont="1" applyBorder="1" applyAlignment="1">
      <alignment horizontal="center"/>
    </xf>
    <xf numFmtId="165" fontId="57" fillId="0" borderId="3" xfId="2" applyNumberFormat="1" applyFont="1" applyBorder="1" applyAlignment="1">
      <alignment horizontal="center"/>
    </xf>
    <xf numFmtId="0" fontId="57" fillId="0" borderId="5" xfId="2" applyFont="1" applyBorder="1" applyAlignment="1">
      <alignment horizontal="left"/>
    </xf>
    <xf numFmtId="165" fontId="57" fillId="0" borderId="5" xfId="2" applyNumberFormat="1" applyFont="1" applyBorder="1" applyAlignment="1">
      <alignment horizontal="center"/>
    </xf>
    <xf numFmtId="0" fontId="57" fillId="0" borderId="0" xfId="2" applyFont="1" applyBorder="1" applyAlignment="1">
      <alignment horizontal="left"/>
    </xf>
    <xf numFmtId="165" fontId="57" fillId="0" borderId="0" xfId="2" applyNumberFormat="1" applyFont="1" applyBorder="1" applyAlignment="1">
      <alignment horizontal="center"/>
    </xf>
    <xf numFmtId="0" fontId="2" fillId="0" borderId="33" xfId="2" applyBorder="1"/>
    <xf numFmtId="14" fontId="0" fillId="0" borderId="0" xfId="0" applyNumberFormat="1"/>
    <xf numFmtId="0" fontId="45" fillId="0" borderId="0" xfId="1" applyFont="1" applyBorder="1" applyAlignment="1">
      <alignment horizontal="left" vertical="center"/>
    </xf>
    <xf numFmtId="0" fontId="5" fillId="0" borderId="0" xfId="1" applyFont="1" applyBorder="1" applyAlignment="1">
      <alignment horizontal="left" vertical="center"/>
    </xf>
    <xf numFmtId="0" fontId="48" fillId="0" borderId="0" xfId="1" applyFont="1" applyBorder="1" applyAlignment="1">
      <alignment horizontal="left" vertical="center"/>
    </xf>
    <xf numFmtId="49" fontId="2" fillId="0" borderId="0" xfId="2" applyNumberFormat="1"/>
    <xf numFmtId="49" fontId="57" fillId="0" borderId="0" xfId="2" applyNumberFormat="1" applyFont="1"/>
    <xf numFmtId="49" fontId="57" fillId="0" borderId="0" xfId="2" applyNumberFormat="1" applyFont="1" applyBorder="1" applyAlignment="1">
      <alignment horizontal="left"/>
    </xf>
    <xf numFmtId="49" fontId="2" fillId="0" borderId="0" xfId="2" applyNumberFormat="1" applyBorder="1"/>
    <xf numFmtId="49" fontId="2" fillId="0" borderId="33" xfId="2" applyNumberFormat="1" applyBorder="1"/>
    <xf numFmtId="2" fontId="57" fillId="0" borderId="1" xfId="2" applyNumberFormat="1" applyFont="1" applyBorder="1" applyAlignment="1">
      <alignment horizontal="left"/>
    </xf>
    <xf numFmtId="0" fontId="3" fillId="0" borderId="0" xfId="1" applyBorder="1" applyAlignment="1">
      <alignment horizontal="left"/>
    </xf>
    <xf numFmtId="0" fontId="9" fillId="0" borderId="0" xfId="1" applyFont="1" applyBorder="1" applyAlignment="1">
      <alignment horizontal="left" vertical="center"/>
    </xf>
    <xf numFmtId="0" fontId="3" fillId="0" borderId="0" xfId="1" applyAlignment="1">
      <alignment horizontal="left"/>
    </xf>
    <xf numFmtId="0" fontId="30" fillId="0" borderId="46" xfId="0" applyFont="1" applyBorder="1" applyAlignment="1">
      <alignment horizontal="center"/>
    </xf>
    <xf numFmtId="0" fontId="17" fillId="0" borderId="2" xfId="0" applyFont="1" applyBorder="1" applyAlignment="1">
      <alignment horizontal="center" vertical="center" shrinkToFit="1"/>
    </xf>
    <xf numFmtId="0" fontId="17" fillId="0" borderId="3" xfId="0" applyFont="1" applyBorder="1" applyAlignment="1">
      <alignment horizontal="left" vertical="center" shrinkToFit="1"/>
    </xf>
    <xf numFmtId="0" fontId="58" fillId="15" borderId="1" xfId="2" applyFont="1" applyFill="1" applyBorder="1"/>
    <xf numFmtId="49" fontId="58" fillId="15" borderId="1" xfId="2" applyNumberFormat="1" applyFont="1" applyFill="1" applyBorder="1"/>
    <xf numFmtId="0" fontId="58" fillId="15" borderId="19" xfId="2" applyFont="1" applyFill="1" applyBorder="1"/>
    <xf numFmtId="0" fontId="58" fillId="15" borderId="35" xfId="2" applyFont="1" applyFill="1" applyBorder="1" applyAlignment="1">
      <alignment horizontal="center"/>
    </xf>
    <xf numFmtId="0" fontId="58" fillId="15" borderId="5" xfId="2" applyFont="1" applyFill="1" applyBorder="1" applyAlignment="1">
      <alignment horizontal="center"/>
    </xf>
    <xf numFmtId="0" fontId="58" fillId="15" borderId="1" xfId="2" applyFont="1" applyFill="1" applyBorder="1" applyAlignment="1">
      <alignment horizontal="center"/>
    </xf>
    <xf numFmtId="0" fontId="57" fillId="14" borderId="1" xfId="2" applyFont="1" applyFill="1" applyBorder="1" applyAlignment="1">
      <alignment horizontal="left"/>
    </xf>
    <xf numFmtId="2" fontId="57" fillId="14" borderId="1" xfId="2" applyNumberFormat="1" applyFont="1" applyFill="1" applyBorder="1" applyAlignment="1">
      <alignment horizontal="left"/>
    </xf>
    <xf numFmtId="0" fontId="57" fillId="14" borderId="2" xfId="2" applyFont="1" applyFill="1" applyBorder="1" applyAlignment="1">
      <alignment horizontal="left" vertical="center" wrapText="1"/>
    </xf>
    <xf numFmtId="0" fontId="57" fillId="14" borderId="1" xfId="2" applyFont="1" applyFill="1" applyBorder="1" applyAlignment="1">
      <alignment horizontal="left" vertical="center" wrapText="1"/>
    </xf>
    <xf numFmtId="165" fontId="57" fillId="14" borderId="1" xfId="2" applyNumberFormat="1" applyFont="1" applyFill="1" applyBorder="1" applyAlignment="1">
      <alignment horizontal="center"/>
    </xf>
    <xf numFmtId="165" fontId="57" fillId="14" borderId="3" xfId="2" applyNumberFormat="1" applyFont="1" applyFill="1" applyBorder="1" applyAlignment="1">
      <alignment horizontal="center"/>
    </xf>
    <xf numFmtId="2" fontId="57" fillId="14" borderId="1" xfId="2" applyNumberFormat="1" applyFont="1" applyFill="1" applyBorder="1" applyAlignment="1">
      <alignment horizontal="center"/>
    </xf>
    <xf numFmtId="2" fontId="57" fillId="0" borderId="1" xfId="2" applyNumberFormat="1" applyFont="1" applyBorder="1" applyAlignment="1">
      <alignment horizontal="center"/>
    </xf>
    <xf numFmtId="0" fontId="16" fillId="15" borderId="0" xfId="0" applyFont="1" applyFill="1" applyBorder="1" applyAlignment="1">
      <alignment horizontal="center" vertical="center" wrapText="1"/>
    </xf>
    <xf numFmtId="0" fontId="16" fillId="15" borderId="39" xfId="0" applyFont="1" applyFill="1" applyBorder="1" applyAlignment="1" applyProtection="1">
      <alignment horizontal="center" vertical="center"/>
      <protection locked="0"/>
    </xf>
    <xf numFmtId="0" fontId="59" fillId="0" borderId="0" xfId="0" applyFont="1"/>
    <xf numFmtId="2" fontId="30" fillId="2" borderId="1" xfId="0" applyNumberFormat="1" applyFont="1" applyFill="1" applyBorder="1" applyAlignment="1" applyProtection="1">
      <alignment horizontal="center"/>
    </xf>
    <xf numFmtId="0" fontId="0" fillId="0" borderId="6" xfId="0" applyFill="1" applyBorder="1" applyAlignment="1">
      <alignment horizontal="center"/>
    </xf>
    <xf numFmtId="0" fontId="0" fillId="17" borderId="0" xfId="0" applyFill="1"/>
    <xf numFmtId="0" fontId="63" fillId="17" borderId="0" xfId="0" applyFont="1" applyFill="1" applyAlignment="1"/>
    <xf numFmtId="0" fontId="64" fillId="17" borderId="0" xfId="0" applyFont="1" applyFill="1" applyAlignment="1">
      <alignment vertical="top"/>
    </xf>
    <xf numFmtId="0" fontId="53" fillId="17" borderId="0" xfId="0" applyFont="1" applyFill="1" applyAlignment="1">
      <alignment vertical="center"/>
    </xf>
    <xf numFmtId="0" fontId="66" fillId="17" borderId="0" xfId="0" applyFont="1" applyFill="1" applyAlignment="1">
      <alignment vertical="center"/>
    </xf>
    <xf numFmtId="165" fontId="58" fillId="14" borderId="1" xfId="2" applyNumberFormat="1" applyFont="1" applyFill="1" applyBorder="1" applyAlignment="1">
      <alignment horizontal="center"/>
    </xf>
    <xf numFmtId="165" fontId="58" fillId="0" borderId="1" xfId="2" applyNumberFormat="1" applyFont="1" applyBorder="1" applyAlignment="1">
      <alignment horizontal="center"/>
    </xf>
    <xf numFmtId="0" fontId="67" fillId="0" borderId="0" xfId="1" applyFont="1"/>
    <xf numFmtId="0" fontId="68" fillId="12" borderId="47" xfId="1" applyNumberFormat="1" applyFont="1" applyFill="1" applyBorder="1" applyAlignment="1">
      <alignment horizontal="left"/>
    </xf>
    <xf numFmtId="0" fontId="68" fillId="12" borderId="48" xfId="1" applyNumberFormat="1" applyFont="1" applyFill="1" applyBorder="1" applyAlignment="1">
      <alignment horizontal="left"/>
    </xf>
    <xf numFmtId="0" fontId="68" fillId="12" borderId="48" xfId="1" applyNumberFormat="1" applyFont="1" applyFill="1" applyBorder="1" applyAlignment="1">
      <alignment horizontal="center"/>
    </xf>
    <xf numFmtId="0" fontId="68" fillId="12" borderId="34" xfId="1" applyNumberFormat="1" applyFont="1" applyFill="1" applyBorder="1" applyAlignment="1">
      <alignment horizontal="center"/>
    </xf>
    <xf numFmtId="165" fontId="68" fillId="12" borderId="49" xfId="1" applyNumberFormat="1" applyFont="1" applyFill="1" applyBorder="1" applyAlignment="1">
      <alignment horizontal="center"/>
    </xf>
    <xf numFmtId="0" fontId="68" fillId="0" borderId="50" xfId="1" applyNumberFormat="1" applyFont="1" applyFill="1" applyBorder="1" applyAlignment="1">
      <alignment horizontal="left"/>
    </xf>
    <xf numFmtId="0" fontId="68" fillId="0" borderId="50" xfId="1" applyNumberFormat="1" applyFont="1" applyFill="1" applyBorder="1" applyAlignment="1">
      <alignment horizontal="center"/>
    </xf>
    <xf numFmtId="2" fontId="68" fillId="0" borderId="51" xfId="1" applyNumberFormat="1" applyFont="1" applyFill="1" applyBorder="1" applyAlignment="1">
      <alignment horizontal="center"/>
    </xf>
    <xf numFmtId="0" fontId="69" fillId="0" borderId="52" xfId="1" applyNumberFormat="1" applyFont="1" applyFill="1" applyBorder="1" applyAlignment="1">
      <alignment horizontal="left"/>
    </xf>
    <xf numFmtId="0" fontId="69" fillId="0" borderId="52" xfId="1" applyNumberFormat="1" applyFont="1" applyFill="1" applyBorder="1" applyAlignment="1">
      <alignment horizontal="center"/>
    </xf>
    <xf numFmtId="2" fontId="69" fillId="0" borderId="53" xfId="1" applyNumberFormat="1" applyFont="1" applyFill="1" applyBorder="1" applyAlignment="1">
      <alignment horizontal="center"/>
    </xf>
    <xf numFmtId="0" fontId="69" fillId="0" borderId="54" xfId="1" applyNumberFormat="1" applyFont="1" applyFill="1" applyBorder="1" applyAlignment="1">
      <alignment horizontal="left"/>
    </xf>
    <xf numFmtId="0" fontId="69" fillId="0" borderId="54" xfId="1" applyNumberFormat="1" applyFont="1" applyFill="1" applyBorder="1" applyAlignment="1">
      <alignment horizontal="center"/>
    </xf>
    <xf numFmtId="2" fontId="69" fillId="0" borderId="55" xfId="1" applyNumberFormat="1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 applyProtection="1">
      <alignment horizontal="center" vertical="center" shrinkToFit="1"/>
      <protection locked="0"/>
    </xf>
    <xf numFmtId="0" fontId="45" fillId="0" borderId="0" xfId="1" applyFont="1" applyBorder="1" applyAlignment="1">
      <alignment horizontal="left" vertical="center"/>
    </xf>
    <xf numFmtId="0" fontId="5" fillId="0" borderId="0" xfId="1" applyFont="1" applyBorder="1" applyAlignment="1">
      <alignment horizontal="left" vertical="center"/>
    </xf>
    <xf numFmtId="0" fontId="69" fillId="0" borderId="57" xfId="1" applyNumberFormat="1" applyFont="1" applyFill="1" applyBorder="1" applyAlignment="1">
      <alignment horizontal="left"/>
    </xf>
    <xf numFmtId="0" fontId="68" fillId="0" borderId="58" xfId="1" applyNumberFormat="1" applyFont="1" applyFill="1" applyBorder="1" applyAlignment="1">
      <alignment horizontal="left"/>
    </xf>
    <xf numFmtId="0" fontId="69" fillId="0" borderId="58" xfId="1" applyNumberFormat="1" applyFont="1" applyFill="1" applyBorder="1" applyAlignment="1">
      <alignment horizontal="left"/>
    </xf>
    <xf numFmtId="0" fontId="68" fillId="0" borderId="60" xfId="1" applyNumberFormat="1" applyFont="1" applyFill="1" applyBorder="1" applyAlignment="1">
      <alignment horizontal="left"/>
    </xf>
    <xf numFmtId="0" fontId="68" fillId="12" borderId="59" xfId="1" applyNumberFormat="1" applyFont="1" applyFill="1" applyBorder="1" applyAlignment="1">
      <alignment horizontal="left"/>
    </xf>
    <xf numFmtId="14" fontId="30" fillId="0" borderId="1" xfId="0" applyNumberFormat="1" applyFont="1" applyBorder="1" applyAlignment="1" applyProtection="1">
      <alignment horizontal="center"/>
      <protection locked="0"/>
    </xf>
    <xf numFmtId="0" fontId="12" fillId="18" borderId="1" xfId="0" applyFont="1" applyFill="1" applyBorder="1" applyAlignment="1" applyProtection="1">
      <alignment horizontal="center"/>
      <protection locked="0"/>
    </xf>
    <xf numFmtId="19" fontId="30" fillId="0" borderId="1" xfId="0" applyNumberFormat="1" applyFont="1" applyBorder="1"/>
    <xf numFmtId="0" fontId="12" fillId="0" borderId="1" xfId="0" applyFont="1" applyFill="1" applyBorder="1" applyAlignment="1" applyProtection="1">
      <alignment horizontal="center"/>
      <protection locked="0"/>
    </xf>
    <xf numFmtId="0" fontId="1" fillId="0" borderId="0" xfId="2" applyFont="1"/>
    <xf numFmtId="0" fontId="45" fillId="0" borderId="0" xfId="1" applyFont="1" applyBorder="1" applyAlignment="1">
      <alignment horizontal="center" vertical="center"/>
    </xf>
    <xf numFmtId="0" fontId="5" fillId="0" borderId="0" xfId="1" applyFont="1" applyBorder="1" applyAlignment="1">
      <alignment horizontal="center" vertical="center"/>
    </xf>
    <xf numFmtId="2" fontId="68" fillId="0" borderId="48" xfId="1" applyNumberFormat="1" applyFont="1" applyFill="1" applyBorder="1" applyAlignment="1">
      <alignment horizontal="center"/>
    </xf>
    <xf numFmtId="2" fontId="69" fillId="0" borderId="56" xfId="1" applyNumberFormat="1" applyFont="1" applyFill="1" applyBorder="1" applyAlignment="1">
      <alignment horizontal="center"/>
    </xf>
    <xf numFmtId="0" fontId="70" fillId="5" borderId="1" xfId="0" applyFont="1" applyFill="1" applyBorder="1" applyAlignment="1" applyProtection="1">
      <alignment horizontal="center"/>
      <protection locked="0"/>
    </xf>
    <xf numFmtId="49" fontId="3" fillId="0" borderId="1" xfId="0" applyNumberFormat="1" applyFont="1" applyBorder="1" applyAlignment="1" applyProtection="1">
      <alignment horizontal="center"/>
      <protection locked="0"/>
    </xf>
    <xf numFmtId="2" fontId="69" fillId="0" borderId="51" xfId="1" applyNumberFormat="1" applyFont="1" applyFill="1" applyBorder="1" applyAlignment="1">
      <alignment horizontal="center"/>
    </xf>
    <xf numFmtId="0" fontId="12" fillId="18" borderId="2" xfId="0" applyFont="1" applyFill="1" applyBorder="1" applyAlignment="1" applyProtection="1">
      <alignment horizontal="center"/>
      <protection locked="0"/>
    </xf>
    <xf numFmtId="0" fontId="70" fillId="5" borderId="2" xfId="0" applyFont="1" applyFill="1" applyBorder="1" applyAlignment="1" applyProtection="1">
      <alignment horizontal="center"/>
      <protection locked="0"/>
    </xf>
    <xf numFmtId="0" fontId="3" fillId="0" borderId="2" xfId="0" applyFont="1" applyFill="1" applyBorder="1" applyAlignment="1" applyProtection="1">
      <alignment horizontal="center"/>
      <protection locked="0"/>
    </xf>
    <xf numFmtId="0" fontId="3" fillId="0" borderId="17" xfId="0" applyFont="1" applyFill="1" applyBorder="1" applyAlignment="1" applyProtection="1">
      <alignment horizontal="center"/>
      <protection locked="0"/>
    </xf>
    <xf numFmtId="0" fontId="3" fillId="0" borderId="42" xfId="0" applyFont="1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42" xfId="0" applyFill="1" applyBorder="1" applyAlignment="1" applyProtection="1">
      <alignment horizontal="center"/>
      <protection locked="0"/>
    </xf>
    <xf numFmtId="0" fontId="14" fillId="0" borderId="2" xfId="0" applyFont="1" applyFill="1" applyBorder="1" applyAlignment="1" applyProtection="1">
      <alignment horizontal="center" vertical="center"/>
      <protection locked="0"/>
    </xf>
    <xf numFmtId="0" fontId="14" fillId="0" borderId="17" xfId="0" applyFont="1" applyFill="1" applyBorder="1" applyAlignment="1" applyProtection="1">
      <alignment horizontal="center" vertical="center"/>
      <protection locked="0"/>
    </xf>
    <xf numFmtId="0" fontId="14" fillId="0" borderId="3" xfId="0" applyFont="1" applyFill="1" applyBorder="1" applyAlignment="1" applyProtection="1">
      <alignment horizontal="center" vertical="center"/>
      <protection locked="0"/>
    </xf>
    <xf numFmtId="0" fontId="5" fillId="2" borderId="21" xfId="0" applyFont="1" applyFill="1" applyBorder="1" applyAlignment="1" applyProtection="1">
      <alignment horizontal="center" vertical="center" shrinkToFit="1"/>
      <protection locked="0"/>
    </xf>
    <xf numFmtId="0" fontId="5" fillId="2" borderId="22" xfId="0" applyFont="1" applyFill="1" applyBorder="1" applyAlignment="1" applyProtection="1">
      <alignment horizontal="center" vertical="center" shrinkToFit="1"/>
      <protection locked="0"/>
    </xf>
    <xf numFmtId="0" fontId="5" fillId="2" borderId="23" xfId="0" applyFont="1" applyFill="1" applyBorder="1" applyAlignment="1" applyProtection="1">
      <alignment horizontal="center" vertical="center" shrinkToFit="1"/>
      <protection locked="0"/>
    </xf>
    <xf numFmtId="0" fontId="5" fillId="2" borderId="24" xfId="0" applyFont="1" applyFill="1" applyBorder="1" applyAlignment="1" applyProtection="1">
      <alignment horizontal="center" vertical="center" shrinkToFit="1"/>
      <protection locked="0"/>
    </xf>
    <xf numFmtId="0" fontId="5" fillId="2" borderId="15" xfId="0" applyFont="1" applyFill="1" applyBorder="1" applyAlignment="1" applyProtection="1">
      <alignment horizontal="center" vertical="center" shrinkToFit="1"/>
      <protection locked="0"/>
    </xf>
    <xf numFmtId="0" fontId="5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20" fillId="2" borderId="21" xfId="0" applyFont="1" applyFill="1" applyBorder="1" applyAlignment="1">
      <alignment horizontal="center" vertical="center"/>
    </xf>
    <xf numFmtId="0" fontId="20" fillId="2" borderId="22" xfId="0" applyFont="1" applyFill="1" applyBorder="1" applyAlignment="1">
      <alignment horizontal="center" vertical="center"/>
    </xf>
    <xf numFmtId="0" fontId="20" fillId="2" borderId="23" xfId="0" applyFont="1" applyFill="1" applyBorder="1" applyAlignment="1">
      <alignment horizontal="center" vertical="center"/>
    </xf>
    <xf numFmtId="0" fontId="20" fillId="2" borderId="24" xfId="0" applyFont="1" applyFill="1" applyBorder="1" applyAlignment="1">
      <alignment horizontal="center" vertical="center"/>
    </xf>
    <xf numFmtId="0" fontId="20" fillId="2" borderId="15" xfId="0" applyFont="1" applyFill="1" applyBorder="1" applyAlignment="1">
      <alignment horizontal="center" vertical="center"/>
    </xf>
    <xf numFmtId="0" fontId="20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8" fillId="0" borderId="26" xfId="0" applyNumberFormat="1" applyFont="1" applyFill="1" applyBorder="1" applyAlignment="1">
      <alignment horizontal="center" vertical="center" shrinkToFit="1"/>
    </xf>
    <xf numFmtId="1" fontId="8" fillId="0" borderId="27" xfId="0" applyNumberFormat="1" applyFont="1" applyFill="1" applyBorder="1" applyAlignment="1">
      <alignment horizontal="center" vertical="center" shrinkToFit="1"/>
    </xf>
    <xf numFmtId="165" fontId="8" fillId="0" borderId="26" xfId="0" applyNumberFormat="1" applyFont="1" applyFill="1" applyBorder="1" applyAlignment="1">
      <alignment horizontal="center" vertical="center" shrinkToFit="1"/>
    </xf>
    <xf numFmtId="165" fontId="8" fillId="0" borderId="27" xfId="0" applyNumberFormat="1" applyFont="1" applyFill="1" applyBorder="1" applyAlignment="1">
      <alignment horizontal="center" vertical="center" shrinkToFit="1"/>
    </xf>
    <xf numFmtId="0" fontId="16" fillId="2" borderId="1" xfId="0" applyFont="1" applyFill="1" applyBorder="1" applyAlignment="1">
      <alignment horizontal="center" vertical="center" wrapText="1"/>
    </xf>
    <xf numFmtId="0" fontId="16" fillId="2" borderId="7" xfId="0" applyFont="1" applyFill="1" applyBorder="1" applyAlignment="1">
      <alignment horizontal="center" vertical="center" wrapText="1"/>
    </xf>
    <xf numFmtId="0" fontId="16" fillId="2" borderId="14" xfId="0" applyFont="1" applyFill="1" applyBorder="1" applyAlignment="1">
      <alignment horizontal="center" vertical="center" wrapText="1"/>
    </xf>
    <xf numFmtId="0" fontId="16" fillId="2" borderId="20" xfId="0" applyFont="1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18" fillId="2" borderId="21" xfId="0" applyFont="1" applyFill="1" applyBorder="1" applyAlignment="1">
      <alignment horizontal="center" vertical="center"/>
    </xf>
    <xf numFmtId="0" fontId="18" fillId="2" borderId="22" xfId="0" applyFont="1" applyFill="1" applyBorder="1" applyAlignment="1">
      <alignment horizontal="center" vertic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7" fillId="10" borderId="23" xfId="0" applyFont="1" applyFill="1" applyBorder="1" applyAlignment="1" applyProtection="1">
      <alignment horizontal="center" vertical="center"/>
      <protection locked="0"/>
    </xf>
    <xf numFmtId="0" fontId="7" fillId="10" borderId="31" xfId="0" applyFont="1" applyFill="1" applyBorder="1" applyAlignment="1" applyProtection="1">
      <alignment horizontal="center" vertical="center"/>
      <protection locked="0"/>
    </xf>
    <xf numFmtId="0" fontId="4" fillId="2" borderId="21" xfId="0" applyFont="1" applyFill="1" applyBorder="1" applyAlignment="1">
      <alignment horizontal="center" vertical="center" wrapText="1"/>
    </xf>
    <xf numFmtId="0" fontId="4" fillId="2" borderId="22" xfId="0" applyFont="1" applyFill="1" applyBorder="1" applyAlignment="1">
      <alignment horizontal="center" vertical="center" wrapText="1"/>
    </xf>
    <xf numFmtId="0" fontId="4" fillId="2" borderId="32" xfId="0" applyFont="1" applyFill="1" applyBorder="1" applyAlignment="1">
      <alignment horizontal="center" vertical="center" wrapText="1"/>
    </xf>
    <xf numFmtId="0" fontId="4" fillId="2" borderId="33" xfId="0" applyFont="1" applyFill="1" applyBorder="1" applyAlignment="1">
      <alignment horizontal="center" vertical="center" wrapText="1"/>
    </xf>
    <xf numFmtId="0" fontId="3" fillId="2" borderId="38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24" fillId="2" borderId="21" xfId="0" applyFont="1" applyFill="1" applyBorder="1" applyAlignment="1">
      <alignment horizontal="center" vertical="center"/>
    </xf>
    <xf numFmtId="0" fontId="24" fillId="2" borderId="22" xfId="0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center"/>
    </xf>
    <xf numFmtId="0" fontId="24" fillId="2" borderId="24" xfId="0" applyFont="1" applyFill="1" applyBorder="1" applyAlignment="1">
      <alignment horizontal="center" vertical="center"/>
    </xf>
    <xf numFmtId="0" fontId="24" fillId="2" borderId="15" xfId="0" applyFont="1" applyFill="1" applyBorder="1" applyAlignment="1">
      <alignment horizontal="center" vertical="center"/>
    </xf>
    <xf numFmtId="0" fontId="24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3" xfId="0" applyFill="1" applyBorder="1" applyAlignment="1" applyProtection="1">
      <alignment horizontal="center"/>
      <protection locked="0"/>
    </xf>
    <xf numFmtId="0" fontId="0" fillId="0" borderId="44" xfId="0" applyFill="1" applyBorder="1" applyAlignment="1" applyProtection="1">
      <alignment horizontal="center"/>
      <protection locked="0"/>
    </xf>
    <xf numFmtId="0" fontId="0" fillId="0" borderId="45" xfId="0" applyFill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 vertical="center" shrinkToFit="1"/>
      <protection locked="0"/>
    </xf>
    <xf numFmtId="0" fontId="29" fillId="0" borderId="17" xfId="0" applyFont="1" applyBorder="1" applyAlignment="1" applyProtection="1">
      <alignment horizontal="center" vertical="center" shrinkToFit="1"/>
      <protection locked="0"/>
    </xf>
    <xf numFmtId="0" fontId="33" fillId="2" borderId="2" xfId="0" applyFont="1" applyFill="1" applyBorder="1" applyAlignment="1">
      <alignment horizontal="center" vertical="center"/>
    </xf>
    <xf numFmtId="0" fontId="33" fillId="2" borderId="17" xfId="0" applyFont="1" applyFill="1" applyBorder="1" applyAlignment="1">
      <alignment horizontal="center" vertical="center"/>
    </xf>
    <xf numFmtId="0" fontId="35" fillId="0" borderId="2" xfId="0" applyFont="1" applyFill="1" applyBorder="1" applyAlignment="1">
      <alignment horizontal="center" vertical="center" shrinkToFit="1"/>
    </xf>
    <xf numFmtId="0" fontId="35" fillId="0" borderId="3" xfId="0" applyFont="1" applyFill="1" applyBorder="1" applyAlignment="1">
      <alignment horizontal="center" vertical="center" shrinkToFit="1"/>
    </xf>
    <xf numFmtId="0" fontId="38" fillId="15" borderId="2" xfId="0" applyFont="1" applyFill="1" applyBorder="1" applyAlignment="1">
      <alignment horizontal="center" vertical="center" shrinkToFit="1"/>
    </xf>
    <xf numFmtId="0" fontId="38" fillId="15" borderId="3" xfId="0" applyFont="1" applyFill="1" applyBorder="1" applyAlignment="1">
      <alignment horizontal="center" vertical="center" shrinkToFit="1"/>
    </xf>
    <xf numFmtId="0" fontId="36" fillId="0" borderId="39" xfId="0" applyFont="1" applyFill="1" applyBorder="1" applyAlignment="1">
      <alignment horizontal="center" vertical="top" shrinkToFit="1"/>
    </xf>
    <xf numFmtId="0" fontId="36" fillId="0" borderId="34" xfId="0" applyFont="1" applyFill="1" applyBorder="1" applyAlignment="1">
      <alignment horizontal="center" vertical="top" shrinkToFit="1"/>
    </xf>
    <xf numFmtId="0" fontId="36" fillId="0" borderId="40" xfId="0" applyFont="1" applyFill="1" applyBorder="1" applyAlignment="1">
      <alignment horizontal="center" vertical="top" shrinkToFit="1"/>
    </xf>
    <xf numFmtId="0" fontId="36" fillId="0" borderId="33" xfId="0" applyFont="1" applyFill="1" applyBorder="1" applyAlignment="1">
      <alignment horizontal="center" vertical="top" shrinkToFit="1"/>
    </xf>
    <xf numFmtId="0" fontId="36" fillId="0" borderId="0" xfId="0" applyFont="1" applyFill="1" applyBorder="1" applyAlignment="1">
      <alignment horizontal="center" vertical="top" shrinkToFit="1"/>
    </xf>
    <xf numFmtId="0" fontId="35" fillId="16" borderId="2" xfId="0" applyFont="1" applyFill="1" applyBorder="1" applyAlignment="1" applyProtection="1">
      <alignment horizontal="center" vertical="center" shrinkToFit="1"/>
      <protection locked="0"/>
    </xf>
    <xf numFmtId="0" fontId="35" fillId="16" borderId="17" xfId="0" applyFont="1" applyFill="1" applyBorder="1" applyAlignment="1" applyProtection="1">
      <alignment horizontal="center" vertical="center" shrinkToFit="1"/>
      <protection locked="0"/>
    </xf>
    <xf numFmtId="0" fontId="35" fillId="16" borderId="3" xfId="0" applyFont="1" applyFill="1" applyBorder="1" applyAlignment="1" applyProtection="1">
      <alignment horizontal="center" vertical="center" shrinkToFit="1"/>
      <protection locked="0"/>
    </xf>
    <xf numFmtId="0" fontId="45" fillId="0" borderId="0" xfId="1" applyFont="1" applyBorder="1" applyAlignment="1">
      <alignment horizontal="left" vertical="center"/>
    </xf>
    <xf numFmtId="0" fontId="46" fillId="0" borderId="0" xfId="1" applyFont="1" applyBorder="1" applyAlignment="1">
      <alignment horizontal="right" vertical="center"/>
    </xf>
    <xf numFmtId="0" fontId="5" fillId="0" borderId="0" xfId="1" applyFont="1" applyBorder="1" applyAlignment="1">
      <alignment horizontal="left" vertical="center"/>
    </xf>
    <xf numFmtId="0" fontId="47" fillId="0" borderId="0" xfId="1" applyFont="1" applyFill="1" applyBorder="1" applyAlignment="1">
      <alignment horizontal="right" vertical="center"/>
    </xf>
    <xf numFmtId="0" fontId="48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3" fillId="0" borderId="0" xfId="0" applyFont="1" applyAlignment="1">
      <alignment horizontal="center" vertical="center"/>
    </xf>
    <xf numFmtId="0" fontId="4" fillId="2" borderId="36" xfId="0" applyFont="1" applyFill="1" applyBorder="1" applyAlignment="1">
      <alignment horizontal="center" wrapText="1"/>
    </xf>
    <xf numFmtId="0" fontId="4" fillId="2" borderId="37" xfId="0" applyFont="1" applyFill="1" applyBorder="1" applyAlignment="1">
      <alignment horizontal="center" wrapText="1"/>
    </xf>
    <xf numFmtId="0" fontId="62" fillId="0" borderId="0" xfId="0" applyFont="1" applyAlignment="1">
      <alignment horizontal="center" vertical="center"/>
    </xf>
    <xf numFmtId="0" fontId="49" fillId="0" borderId="0" xfId="0" applyFont="1" applyBorder="1" applyAlignment="1">
      <alignment horizontal="left" vertical="center"/>
    </xf>
    <xf numFmtId="0" fontId="60" fillId="0" borderId="0" xfId="0" applyFont="1" applyBorder="1" applyAlignment="1">
      <alignment horizontal="left" vertical="center"/>
    </xf>
    <xf numFmtId="0" fontId="61" fillId="17" borderId="0" xfId="0" applyFont="1" applyFill="1" applyAlignment="1">
      <alignment horizontal="left" vertical="center"/>
    </xf>
    <xf numFmtId="0" fontId="62" fillId="17" borderId="0" xfId="0" applyFont="1" applyFill="1" applyAlignment="1">
      <alignment horizontal="right"/>
    </xf>
    <xf numFmtId="0" fontId="65" fillId="17" borderId="0" xfId="0" applyFont="1" applyFill="1" applyAlignment="1">
      <alignment horizontal="right" vertical="center"/>
    </xf>
    <xf numFmtId="0" fontId="58" fillId="15" borderId="2" xfId="2" applyFont="1" applyFill="1" applyBorder="1" applyAlignment="1">
      <alignment horizontal="center"/>
    </xf>
    <xf numFmtId="0" fontId="58" fillId="15" borderId="17" xfId="2" applyFont="1" applyFill="1" applyBorder="1" applyAlignment="1">
      <alignment horizontal="center"/>
    </xf>
    <xf numFmtId="0" fontId="58" fillId="15" borderId="3" xfId="2" applyFont="1" applyFill="1" applyBorder="1" applyAlignment="1">
      <alignment horizontal="center"/>
    </xf>
    <xf numFmtId="0" fontId="2" fillId="0" borderId="0" xfId="2" applyAlignment="1">
      <alignment horizontal="right"/>
    </xf>
    <xf numFmtId="0" fontId="1" fillId="0" borderId="0" xfId="2" applyFont="1" applyAlignment="1">
      <alignment horizontal="left"/>
    </xf>
    <xf numFmtId="0" fontId="2" fillId="0" borderId="0" xfId="2" applyAlignment="1">
      <alignment horizontal="left"/>
    </xf>
    <xf numFmtId="14" fontId="2" fillId="0" borderId="0" xfId="2" applyNumberFormat="1" applyAlignment="1">
      <alignment horizontal="left"/>
    </xf>
    <xf numFmtId="0" fontId="56" fillId="0" borderId="0" xfId="2" applyFont="1" applyBorder="1" applyAlignment="1">
      <alignment horizontal="left"/>
    </xf>
    <xf numFmtId="0" fontId="13" fillId="0" borderId="0" xfId="0" applyFont="1" applyBorder="1" applyAlignment="1">
      <alignment horizontal="left" vertical="center" shrinkToFit="1"/>
    </xf>
    <xf numFmtId="0" fontId="13" fillId="0" borderId="33" xfId="0" applyFont="1" applyBorder="1" applyAlignment="1">
      <alignment horizontal="left" vertical="center" shrinkToFit="1"/>
    </xf>
    <xf numFmtId="14" fontId="13" fillId="0" borderId="0" xfId="0" applyNumberFormat="1" applyFont="1" applyBorder="1" applyAlignment="1">
      <alignment horizontal="left" vertical="center" shrinkToFit="1"/>
    </xf>
    <xf numFmtId="14" fontId="13" fillId="0" borderId="33" xfId="0" applyNumberFormat="1" applyFont="1" applyBorder="1" applyAlignment="1">
      <alignment horizontal="left" vertical="center" shrinkToFit="1"/>
    </xf>
    <xf numFmtId="0" fontId="25" fillId="0" borderId="0" xfId="0" applyFont="1" applyFill="1" applyAlignment="1">
      <alignment horizontal="center" vertical="center" wrapText="1"/>
    </xf>
    <xf numFmtId="0" fontId="25" fillId="0" borderId="0" xfId="0" applyFont="1" applyFill="1" applyAlignment="1">
      <alignment horizontal="center" vertical="center"/>
    </xf>
    <xf numFmtId="0" fontId="22" fillId="0" borderId="0" xfId="0" applyFont="1" applyFill="1" applyAlignment="1">
      <alignment horizontal="center"/>
    </xf>
    <xf numFmtId="0" fontId="21" fillId="0" borderId="0" xfId="0" applyFont="1" applyFill="1" applyAlignment="1" applyProtection="1">
      <alignment horizontal="center"/>
      <protection locked="0"/>
    </xf>
    <xf numFmtId="0" fontId="22" fillId="0" borderId="0" xfId="0" applyFont="1" applyFill="1" applyAlignment="1" applyProtection="1">
      <alignment horizontal="center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127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2.jpeg"/><Relationship Id="rId18" Type="http://schemas.openxmlformats.org/officeDocument/2006/relationships/image" Target="../media/image17.jpeg"/><Relationship Id="rId3" Type="http://schemas.openxmlformats.org/officeDocument/2006/relationships/image" Target="../media/image3.png"/><Relationship Id="rId21" Type="http://schemas.openxmlformats.org/officeDocument/2006/relationships/image" Target="../media/image20.jpeg"/><Relationship Id="rId7" Type="http://schemas.openxmlformats.org/officeDocument/2006/relationships/image" Target="../media/image7.png"/><Relationship Id="rId12" Type="http://schemas.openxmlformats.org/officeDocument/2006/relationships/image" Target="../media/image11.png"/><Relationship Id="rId17" Type="http://schemas.openxmlformats.org/officeDocument/2006/relationships/image" Target="../media/image16.jpeg"/><Relationship Id="rId2" Type="http://schemas.openxmlformats.org/officeDocument/2006/relationships/image" Target="../media/image2.png"/><Relationship Id="rId16" Type="http://schemas.openxmlformats.org/officeDocument/2006/relationships/image" Target="../media/image15.jpeg"/><Relationship Id="rId20" Type="http://schemas.openxmlformats.org/officeDocument/2006/relationships/image" Target="../media/image19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3.png"/><Relationship Id="rId5" Type="http://schemas.openxmlformats.org/officeDocument/2006/relationships/image" Target="../media/image5.png"/><Relationship Id="rId15" Type="http://schemas.openxmlformats.org/officeDocument/2006/relationships/image" Target="../media/image14.jpeg"/><Relationship Id="rId23" Type="http://schemas.openxmlformats.org/officeDocument/2006/relationships/image" Target="../media/image22.emf"/><Relationship Id="rId10" Type="http://schemas.openxmlformats.org/officeDocument/2006/relationships/image" Target="../media/image9.png"/><Relationship Id="rId19" Type="http://schemas.openxmlformats.org/officeDocument/2006/relationships/image" Target="../media/image18.jpeg"/><Relationship Id="rId4" Type="http://schemas.openxmlformats.org/officeDocument/2006/relationships/image" Target="../media/image4.png"/><Relationship Id="rId9" Type="http://schemas.openxmlformats.org/officeDocument/2006/relationships/image" Target="../media/image24.png"/><Relationship Id="rId14" Type="http://schemas.openxmlformats.org/officeDocument/2006/relationships/image" Target="../media/image13.jpeg"/><Relationship Id="rId22" Type="http://schemas.openxmlformats.org/officeDocument/2006/relationships/image" Target="../media/image21.emf"/></Relationships>
</file>

<file path=xl/charts/_rels/char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10" Type="http://schemas.openxmlformats.org/officeDocument/2006/relationships/image" Target="../media/image23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10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ackScale"/>
              <c:pictureStackUnit val="1"/>
            </c:pictureOptions>
            <c:extLst>
              <c:ext xmlns:c16="http://schemas.microsoft.com/office/drawing/2014/chart" uri="{C3380CC4-5D6E-409C-BE32-E72D297353CC}">
                <c16:uniqueId val="{00000001-5B49-488D-8136-C4EE72854EC0}"/>
              </c:ext>
            </c:extLst>
          </c:dPt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0.99989168900061631"/>
          <c:h val="1"/>
        </c:manualLayout>
      </c:layout>
      <c:barChart>
        <c:barDir val="bar"/>
        <c:grouping val="stacked"/>
        <c:varyColors val="0"/>
        <c:ser>
          <c:idx val="2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48-4532-9DBD-67495DAF78C3}"/>
            </c:ext>
          </c:extLst>
        </c:ser>
        <c:ser>
          <c:idx val="3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48-4532-9DBD-67495DAF78C3}"/>
            </c:ext>
          </c:extLst>
        </c:ser>
        <c:ser>
          <c:idx val="4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48-4532-9DBD-67495DAF78C3}"/>
            </c:ext>
          </c:extLst>
        </c:ser>
        <c:ser>
          <c:idx val="5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48-4532-9DBD-67495DAF78C3}"/>
            </c:ext>
          </c:extLst>
        </c:ser>
        <c:ser>
          <c:idx val="6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48-4532-9DBD-67495DAF78C3}"/>
            </c:ext>
          </c:extLst>
        </c:ser>
        <c:ser>
          <c:idx val="7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48-4532-9DBD-67495DAF78C3}"/>
            </c:ext>
          </c:extLst>
        </c:ser>
        <c:ser>
          <c:idx val="8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48-4532-9DBD-67495DAF78C3}"/>
            </c:ext>
          </c:extLst>
        </c:ser>
        <c:ser>
          <c:idx val="10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48-4532-9DBD-67495DAF78C3}"/>
            </c:ext>
          </c:extLst>
        </c:ser>
        <c:ser>
          <c:idx val="9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48-4532-9DBD-67495DAF78C3}"/>
            </c:ext>
          </c:extLst>
        </c:ser>
        <c:ser>
          <c:idx val="11"/>
          <c:order val="9"/>
          <c:tx>
            <c:v>collar</c:v>
          </c:tx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B-8B48-4532-9DBD-67495DAF7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2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  <xdr:twoCellAnchor>
    <xdr:from>
      <xdr:col>2</xdr:col>
      <xdr:colOff>57150</xdr:colOff>
      <xdr:row>0</xdr:row>
      <xdr:rowOff>95250</xdr:rowOff>
    </xdr:from>
    <xdr:to>
      <xdr:col>3</xdr:col>
      <xdr:colOff>466725</xdr:colOff>
      <xdr:row>0</xdr:row>
      <xdr:rowOff>314325</xdr:rowOff>
    </xdr:to>
    <xdr:sp macro="[0]!importweighindata" textlink="">
      <xdr:nvSpPr>
        <xdr:cNvPr id="2" name="Rectangle 1">
          <a:extLst>
            <a:ext uri="{FF2B5EF4-FFF2-40B4-BE49-F238E27FC236}">
              <a16:creationId xmlns:a16="http://schemas.microsoft.com/office/drawing/2014/main" id="{EF5DC7A4-638B-436A-ABC6-DF394E2407FF}"/>
            </a:ext>
          </a:extLst>
        </xdr:cNvPr>
        <xdr:cNvSpPr/>
      </xdr:nvSpPr>
      <xdr:spPr bwMode="auto">
        <a:xfrm>
          <a:off x="2286000" y="95250"/>
          <a:ext cx="1019175" cy="2190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latin typeface="Arial" panose="020B0604020202020204" pitchFamily="34" charset="0"/>
              <a:cs typeface="Arial" panose="020B0604020202020204" pitchFamily="34" charset="0"/>
            </a:rPr>
            <a:t>Import from file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0</xdr:rowOff>
    </xdr:from>
    <xdr:to>
      <xdr:col>25</xdr:col>
      <xdr:colOff>9525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3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27529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300-0000DD060000}"/>
            </a:ext>
          </a:extLst>
        </xdr:cNvPr>
        <xdr:cNvSpPr>
          <a:spLocks noChangeArrowheads="1"/>
        </xdr:cNvSpPr>
      </xdr:nvSpPr>
      <xdr:spPr bwMode="auto">
        <a:xfrm>
          <a:off x="28575" y="1640723"/>
          <a:ext cx="791126" cy="277271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304800</xdr:colOff>
      <xdr:row>2</xdr:row>
      <xdr:rowOff>323849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300-00004D050000}"/>
            </a:ext>
          </a:extLst>
        </xdr:cNvPr>
        <xdr:cNvSpPr txBox="1">
          <a:spLocks noChangeArrowheads="1"/>
        </xdr:cNvSpPr>
      </xdr:nvSpPr>
      <xdr:spPr bwMode="auto">
        <a:xfrm>
          <a:off x="3819525" y="962025"/>
          <a:ext cx="657225" cy="323849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11</xdr:col>
      <xdr:colOff>295276</xdr:colOff>
      <xdr:row>2</xdr:row>
      <xdr:rowOff>0</xdr:rowOff>
    </xdr:from>
    <xdr:to>
      <xdr:col>13</xdr:col>
      <xdr:colOff>0</xdr:colOff>
      <xdr:row>2</xdr:row>
      <xdr:rowOff>323849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300-00004E050000}"/>
            </a:ext>
          </a:extLst>
        </xdr:cNvPr>
        <xdr:cNvSpPr txBox="1">
          <a:spLocks noChangeArrowheads="1"/>
        </xdr:cNvSpPr>
      </xdr:nvSpPr>
      <xdr:spPr bwMode="auto">
        <a:xfrm>
          <a:off x="4467226" y="962025"/>
          <a:ext cx="714374" cy="323849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27529</xdr:colOff>
      <xdr:row>4</xdr:row>
      <xdr:rowOff>27529</xdr:rowOff>
    </xdr:from>
    <xdr:to>
      <xdr:col>5</xdr:col>
      <xdr:colOff>423945</xdr:colOff>
      <xdr:row>4</xdr:row>
      <xdr:rowOff>302818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300-0000E0060000}"/>
            </a:ext>
          </a:extLst>
        </xdr:cNvPr>
        <xdr:cNvSpPr>
          <a:spLocks noChangeArrowheads="1"/>
        </xdr:cNvSpPr>
      </xdr:nvSpPr>
      <xdr:spPr bwMode="auto">
        <a:xfrm>
          <a:off x="2999329" y="1637254"/>
          <a:ext cx="396416" cy="275289"/>
        </a:xfrm>
        <a:prstGeom prst="rect">
          <a:avLst/>
        </a:prstGeom>
        <a:noFill/>
        <a:ln w="9525">
          <a:solidFill>
            <a:sysClr val="windowText" lastClr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27528</xdr:rowOff>
    </xdr:from>
    <xdr:to>
      <xdr:col>1</xdr:col>
      <xdr:colOff>1162050</xdr:colOff>
      <xdr:row>4</xdr:row>
      <xdr:rowOff>304799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300-0000E1060000}"/>
            </a:ext>
          </a:extLst>
        </xdr:cNvPr>
        <xdr:cNvSpPr>
          <a:spLocks noChangeArrowheads="1"/>
        </xdr:cNvSpPr>
      </xdr:nvSpPr>
      <xdr:spPr bwMode="auto">
        <a:xfrm>
          <a:off x="848276" y="1640722"/>
          <a:ext cx="600075" cy="27727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280794</xdr:colOff>
      <xdr:row>3</xdr:row>
      <xdr:rowOff>0</xdr:rowOff>
    </xdr:from>
    <xdr:to>
      <xdr:col>13</xdr:col>
      <xdr:colOff>0</xdr:colOff>
      <xdr:row>4</xdr:row>
      <xdr:rowOff>0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4452744" y="1285875"/>
          <a:ext cx="728856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0:59</a:t>
          </a:r>
        </a:p>
      </xdr:txBody>
    </xdr:sp>
    <xdr:clientData/>
  </xdr:twoCellAnchor>
  <xdr:twoCellAnchor>
    <xdr:from>
      <xdr:col>0</xdr:col>
      <xdr:colOff>30611</xdr:colOff>
      <xdr:row>3</xdr:row>
      <xdr:rowOff>25491</xdr:rowOff>
    </xdr:from>
    <xdr:to>
      <xdr:col>1</xdr:col>
      <xdr:colOff>1164166</xdr:colOff>
      <xdr:row>3</xdr:row>
      <xdr:rowOff>302762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30611" y="1311366"/>
          <a:ext cx="1419305" cy="277271"/>
        </a:xfrm>
        <a:prstGeom prst="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800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304800</xdr:colOff>
      <xdr:row>5</xdr:row>
      <xdr:rowOff>0</xdr:rowOff>
    </xdr:to>
    <xdr:sp macro="[0]!ResumeClock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3819525" y="1609725"/>
          <a:ext cx="65722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Resume</a:t>
          </a:r>
        </a:p>
      </xdr:txBody>
    </xdr:sp>
    <xdr:clientData/>
  </xdr:twoCellAnchor>
  <xdr:twoCellAnchor>
    <xdr:from>
      <xdr:col>7</xdr:col>
      <xdr:colOff>0</xdr:colOff>
      <xdr:row>2</xdr:row>
      <xdr:rowOff>323849</xdr:rowOff>
    </xdr:from>
    <xdr:to>
      <xdr:col>11</xdr:col>
      <xdr:colOff>297313</xdr:colOff>
      <xdr:row>4</xdr:row>
      <xdr:rowOff>0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3819525" y="1285874"/>
          <a:ext cx="649738" cy="323851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11</xdr:col>
      <xdr:colOff>295275</xdr:colOff>
      <xdr:row>4</xdr:row>
      <xdr:rowOff>0</xdr:rowOff>
    </xdr:from>
    <xdr:to>
      <xdr:col>13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4467225" y="1609725"/>
          <a:ext cx="71437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16</xdr:col>
      <xdr:colOff>114300</xdr:colOff>
      <xdr:row>4</xdr:row>
      <xdr:rowOff>57150</xdr:rowOff>
    </xdr:from>
    <xdr:to>
      <xdr:col>27</xdr:col>
      <xdr:colOff>0</xdr:colOff>
      <xdr:row>4</xdr:row>
      <xdr:rowOff>276225</xdr:rowOff>
    </xdr:to>
    <xdr:sp macro="" textlink="Lists!$O$38">
      <xdr:nvSpPr>
        <xdr:cNvPr id="6" name="TextBox 5">
          <a:extLst>
            <a:ext uri="{FF2B5EF4-FFF2-40B4-BE49-F238E27FC236}">
              <a16:creationId xmlns:a16="http://schemas.microsoft.com/office/drawing/2014/main" id="{BAA579CB-FEBB-40B6-B390-E51818AB535D}"/>
            </a:ext>
          </a:extLst>
        </xdr:cNvPr>
        <xdr:cNvSpPr txBox="1"/>
      </xdr:nvSpPr>
      <xdr:spPr>
        <a:xfrm>
          <a:off x="6153150" y="1666875"/>
          <a:ext cx="4400550" cy="2190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A835E96-A8B5-46CB-B144-34372DE0124B}" type="TxLink">
            <a:rPr lang="en-US" sz="12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Next Barload: 25 10 2,5 | Next Rack: 5</a:t>
          </a:fld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0</xdr:colOff>
      <xdr:row>0</xdr:row>
      <xdr:rowOff>0</xdr:rowOff>
    </xdr:from>
    <xdr:to>
      <xdr:col>27</xdr:col>
      <xdr:colOff>0</xdr:colOff>
      <xdr:row>4</xdr:row>
      <xdr:rowOff>47625</xdr:rowOff>
    </xdr:to>
    <xdr:sp macro="" textlink="">
      <xdr:nvSpPr>
        <xdr:cNvPr id="26" name="lightsbackground" hidden="1">
          <a:extLst>
            <a:ext uri="{FF2B5EF4-FFF2-40B4-BE49-F238E27FC236}">
              <a16:creationId xmlns:a16="http://schemas.microsoft.com/office/drawing/2014/main" id="{29E34410-CA7F-4B15-A5B3-DC1D43C5A2A3}"/>
            </a:ext>
          </a:extLst>
        </xdr:cNvPr>
        <xdr:cNvSpPr/>
      </xdr:nvSpPr>
      <xdr:spPr bwMode="auto">
        <a:xfrm>
          <a:off x="6038850" y="0"/>
          <a:ext cx="4514850" cy="1657350"/>
        </a:xfrm>
        <a:prstGeom prst="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20</xdr:col>
      <xdr:colOff>47625</xdr:colOff>
      <xdr:row>0</xdr:row>
      <xdr:rowOff>114298</xdr:rowOff>
    </xdr:from>
    <xdr:to>
      <xdr:col>23</xdr:col>
      <xdr:colOff>1978</xdr:colOff>
      <xdr:row>2</xdr:row>
      <xdr:rowOff>134408</xdr:rowOff>
    </xdr:to>
    <xdr:sp macro="" textlink="">
      <xdr:nvSpPr>
        <xdr:cNvPr id="27" name="light2" hidden="1">
          <a:extLst>
            <a:ext uri="{FF2B5EF4-FFF2-40B4-BE49-F238E27FC236}">
              <a16:creationId xmlns:a16="http://schemas.microsoft.com/office/drawing/2014/main" id="{BA59308F-CDBD-44B2-82B5-39226C7358EE}"/>
            </a:ext>
          </a:extLst>
        </xdr:cNvPr>
        <xdr:cNvSpPr/>
      </xdr:nvSpPr>
      <xdr:spPr>
        <a:xfrm>
          <a:off x="7600950" y="114298"/>
          <a:ext cx="1306903" cy="982135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23</xdr:col>
      <xdr:colOff>143501</xdr:colOff>
      <xdr:row>0</xdr:row>
      <xdr:rowOff>114298</xdr:rowOff>
    </xdr:from>
    <xdr:to>
      <xdr:col>26</xdr:col>
      <xdr:colOff>518785</xdr:colOff>
      <xdr:row>2</xdr:row>
      <xdr:rowOff>134408</xdr:rowOff>
    </xdr:to>
    <xdr:sp macro="" textlink="">
      <xdr:nvSpPr>
        <xdr:cNvPr id="28" name="light3" hidden="1">
          <a:extLst>
            <a:ext uri="{FF2B5EF4-FFF2-40B4-BE49-F238E27FC236}">
              <a16:creationId xmlns:a16="http://schemas.microsoft.com/office/drawing/2014/main" id="{3C8D578A-6025-49BC-A2B0-2250FAF34461}"/>
            </a:ext>
          </a:extLst>
        </xdr:cNvPr>
        <xdr:cNvSpPr/>
      </xdr:nvSpPr>
      <xdr:spPr>
        <a:xfrm>
          <a:off x="9049376" y="114298"/>
          <a:ext cx="1337309" cy="982135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16</xdr:col>
      <xdr:colOff>112203</xdr:colOff>
      <xdr:row>2</xdr:row>
      <xdr:rowOff>240145</xdr:rowOff>
    </xdr:from>
    <xdr:to>
      <xdr:col>18</xdr:col>
      <xdr:colOff>400050</xdr:colOff>
      <xdr:row>3</xdr:row>
      <xdr:rowOff>276225</xdr:rowOff>
    </xdr:to>
    <xdr:sp macro="" textlink="">
      <xdr:nvSpPr>
        <xdr:cNvPr id="29" name="card1" hidden="1">
          <a:extLst>
            <a:ext uri="{FF2B5EF4-FFF2-40B4-BE49-F238E27FC236}">
              <a16:creationId xmlns:a16="http://schemas.microsoft.com/office/drawing/2014/main" id="{BAE2898A-B9FC-4CCC-92E7-DB4DEB2BD959}"/>
            </a:ext>
          </a:extLst>
        </xdr:cNvPr>
        <xdr:cNvSpPr/>
      </xdr:nvSpPr>
      <xdr:spPr>
        <a:xfrm>
          <a:off x="6151053" y="1202170"/>
          <a:ext cx="1297497" cy="359930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7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20</xdr:col>
      <xdr:colOff>47625</xdr:colOff>
      <xdr:row>2</xdr:row>
      <xdr:rowOff>238126</xdr:rowOff>
    </xdr:from>
    <xdr:to>
      <xdr:col>22</xdr:col>
      <xdr:colOff>444047</xdr:colOff>
      <xdr:row>3</xdr:row>
      <xdr:rowOff>276754</xdr:rowOff>
    </xdr:to>
    <xdr:sp macro="" textlink="">
      <xdr:nvSpPr>
        <xdr:cNvPr id="30" name="card2" hidden="1">
          <a:extLst>
            <a:ext uri="{FF2B5EF4-FFF2-40B4-BE49-F238E27FC236}">
              <a16:creationId xmlns:a16="http://schemas.microsoft.com/office/drawing/2014/main" id="{B68C34D7-4FA6-44FD-80F9-B98FE125C22F}"/>
            </a:ext>
          </a:extLst>
        </xdr:cNvPr>
        <xdr:cNvSpPr/>
      </xdr:nvSpPr>
      <xdr:spPr>
        <a:xfrm>
          <a:off x="7600950" y="1200151"/>
          <a:ext cx="1291772" cy="362478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7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23</xdr:col>
      <xdr:colOff>142875</xdr:colOff>
      <xdr:row>2</xdr:row>
      <xdr:rowOff>234372</xdr:rowOff>
    </xdr:from>
    <xdr:to>
      <xdr:col>26</xdr:col>
      <xdr:colOff>493405</xdr:colOff>
      <xdr:row>3</xdr:row>
      <xdr:rowOff>266699</xdr:rowOff>
    </xdr:to>
    <xdr:sp macro="" textlink="">
      <xdr:nvSpPr>
        <xdr:cNvPr id="31" name="card3" hidden="1">
          <a:extLst>
            <a:ext uri="{FF2B5EF4-FFF2-40B4-BE49-F238E27FC236}">
              <a16:creationId xmlns:a16="http://schemas.microsoft.com/office/drawing/2014/main" id="{C5868461-1C3C-4A72-A21E-B197B75CF343}"/>
            </a:ext>
          </a:extLst>
        </xdr:cNvPr>
        <xdr:cNvSpPr/>
      </xdr:nvSpPr>
      <xdr:spPr>
        <a:xfrm>
          <a:off x="9048750" y="1196397"/>
          <a:ext cx="1312555" cy="356177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7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133350</xdr:colOff>
      <xdr:row>0</xdr:row>
      <xdr:rowOff>114300</xdr:rowOff>
    </xdr:from>
    <xdr:to>
      <xdr:col>18</xdr:col>
      <xdr:colOff>409575</xdr:colOff>
      <xdr:row>2</xdr:row>
      <xdr:rowOff>134409</xdr:rowOff>
    </xdr:to>
    <xdr:sp macro="" textlink="">
      <xdr:nvSpPr>
        <xdr:cNvPr id="32" name="light1" hidden="1">
          <a:extLst>
            <a:ext uri="{FF2B5EF4-FFF2-40B4-BE49-F238E27FC236}">
              <a16:creationId xmlns:a16="http://schemas.microsoft.com/office/drawing/2014/main" id="{D46B9E7A-E816-4528-B561-8B9CD5B8703C}"/>
            </a:ext>
          </a:extLst>
        </xdr:cNvPr>
        <xdr:cNvSpPr/>
      </xdr:nvSpPr>
      <xdr:spPr>
        <a:xfrm>
          <a:off x="6172200" y="114300"/>
          <a:ext cx="1285875" cy="982134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2</xdr:col>
      <xdr:colOff>20240</xdr:colOff>
      <xdr:row>4</xdr:row>
      <xdr:rowOff>28575</xdr:rowOff>
    </xdr:from>
    <xdr:to>
      <xdr:col>2</xdr:col>
      <xdr:colOff>629708</xdr:colOff>
      <xdr:row>4</xdr:row>
      <xdr:rowOff>303609</xdr:rowOff>
    </xdr:to>
    <xdr:sp macro="[0]!NextGrp" textlink="">
      <xdr:nvSpPr>
        <xdr:cNvPr id="7" name="Rectangle 6">
          <a:extLst>
            <a:ext uri="{FF2B5EF4-FFF2-40B4-BE49-F238E27FC236}">
              <a16:creationId xmlns:a16="http://schemas.microsoft.com/office/drawing/2014/main" id="{6288E343-53AA-4BF6-A91B-91AA0D1B0BA6}"/>
            </a:ext>
          </a:extLst>
        </xdr:cNvPr>
        <xdr:cNvSpPr/>
      </xdr:nvSpPr>
      <xdr:spPr bwMode="auto">
        <a:xfrm>
          <a:off x="1486032" y="1637242"/>
          <a:ext cx="609468" cy="275034"/>
        </a:xfrm>
        <a:prstGeom prst="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0:59</a:t>
          </a:r>
        </a:p>
      </xdr:txBody>
    </xdr:sp>
    <xdr:clientData/>
  </xdr:twoCellAnchor>
  <xdr:twoCellAnchor>
    <xdr:from>
      <xdr:col>13</xdr:col>
      <xdr:colOff>0</xdr:colOff>
      <xdr:row>4</xdr:row>
      <xdr:rowOff>112511</xdr:rowOff>
    </xdr:from>
    <xdr:to>
      <xdr:col>17</xdr:col>
      <xdr:colOff>0</xdr:colOff>
      <xdr:row>6</xdr:row>
      <xdr:rowOff>49362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839075" y="645911"/>
          <a:ext cx="2324100" cy="31785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100 kg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9525</xdr:rowOff>
    </xdr:from>
    <xdr:to>
      <xdr:col>17</xdr:col>
      <xdr:colOff>0</xdr:colOff>
      <xdr:row>8</xdr:row>
      <xdr:rowOff>56886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7839076" y="923925"/>
          <a:ext cx="2324099" cy="27596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höjd: 5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3">
      <xdr:nvSpPr>
        <xdr:cNvPr id="9" name="clubshape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F1DDB4AE-BEDB-4847-B1CE-C04C841668BA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Vagnhallen SK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861001, klass 84+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Mathilda Andersson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4</xdr:col>
      <xdr:colOff>523874</xdr:colOff>
      <xdr:row>51</xdr:row>
      <xdr:rowOff>0</xdr:rowOff>
    </xdr:from>
    <xdr:to>
      <xdr:col>9</xdr:col>
      <xdr:colOff>581024</xdr:colOff>
      <xdr:row>55</xdr:row>
      <xdr:rowOff>0</xdr:rowOff>
    </xdr:to>
    <xdr:sp macro="[0]!NewWindow" textlink="">
      <xdr:nvSpPr>
        <xdr:cNvPr id="19" name="publicfullscreen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 bwMode="auto">
        <a:xfrm>
          <a:off x="3171824" y="9286875"/>
          <a:ext cx="2924175" cy="647700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  <xdr:twoCellAnchor>
    <xdr:from>
      <xdr:col>6</xdr:col>
      <xdr:colOff>609599</xdr:colOff>
      <xdr:row>1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21" name="lightsbackground" hidden="1">
          <a:extLst>
            <a:ext uri="{FF2B5EF4-FFF2-40B4-BE49-F238E27FC236}">
              <a16:creationId xmlns:a16="http://schemas.microsoft.com/office/drawing/2014/main" id="{81AA4A28-AAAD-4D7F-BBBB-E70B2E8110AF}"/>
            </a:ext>
          </a:extLst>
        </xdr:cNvPr>
        <xdr:cNvSpPr/>
      </xdr:nvSpPr>
      <xdr:spPr bwMode="auto">
        <a:xfrm>
          <a:off x="4352924" y="114300"/>
          <a:ext cx="3486151" cy="1028700"/>
        </a:xfrm>
        <a:prstGeom prst="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9</xdr:col>
      <xdr:colOff>57150</xdr:colOff>
      <xdr:row>1</xdr:row>
      <xdr:rowOff>66674</xdr:rowOff>
    </xdr:from>
    <xdr:to>
      <xdr:col>10</xdr:col>
      <xdr:colOff>485253</xdr:colOff>
      <xdr:row>5</xdr:row>
      <xdr:rowOff>66675</xdr:rowOff>
    </xdr:to>
    <xdr:sp macro="" textlink="">
      <xdr:nvSpPr>
        <xdr:cNvPr id="22" name="light2" hidden="1">
          <a:extLst>
            <a:ext uri="{FF2B5EF4-FFF2-40B4-BE49-F238E27FC236}">
              <a16:creationId xmlns:a16="http://schemas.microsoft.com/office/drawing/2014/main" id="{8A67FE6B-A2CE-4C84-9C32-1BD25D7C88DC}"/>
            </a:ext>
          </a:extLst>
        </xdr:cNvPr>
        <xdr:cNvSpPr/>
      </xdr:nvSpPr>
      <xdr:spPr>
        <a:xfrm>
          <a:off x="5572125" y="180974"/>
          <a:ext cx="1009128" cy="609601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10</xdr:col>
      <xdr:colOff>572126</xdr:colOff>
      <xdr:row>1</xdr:row>
      <xdr:rowOff>66674</xdr:rowOff>
    </xdr:from>
    <xdr:to>
      <xdr:col>12</xdr:col>
      <xdr:colOff>442682</xdr:colOff>
      <xdr:row>5</xdr:row>
      <xdr:rowOff>66675</xdr:rowOff>
    </xdr:to>
    <xdr:sp macro="" textlink="">
      <xdr:nvSpPr>
        <xdr:cNvPr id="23" name="light3" hidden="1">
          <a:extLst>
            <a:ext uri="{FF2B5EF4-FFF2-40B4-BE49-F238E27FC236}">
              <a16:creationId xmlns:a16="http://schemas.microsoft.com/office/drawing/2014/main" id="{0C8FAF62-1B4A-4195-8B73-0254C259B1E6}"/>
            </a:ext>
          </a:extLst>
        </xdr:cNvPr>
        <xdr:cNvSpPr/>
      </xdr:nvSpPr>
      <xdr:spPr>
        <a:xfrm>
          <a:off x="6668126" y="180974"/>
          <a:ext cx="1032606" cy="609601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7</xdr:col>
      <xdr:colOff>121728</xdr:colOff>
      <xdr:row>5</xdr:row>
      <xdr:rowOff>154420</xdr:rowOff>
    </xdr:from>
    <xdr:to>
      <xdr:col>8</xdr:col>
      <xdr:colOff>546708</xdr:colOff>
      <xdr:row>6</xdr:row>
      <xdr:rowOff>169718</xdr:rowOff>
    </xdr:to>
    <xdr:sp macro="" textlink="">
      <xdr:nvSpPr>
        <xdr:cNvPr id="24" name="card1" hidden="1">
          <a:extLst>
            <a:ext uri="{FF2B5EF4-FFF2-40B4-BE49-F238E27FC236}">
              <a16:creationId xmlns:a16="http://schemas.microsoft.com/office/drawing/2014/main" id="{4DF3DBC8-FCC1-4992-80C0-5281BD382B9F}"/>
            </a:ext>
          </a:extLst>
        </xdr:cNvPr>
        <xdr:cNvSpPr/>
      </xdr:nvSpPr>
      <xdr:spPr>
        <a:xfrm>
          <a:off x="4474653" y="878320"/>
          <a:ext cx="1006005" cy="205798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61477</xdr:colOff>
      <xdr:row>5</xdr:row>
      <xdr:rowOff>142875</xdr:rowOff>
    </xdr:from>
    <xdr:to>
      <xdr:col>10</xdr:col>
      <xdr:colOff>489265</xdr:colOff>
      <xdr:row>6</xdr:row>
      <xdr:rowOff>171450</xdr:rowOff>
    </xdr:to>
    <xdr:sp macro="" textlink="">
      <xdr:nvSpPr>
        <xdr:cNvPr id="25" name="card2" hidden="1">
          <a:extLst>
            <a:ext uri="{FF2B5EF4-FFF2-40B4-BE49-F238E27FC236}">
              <a16:creationId xmlns:a16="http://schemas.microsoft.com/office/drawing/2014/main" id="{43AE636D-669B-4E33-A84A-9E0E36945A8F}"/>
            </a:ext>
          </a:extLst>
        </xdr:cNvPr>
        <xdr:cNvSpPr/>
      </xdr:nvSpPr>
      <xdr:spPr>
        <a:xfrm>
          <a:off x="5576452" y="866775"/>
          <a:ext cx="1008813" cy="219075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570954</xdr:colOff>
      <xdr:row>5</xdr:row>
      <xdr:rowOff>148649</xdr:rowOff>
    </xdr:from>
    <xdr:to>
      <xdr:col>12</xdr:col>
      <xdr:colOff>437527</xdr:colOff>
      <xdr:row>6</xdr:row>
      <xdr:rowOff>170585</xdr:rowOff>
    </xdr:to>
    <xdr:sp macro="" textlink="">
      <xdr:nvSpPr>
        <xdr:cNvPr id="26" name="card3" hidden="1">
          <a:extLst>
            <a:ext uri="{FF2B5EF4-FFF2-40B4-BE49-F238E27FC236}">
              <a16:creationId xmlns:a16="http://schemas.microsoft.com/office/drawing/2014/main" id="{030866C7-8092-4398-BE31-92649CC8AC01}"/>
            </a:ext>
          </a:extLst>
        </xdr:cNvPr>
        <xdr:cNvSpPr/>
      </xdr:nvSpPr>
      <xdr:spPr>
        <a:xfrm>
          <a:off x="6666954" y="872549"/>
          <a:ext cx="1028623" cy="212436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123825</xdr:colOff>
      <xdr:row>1</xdr:row>
      <xdr:rowOff>66676</xdr:rowOff>
    </xdr:from>
    <xdr:to>
      <xdr:col>8</xdr:col>
      <xdr:colOff>538843</xdr:colOff>
      <xdr:row>5</xdr:row>
      <xdr:rowOff>66676</xdr:rowOff>
    </xdr:to>
    <xdr:sp macro="" textlink="">
      <xdr:nvSpPr>
        <xdr:cNvPr id="27" name="light1" hidden="1">
          <a:extLst>
            <a:ext uri="{FF2B5EF4-FFF2-40B4-BE49-F238E27FC236}">
              <a16:creationId xmlns:a16="http://schemas.microsoft.com/office/drawing/2014/main" id="{D6D4C884-0DD8-4608-B129-F1CC45EB3D1F}"/>
            </a:ext>
          </a:extLst>
        </xdr:cNvPr>
        <xdr:cNvSpPr/>
      </xdr:nvSpPr>
      <xdr:spPr>
        <a:xfrm>
          <a:off x="4476750" y="180976"/>
          <a:ext cx="996043" cy="609600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76200</xdr:rowOff>
    </xdr:from>
    <xdr:to>
      <xdr:col>16</xdr:col>
      <xdr:colOff>0</xdr:colOff>
      <xdr:row>26</xdr:row>
      <xdr:rowOff>76200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3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4123C98-D001-4C9C-8407-B315E76645F8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Vagnhallen SK</a:t>
          </a:fld>
          <a:endParaRPr lang="sv-SE" sz="3200"/>
        </a:p>
      </xdr:txBody>
    </xdr:sp>
    <xdr:clientData/>
  </xdr:twoCellAnchor>
  <xdr:twoCellAnchor>
    <xdr:from>
      <xdr:col>12</xdr:col>
      <xdr:colOff>295274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248524" y="2428875"/>
          <a:ext cx="3886201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4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84+ kg</a:t>
          </a:fld>
          <a:endParaRPr lang="sv-SE" sz="44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Knäböj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66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Mathilda Andersson</a:t>
          </a:fld>
          <a:endParaRPr lang="sv-SE" sz="6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0:59</a:t>
          </a:r>
        </a:p>
      </xdr:txBody>
    </xdr:sp>
    <xdr:clientData/>
  </xdr:twoCellAnchor>
  <xdr:twoCellAnchor>
    <xdr:from>
      <xdr:col>1</xdr:col>
      <xdr:colOff>0</xdr:colOff>
      <xdr:row>42</xdr:row>
      <xdr:rowOff>0</xdr:rowOff>
    </xdr:from>
    <xdr:to>
      <xdr:col>4</xdr:col>
      <xdr:colOff>560388</xdr:colOff>
      <xdr:row>45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42</xdr:row>
      <xdr:rowOff>0</xdr:rowOff>
    </xdr:from>
    <xdr:to>
      <xdr:col>11</xdr:col>
      <xdr:colOff>0</xdr:colOff>
      <xdr:row>45</xdr:row>
      <xdr:rowOff>149225</xdr:rowOff>
    </xdr:to>
    <xdr:sp macro="[0]!NewWindow" textlink="">
      <xdr:nvSpPr>
        <xdr:cNvPr id="15" name="publicfullscreen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3295650" y="8343900"/>
          <a:ext cx="3048000" cy="635000"/>
        </a:xfrm>
        <a:prstGeom prst="rect">
          <a:avLst/>
        </a:prstGeom>
        <a:solidFill>
          <a:srgbClr val="1F497D">
            <a:lumMod val="75000"/>
          </a:srgbClr>
        </a:solidFill>
        <a:ln w="25400" cap="flat" cmpd="sng" algn="ctr">
          <a:noFill/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  <xdr:twoCellAnchor>
    <xdr:from>
      <xdr:col>8</xdr:col>
      <xdr:colOff>28575</xdr:colOff>
      <xdr:row>30</xdr:row>
      <xdr:rowOff>0</xdr:rowOff>
    </xdr:from>
    <xdr:to>
      <xdr:col>13</xdr:col>
      <xdr:colOff>590550</xdr:colOff>
      <xdr:row>39</xdr:row>
      <xdr:rowOff>133351</xdr:rowOff>
    </xdr:to>
    <xdr:graphicFrame macro="">
      <xdr:nvGraphicFramePr>
        <xdr:cNvPr id="13" name="Chart 22">
          <a:extLst>
            <a:ext uri="{FF2B5EF4-FFF2-40B4-BE49-F238E27FC236}">
              <a16:creationId xmlns:a16="http://schemas.microsoft.com/office/drawing/2014/main" id="{8B8AA54C-29B3-4DB1-8B70-E857C46C1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27</xdr:col>
      <xdr:colOff>607218</xdr:colOff>
      <xdr:row>29</xdr:row>
      <xdr:rowOff>0</xdr:rowOff>
    </xdr:to>
    <xdr:sp macro="" textlink="">
      <xdr:nvSpPr>
        <xdr:cNvPr id="21" name="lightsbackground" hidden="1">
          <a:extLst>
            <a:ext uri="{FF2B5EF4-FFF2-40B4-BE49-F238E27FC236}">
              <a16:creationId xmlns:a16="http://schemas.microsoft.com/office/drawing/2014/main" id="{C45750E6-243B-4893-A405-CA9FC23C3D86}"/>
            </a:ext>
          </a:extLst>
        </xdr:cNvPr>
        <xdr:cNvSpPr/>
      </xdr:nvSpPr>
      <xdr:spPr bwMode="auto">
        <a:xfrm>
          <a:off x="0" y="0"/>
          <a:ext cx="12075318" cy="4695825"/>
        </a:xfrm>
        <a:prstGeom prst="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7</xdr:col>
      <xdr:colOff>76200</xdr:colOff>
      <xdr:row>0</xdr:row>
      <xdr:rowOff>142876</xdr:rowOff>
    </xdr:from>
    <xdr:to>
      <xdr:col>12</xdr:col>
      <xdr:colOff>522611</xdr:colOff>
      <xdr:row>19</xdr:row>
      <xdr:rowOff>142875</xdr:rowOff>
    </xdr:to>
    <xdr:sp macro="" textlink="">
      <xdr:nvSpPr>
        <xdr:cNvPr id="22" name="light2" hidden="1">
          <a:extLst>
            <a:ext uri="{FF2B5EF4-FFF2-40B4-BE49-F238E27FC236}">
              <a16:creationId xmlns:a16="http://schemas.microsoft.com/office/drawing/2014/main" id="{64AD3D75-815D-4C8B-9FF5-E1ECCA9ED8ED}"/>
            </a:ext>
          </a:extLst>
        </xdr:cNvPr>
        <xdr:cNvSpPr/>
      </xdr:nvSpPr>
      <xdr:spPr>
        <a:xfrm>
          <a:off x="3981450" y="142876"/>
          <a:ext cx="3494411" cy="3076574"/>
        </a:xfrm>
        <a:prstGeom prst="roundRect">
          <a:avLst>
            <a:gd name="adj" fmla="val 8854"/>
          </a:avLst>
        </a:prstGeom>
        <a:solidFill>
          <a:srgbClr val="000000"/>
        </a:solidFill>
        <a:ln w="762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13</xdr:col>
      <xdr:colOff>84292</xdr:colOff>
      <xdr:row>0</xdr:row>
      <xdr:rowOff>143296</xdr:rowOff>
    </xdr:from>
    <xdr:to>
      <xdr:col>19</xdr:col>
      <xdr:colOff>0</xdr:colOff>
      <xdr:row>19</xdr:row>
      <xdr:rowOff>142875</xdr:rowOff>
    </xdr:to>
    <xdr:sp macro="" textlink="">
      <xdr:nvSpPr>
        <xdr:cNvPr id="23" name="light3" hidden="1">
          <a:extLst>
            <a:ext uri="{FF2B5EF4-FFF2-40B4-BE49-F238E27FC236}">
              <a16:creationId xmlns:a16="http://schemas.microsoft.com/office/drawing/2014/main" id="{3AB5FAA6-006A-47B1-8A67-6D0E97730A6A}"/>
            </a:ext>
          </a:extLst>
        </xdr:cNvPr>
        <xdr:cNvSpPr/>
      </xdr:nvSpPr>
      <xdr:spPr>
        <a:xfrm>
          <a:off x="7647142" y="143296"/>
          <a:ext cx="3573308" cy="3076154"/>
        </a:xfrm>
        <a:prstGeom prst="roundRect">
          <a:avLst>
            <a:gd name="adj" fmla="val 8854"/>
          </a:avLst>
        </a:prstGeom>
        <a:solidFill>
          <a:srgbClr val="000000"/>
        </a:solidFill>
        <a:ln w="762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</xdr:col>
      <xdr:colOff>0</xdr:colOff>
      <xdr:row>20</xdr:row>
      <xdr:rowOff>142875</xdr:rowOff>
    </xdr:from>
    <xdr:to>
      <xdr:col>6</xdr:col>
      <xdr:colOff>514350</xdr:colOff>
      <xdr:row>27</xdr:row>
      <xdr:rowOff>142875</xdr:rowOff>
    </xdr:to>
    <xdr:sp macro="" textlink="">
      <xdr:nvSpPr>
        <xdr:cNvPr id="24" name="card1" hidden="1">
          <a:extLst>
            <a:ext uri="{FF2B5EF4-FFF2-40B4-BE49-F238E27FC236}">
              <a16:creationId xmlns:a16="http://schemas.microsoft.com/office/drawing/2014/main" id="{FF475834-FED7-4EF4-A4C6-B7369EFCD237}"/>
            </a:ext>
          </a:extLst>
        </xdr:cNvPr>
        <xdr:cNvSpPr/>
      </xdr:nvSpPr>
      <xdr:spPr>
        <a:xfrm>
          <a:off x="247650" y="3381375"/>
          <a:ext cx="3562350" cy="1133475"/>
        </a:xfrm>
        <a:prstGeom prst="roundRect">
          <a:avLst>
            <a:gd name="adj" fmla="val 25104"/>
          </a:avLst>
        </a:prstGeom>
        <a:solidFill>
          <a:srgbClr val="000000"/>
        </a:solidFill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2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85726</xdr:colOff>
      <xdr:row>20</xdr:row>
      <xdr:rowOff>142875</xdr:rowOff>
    </xdr:from>
    <xdr:to>
      <xdr:col>12</xdr:col>
      <xdr:colOff>531040</xdr:colOff>
      <xdr:row>27</xdr:row>
      <xdr:rowOff>142875</xdr:rowOff>
    </xdr:to>
    <xdr:sp macro="" textlink="">
      <xdr:nvSpPr>
        <xdr:cNvPr id="25" name="card2" hidden="1">
          <a:extLst>
            <a:ext uri="{FF2B5EF4-FFF2-40B4-BE49-F238E27FC236}">
              <a16:creationId xmlns:a16="http://schemas.microsoft.com/office/drawing/2014/main" id="{AD0FB52C-68CF-4AE5-A377-0B05249B79E1}"/>
            </a:ext>
          </a:extLst>
        </xdr:cNvPr>
        <xdr:cNvSpPr/>
      </xdr:nvSpPr>
      <xdr:spPr>
        <a:xfrm>
          <a:off x="3990976" y="3381375"/>
          <a:ext cx="3493314" cy="1133475"/>
        </a:xfrm>
        <a:prstGeom prst="roundRect">
          <a:avLst>
            <a:gd name="adj" fmla="val 25104"/>
          </a:avLst>
        </a:prstGeom>
        <a:solidFill>
          <a:srgbClr val="000000"/>
        </a:solidFill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2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92721</xdr:colOff>
      <xdr:row>20</xdr:row>
      <xdr:rowOff>104775</xdr:rowOff>
    </xdr:from>
    <xdr:to>
      <xdr:col>18</xdr:col>
      <xdr:colOff>606902</xdr:colOff>
      <xdr:row>27</xdr:row>
      <xdr:rowOff>142875</xdr:rowOff>
    </xdr:to>
    <xdr:sp macro="" textlink="">
      <xdr:nvSpPr>
        <xdr:cNvPr id="26" name="card3" hidden="1">
          <a:extLst>
            <a:ext uri="{FF2B5EF4-FFF2-40B4-BE49-F238E27FC236}">
              <a16:creationId xmlns:a16="http://schemas.microsoft.com/office/drawing/2014/main" id="{4D6E6BBF-DAF4-47D8-A732-9917BC9E4EAF}"/>
            </a:ext>
          </a:extLst>
        </xdr:cNvPr>
        <xdr:cNvSpPr/>
      </xdr:nvSpPr>
      <xdr:spPr>
        <a:xfrm>
          <a:off x="7655571" y="3343275"/>
          <a:ext cx="3562181" cy="1171575"/>
        </a:xfrm>
        <a:prstGeom prst="roundRect">
          <a:avLst>
            <a:gd name="adj" fmla="val 25104"/>
          </a:avLst>
        </a:prstGeom>
        <a:solidFill>
          <a:srgbClr val="000000"/>
        </a:solidFill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2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142875</xdr:rowOff>
    </xdr:from>
    <xdr:to>
      <xdr:col>6</xdr:col>
      <xdr:colOff>495300</xdr:colOff>
      <xdr:row>19</xdr:row>
      <xdr:rowOff>144235</xdr:rowOff>
    </xdr:to>
    <xdr:sp macro="" textlink="">
      <xdr:nvSpPr>
        <xdr:cNvPr id="27" name="light1" hidden="1">
          <a:extLst>
            <a:ext uri="{FF2B5EF4-FFF2-40B4-BE49-F238E27FC236}">
              <a16:creationId xmlns:a16="http://schemas.microsoft.com/office/drawing/2014/main" id="{E84F7725-320E-4F7B-A627-353E46CD76B2}"/>
            </a:ext>
          </a:extLst>
        </xdr:cNvPr>
        <xdr:cNvSpPr/>
      </xdr:nvSpPr>
      <xdr:spPr>
        <a:xfrm>
          <a:off x="247650" y="142875"/>
          <a:ext cx="3543300" cy="3077935"/>
        </a:xfrm>
        <a:prstGeom prst="roundRect">
          <a:avLst>
            <a:gd name="adj" fmla="val 8854"/>
          </a:avLst>
        </a:prstGeom>
        <a:solidFill>
          <a:srgbClr val="000000"/>
        </a:solidFill>
        <a:ln w="762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15</xdr:col>
      <xdr:colOff>0</xdr:colOff>
      <xdr:row>42</xdr:row>
      <xdr:rowOff>0</xdr:rowOff>
    </xdr:from>
    <xdr:to>
      <xdr:col>15</xdr:col>
      <xdr:colOff>571500</xdr:colOff>
      <xdr:row>50</xdr:row>
      <xdr:rowOff>28575</xdr:rowOff>
    </xdr:to>
    <xdr:sp macro="" textlink="">
      <xdr:nvSpPr>
        <xdr:cNvPr id="56" name="referee1">
          <a:extLst>
            <a:ext uri="{FF2B5EF4-FFF2-40B4-BE49-F238E27FC236}">
              <a16:creationId xmlns:a16="http://schemas.microsoft.com/office/drawing/2014/main" id="{C0425D9E-9DF9-4EC7-B40B-F160236014E8}"/>
            </a:ext>
          </a:extLst>
        </xdr:cNvPr>
        <xdr:cNvSpPr/>
      </xdr:nvSpPr>
      <xdr:spPr>
        <a:xfrm>
          <a:off x="8782050" y="8191500"/>
          <a:ext cx="571500" cy="13239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15</xdr:col>
      <xdr:colOff>171450</xdr:colOff>
      <xdr:row>42</xdr:row>
      <xdr:rowOff>57150</xdr:rowOff>
    </xdr:from>
    <xdr:to>
      <xdr:col>15</xdr:col>
      <xdr:colOff>415925</xdr:colOff>
      <xdr:row>43</xdr:row>
      <xdr:rowOff>142875</xdr:rowOff>
    </xdr:to>
    <xdr:sp macro="[0]!white1" textlink="">
      <xdr:nvSpPr>
        <xdr:cNvPr id="57" name="white1button">
          <a:extLst>
            <a:ext uri="{FF2B5EF4-FFF2-40B4-BE49-F238E27FC236}">
              <a16:creationId xmlns:a16="http://schemas.microsoft.com/office/drawing/2014/main" id="{A0A2CC69-03D3-4D90-B4E6-034AD2D58E76}"/>
            </a:ext>
          </a:extLst>
        </xdr:cNvPr>
        <xdr:cNvSpPr/>
      </xdr:nvSpPr>
      <xdr:spPr>
        <a:xfrm>
          <a:off x="8953500" y="8248650"/>
          <a:ext cx="244475" cy="24765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Q</a:t>
          </a:r>
        </a:p>
      </xdr:txBody>
    </xdr:sp>
    <xdr:clientData/>
  </xdr:twoCellAnchor>
  <xdr:twoCellAnchor>
    <xdr:from>
      <xdr:col>15</xdr:col>
      <xdr:colOff>171450</xdr:colOff>
      <xdr:row>48</xdr:row>
      <xdr:rowOff>28575</xdr:rowOff>
    </xdr:from>
    <xdr:to>
      <xdr:col>15</xdr:col>
      <xdr:colOff>415925</xdr:colOff>
      <xdr:row>49</xdr:row>
      <xdr:rowOff>114300</xdr:rowOff>
    </xdr:to>
    <xdr:sp macro="[0]!yellow1" textlink="">
      <xdr:nvSpPr>
        <xdr:cNvPr id="58" name="yellow1button">
          <a:extLst>
            <a:ext uri="{FF2B5EF4-FFF2-40B4-BE49-F238E27FC236}">
              <a16:creationId xmlns:a16="http://schemas.microsoft.com/office/drawing/2014/main" id="{291E89F5-DC79-4EC7-B8C4-04019BEBF442}"/>
            </a:ext>
          </a:extLst>
        </xdr:cNvPr>
        <xdr:cNvSpPr/>
      </xdr:nvSpPr>
      <xdr:spPr>
        <a:xfrm>
          <a:off x="8953500" y="9191625"/>
          <a:ext cx="244475" cy="247650"/>
        </a:xfrm>
        <a:prstGeom prst="ellipse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</a:t>
          </a:r>
        </a:p>
      </xdr:txBody>
    </xdr:sp>
    <xdr:clientData/>
  </xdr:twoCellAnchor>
  <xdr:twoCellAnchor>
    <xdr:from>
      <xdr:col>15</xdr:col>
      <xdr:colOff>171450</xdr:colOff>
      <xdr:row>46</xdr:row>
      <xdr:rowOff>38100</xdr:rowOff>
    </xdr:from>
    <xdr:to>
      <xdr:col>15</xdr:col>
      <xdr:colOff>415925</xdr:colOff>
      <xdr:row>47</xdr:row>
      <xdr:rowOff>123825</xdr:rowOff>
    </xdr:to>
    <xdr:sp macro="[0]!blue1" textlink="">
      <xdr:nvSpPr>
        <xdr:cNvPr id="59" name="blue1button">
          <a:extLst>
            <a:ext uri="{FF2B5EF4-FFF2-40B4-BE49-F238E27FC236}">
              <a16:creationId xmlns:a16="http://schemas.microsoft.com/office/drawing/2014/main" id="{39A00799-7C9B-4D72-B582-D9224B90196B}"/>
            </a:ext>
          </a:extLst>
        </xdr:cNvPr>
        <xdr:cNvSpPr/>
      </xdr:nvSpPr>
      <xdr:spPr>
        <a:xfrm>
          <a:off x="8953500" y="8877300"/>
          <a:ext cx="244475" cy="247650"/>
        </a:xfrm>
        <a:prstGeom prst="ellipse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E</a:t>
          </a:r>
        </a:p>
      </xdr:txBody>
    </xdr:sp>
    <xdr:clientData/>
  </xdr:twoCellAnchor>
  <xdr:twoCellAnchor>
    <xdr:from>
      <xdr:col>15</xdr:col>
      <xdr:colOff>171450</xdr:colOff>
      <xdr:row>44</xdr:row>
      <xdr:rowOff>47625</xdr:rowOff>
    </xdr:from>
    <xdr:to>
      <xdr:col>15</xdr:col>
      <xdr:colOff>415925</xdr:colOff>
      <xdr:row>45</xdr:row>
      <xdr:rowOff>133350</xdr:rowOff>
    </xdr:to>
    <xdr:sp macro="[0]!rred1" textlink="">
      <xdr:nvSpPr>
        <xdr:cNvPr id="60" name="red1button">
          <a:extLst>
            <a:ext uri="{FF2B5EF4-FFF2-40B4-BE49-F238E27FC236}">
              <a16:creationId xmlns:a16="http://schemas.microsoft.com/office/drawing/2014/main" id="{1FE28A63-AD34-466F-A7F3-AB6516C28090}"/>
            </a:ext>
          </a:extLst>
        </xdr:cNvPr>
        <xdr:cNvSpPr/>
      </xdr:nvSpPr>
      <xdr:spPr>
        <a:xfrm>
          <a:off x="8953500" y="8562975"/>
          <a:ext cx="244475" cy="247650"/>
        </a:xfrm>
        <a:prstGeom prst="ellipse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W</a:t>
          </a:r>
        </a:p>
      </xdr:txBody>
    </xdr:sp>
    <xdr:clientData/>
  </xdr:twoCellAnchor>
  <xdr:twoCellAnchor>
    <xdr:from>
      <xdr:col>16</xdr:col>
      <xdr:colOff>123825</xdr:colOff>
      <xdr:row>42</xdr:row>
      <xdr:rowOff>0</xdr:rowOff>
    </xdr:from>
    <xdr:to>
      <xdr:col>17</xdr:col>
      <xdr:colOff>85725</xdr:colOff>
      <xdr:row>50</xdr:row>
      <xdr:rowOff>28575</xdr:rowOff>
    </xdr:to>
    <xdr:sp macro="" textlink="">
      <xdr:nvSpPr>
        <xdr:cNvPr id="61" name="referee2">
          <a:extLst>
            <a:ext uri="{FF2B5EF4-FFF2-40B4-BE49-F238E27FC236}">
              <a16:creationId xmlns:a16="http://schemas.microsoft.com/office/drawing/2014/main" id="{1BE80898-44F4-4F3E-BB01-427BA8B96E5A}"/>
            </a:ext>
          </a:extLst>
        </xdr:cNvPr>
        <xdr:cNvSpPr/>
      </xdr:nvSpPr>
      <xdr:spPr>
        <a:xfrm>
          <a:off x="9515475" y="8191500"/>
          <a:ext cx="571500" cy="13239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16</xdr:col>
      <xdr:colOff>295275</xdr:colOff>
      <xdr:row>42</xdr:row>
      <xdr:rowOff>57150</xdr:rowOff>
    </xdr:from>
    <xdr:to>
      <xdr:col>16</xdr:col>
      <xdr:colOff>539750</xdr:colOff>
      <xdr:row>43</xdr:row>
      <xdr:rowOff>142875</xdr:rowOff>
    </xdr:to>
    <xdr:sp macro="[0]!white2" textlink="">
      <xdr:nvSpPr>
        <xdr:cNvPr id="62" name="white2button">
          <a:extLst>
            <a:ext uri="{FF2B5EF4-FFF2-40B4-BE49-F238E27FC236}">
              <a16:creationId xmlns:a16="http://schemas.microsoft.com/office/drawing/2014/main" id="{79816331-C302-4503-B3B2-8804BC1960D8}"/>
            </a:ext>
          </a:extLst>
        </xdr:cNvPr>
        <xdr:cNvSpPr/>
      </xdr:nvSpPr>
      <xdr:spPr>
        <a:xfrm>
          <a:off x="9686925" y="8248650"/>
          <a:ext cx="244475" cy="24765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</a:t>
          </a:r>
        </a:p>
      </xdr:txBody>
    </xdr:sp>
    <xdr:clientData/>
  </xdr:twoCellAnchor>
  <xdr:twoCellAnchor>
    <xdr:from>
      <xdr:col>16</xdr:col>
      <xdr:colOff>295275</xdr:colOff>
      <xdr:row>48</xdr:row>
      <xdr:rowOff>28575</xdr:rowOff>
    </xdr:from>
    <xdr:to>
      <xdr:col>16</xdr:col>
      <xdr:colOff>539750</xdr:colOff>
      <xdr:row>49</xdr:row>
      <xdr:rowOff>114300</xdr:rowOff>
    </xdr:to>
    <xdr:sp macro="[0]!yellow2" textlink="">
      <xdr:nvSpPr>
        <xdr:cNvPr id="63" name="yellow2button">
          <a:extLst>
            <a:ext uri="{FF2B5EF4-FFF2-40B4-BE49-F238E27FC236}">
              <a16:creationId xmlns:a16="http://schemas.microsoft.com/office/drawing/2014/main" id="{A76493DA-85EC-4939-8360-A110FA39189D}"/>
            </a:ext>
          </a:extLst>
        </xdr:cNvPr>
        <xdr:cNvSpPr/>
      </xdr:nvSpPr>
      <xdr:spPr>
        <a:xfrm>
          <a:off x="9686925" y="9191625"/>
          <a:ext cx="244475" cy="247650"/>
        </a:xfrm>
        <a:prstGeom prst="ellipse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16</xdr:col>
      <xdr:colOff>295275</xdr:colOff>
      <xdr:row>46</xdr:row>
      <xdr:rowOff>38100</xdr:rowOff>
    </xdr:from>
    <xdr:to>
      <xdr:col>16</xdr:col>
      <xdr:colOff>539750</xdr:colOff>
      <xdr:row>47</xdr:row>
      <xdr:rowOff>123825</xdr:rowOff>
    </xdr:to>
    <xdr:sp macro="[0]!blue2" textlink="">
      <xdr:nvSpPr>
        <xdr:cNvPr id="64" name="blue2button">
          <a:extLst>
            <a:ext uri="{FF2B5EF4-FFF2-40B4-BE49-F238E27FC236}">
              <a16:creationId xmlns:a16="http://schemas.microsoft.com/office/drawing/2014/main" id="{FFC540FC-AE0B-4BB3-BD2D-54BF34A22D24}"/>
            </a:ext>
          </a:extLst>
        </xdr:cNvPr>
        <xdr:cNvSpPr/>
      </xdr:nvSpPr>
      <xdr:spPr>
        <a:xfrm>
          <a:off x="9686925" y="8877300"/>
          <a:ext cx="244475" cy="247650"/>
        </a:xfrm>
        <a:prstGeom prst="ellipse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</a:t>
          </a:r>
        </a:p>
      </xdr:txBody>
    </xdr:sp>
    <xdr:clientData/>
  </xdr:twoCellAnchor>
  <xdr:twoCellAnchor>
    <xdr:from>
      <xdr:col>16</xdr:col>
      <xdr:colOff>295275</xdr:colOff>
      <xdr:row>44</xdr:row>
      <xdr:rowOff>47625</xdr:rowOff>
    </xdr:from>
    <xdr:to>
      <xdr:col>16</xdr:col>
      <xdr:colOff>539750</xdr:colOff>
      <xdr:row>45</xdr:row>
      <xdr:rowOff>133350</xdr:rowOff>
    </xdr:to>
    <xdr:sp macro="[0]!rred2" textlink="">
      <xdr:nvSpPr>
        <xdr:cNvPr id="65" name="red1button">
          <a:extLst>
            <a:ext uri="{FF2B5EF4-FFF2-40B4-BE49-F238E27FC236}">
              <a16:creationId xmlns:a16="http://schemas.microsoft.com/office/drawing/2014/main" id="{B88FBE67-E745-4DE9-839B-A08D666ECC3E}"/>
            </a:ext>
          </a:extLst>
        </xdr:cNvPr>
        <xdr:cNvSpPr/>
      </xdr:nvSpPr>
      <xdr:spPr>
        <a:xfrm>
          <a:off x="9686925" y="8562975"/>
          <a:ext cx="244475" cy="247650"/>
        </a:xfrm>
        <a:prstGeom prst="ellipse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17</xdr:col>
      <xdr:colOff>266700</xdr:colOff>
      <xdr:row>42</xdr:row>
      <xdr:rowOff>9525</xdr:rowOff>
    </xdr:from>
    <xdr:to>
      <xdr:col>18</xdr:col>
      <xdr:colOff>228600</xdr:colOff>
      <xdr:row>50</xdr:row>
      <xdr:rowOff>38100</xdr:rowOff>
    </xdr:to>
    <xdr:sp macro="" textlink="">
      <xdr:nvSpPr>
        <xdr:cNvPr id="66" name="referee3">
          <a:extLst>
            <a:ext uri="{FF2B5EF4-FFF2-40B4-BE49-F238E27FC236}">
              <a16:creationId xmlns:a16="http://schemas.microsoft.com/office/drawing/2014/main" id="{B2E12EED-416E-43E5-A570-08C766E8DF0D}"/>
            </a:ext>
          </a:extLst>
        </xdr:cNvPr>
        <xdr:cNvSpPr/>
      </xdr:nvSpPr>
      <xdr:spPr>
        <a:xfrm>
          <a:off x="10267950" y="8201025"/>
          <a:ext cx="571500" cy="13239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17</xdr:col>
      <xdr:colOff>428625</xdr:colOff>
      <xdr:row>42</xdr:row>
      <xdr:rowOff>66675</xdr:rowOff>
    </xdr:from>
    <xdr:to>
      <xdr:col>18</xdr:col>
      <xdr:colOff>63500</xdr:colOff>
      <xdr:row>43</xdr:row>
      <xdr:rowOff>152400</xdr:rowOff>
    </xdr:to>
    <xdr:sp macro="[0]!white3" textlink="">
      <xdr:nvSpPr>
        <xdr:cNvPr id="67" name="white3button">
          <a:extLst>
            <a:ext uri="{FF2B5EF4-FFF2-40B4-BE49-F238E27FC236}">
              <a16:creationId xmlns:a16="http://schemas.microsoft.com/office/drawing/2014/main" id="{7B85A04C-33BD-4535-BABF-9BEE971E6E1F}"/>
            </a:ext>
          </a:extLst>
        </xdr:cNvPr>
        <xdr:cNvSpPr/>
      </xdr:nvSpPr>
      <xdr:spPr>
        <a:xfrm>
          <a:off x="10429875" y="8258175"/>
          <a:ext cx="244475" cy="24765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Z</a:t>
          </a:r>
        </a:p>
      </xdr:txBody>
    </xdr:sp>
    <xdr:clientData/>
  </xdr:twoCellAnchor>
  <xdr:twoCellAnchor>
    <xdr:from>
      <xdr:col>17</xdr:col>
      <xdr:colOff>428625</xdr:colOff>
      <xdr:row>48</xdr:row>
      <xdr:rowOff>38100</xdr:rowOff>
    </xdr:from>
    <xdr:to>
      <xdr:col>18</xdr:col>
      <xdr:colOff>63500</xdr:colOff>
      <xdr:row>49</xdr:row>
      <xdr:rowOff>123825</xdr:rowOff>
    </xdr:to>
    <xdr:sp macro="[0]!yellow3" textlink="">
      <xdr:nvSpPr>
        <xdr:cNvPr id="68" name="yellow3button">
          <a:extLst>
            <a:ext uri="{FF2B5EF4-FFF2-40B4-BE49-F238E27FC236}">
              <a16:creationId xmlns:a16="http://schemas.microsoft.com/office/drawing/2014/main" id="{0F1F3EFA-80DA-44DA-8BAB-CA74BC688400}"/>
            </a:ext>
          </a:extLst>
        </xdr:cNvPr>
        <xdr:cNvSpPr/>
      </xdr:nvSpPr>
      <xdr:spPr>
        <a:xfrm>
          <a:off x="10429875" y="9201150"/>
          <a:ext cx="244475" cy="247650"/>
        </a:xfrm>
        <a:prstGeom prst="ellipse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</a:t>
          </a:r>
        </a:p>
      </xdr:txBody>
    </xdr:sp>
    <xdr:clientData/>
  </xdr:twoCellAnchor>
  <xdr:twoCellAnchor>
    <xdr:from>
      <xdr:col>17</xdr:col>
      <xdr:colOff>428625</xdr:colOff>
      <xdr:row>46</xdr:row>
      <xdr:rowOff>47625</xdr:rowOff>
    </xdr:from>
    <xdr:to>
      <xdr:col>18</xdr:col>
      <xdr:colOff>63500</xdr:colOff>
      <xdr:row>47</xdr:row>
      <xdr:rowOff>133350</xdr:rowOff>
    </xdr:to>
    <xdr:sp macro="[0]!blue3" textlink="">
      <xdr:nvSpPr>
        <xdr:cNvPr id="69" name="blue3button">
          <a:extLst>
            <a:ext uri="{FF2B5EF4-FFF2-40B4-BE49-F238E27FC236}">
              <a16:creationId xmlns:a16="http://schemas.microsoft.com/office/drawing/2014/main" id="{502A53D9-B745-4589-937E-7222C1FAFB4B}"/>
            </a:ext>
          </a:extLst>
        </xdr:cNvPr>
        <xdr:cNvSpPr/>
      </xdr:nvSpPr>
      <xdr:spPr>
        <a:xfrm>
          <a:off x="10429875" y="8886825"/>
          <a:ext cx="244475" cy="247650"/>
        </a:xfrm>
        <a:prstGeom prst="ellipse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</a:t>
          </a:r>
        </a:p>
      </xdr:txBody>
    </xdr:sp>
    <xdr:clientData/>
  </xdr:twoCellAnchor>
  <xdr:twoCellAnchor>
    <xdr:from>
      <xdr:col>17</xdr:col>
      <xdr:colOff>428625</xdr:colOff>
      <xdr:row>44</xdr:row>
      <xdr:rowOff>57150</xdr:rowOff>
    </xdr:from>
    <xdr:to>
      <xdr:col>18</xdr:col>
      <xdr:colOff>63500</xdr:colOff>
      <xdr:row>45</xdr:row>
      <xdr:rowOff>142875</xdr:rowOff>
    </xdr:to>
    <xdr:sp macro="[0]!rred3" textlink="">
      <xdr:nvSpPr>
        <xdr:cNvPr id="70" name="red3button">
          <a:extLst>
            <a:ext uri="{FF2B5EF4-FFF2-40B4-BE49-F238E27FC236}">
              <a16:creationId xmlns:a16="http://schemas.microsoft.com/office/drawing/2014/main" id="{C5F70669-2E17-4A7C-899A-888794654F60}"/>
            </a:ext>
          </a:extLst>
        </xdr:cNvPr>
        <xdr:cNvSpPr/>
      </xdr:nvSpPr>
      <xdr:spPr>
        <a:xfrm>
          <a:off x="10429875" y="8572500"/>
          <a:ext cx="244475" cy="247650"/>
        </a:xfrm>
        <a:prstGeom prst="ellipse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X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180974</xdr:colOff>
      <xdr:row>0</xdr:row>
      <xdr:rowOff>38100</xdr:rowOff>
    </xdr:from>
    <xdr:to>
      <xdr:col>2</xdr:col>
      <xdr:colOff>295275</xdr:colOff>
      <xdr:row>6</xdr:row>
      <xdr:rowOff>148590</xdr:rowOff>
    </xdr:to>
    <xdr:pic>
      <xdr:nvPicPr>
        <xdr:cNvPr id="5" name="Picture 4" descr="Svenska Styrkelyftförbundets foto.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4" y="38100"/>
          <a:ext cx="1085851" cy="11487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S4/Experi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Weigh-In"/>
      <sheetName val="Lifting"/>
      <sheetName val="Public"/>
      <sheetName val="DATA"/>
      <sheetName val="AttemptBoard"/>
      <sheetName val="QuickPrint"/>
      <sheetName val="QuickPrint-old"/>
      <sheetName val="ContestResults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Z69"/>
  <sheetViews>
    <sheetView workbookViewId="0"/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15" width="9.140625" style="8"/>
    <col min="16" max="18" width="9.140625" style="7"/>
    <col min="19" max="26" width="9.140625" style="7" hidden="1" customWidth="1"/>
    <col min="27" max="16384" width="9.140625" style="7"/>
  </cols>
  <sheetData>
    <row r="1" spans="1:23" x14ac:dyDescent="0.2">
      <c r="A1" s="89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30" t="s">
        <v>269</v>
      </c>
      <c r="C3" s="331"/>
      <c r="D3" s="331"/>
      <c r="E3" s="331"/>
      <c r="F3" s="332"/>
      <c r="H3" s="357" t="s">
        <v>158</v>
      </c>
      <c r="I3" s="358"/>
      <c r="J3" s="359"/>
      <c r="K3" s="365" t="s">
        <v>159</v>
      </c>
      <c r="L3" s="366"/>
      <c r="M3" s="363" t="s">
        <v>172</v>
      </c>
      <c r="O3" s="339" t="s">
        <v>147</v>
      </c>
      <c r="P3" s="340"/>
      <c r="Q3" s="340"/>
      <c r="R3" s="341"/>
      <c r="W3" s="1" t="s">
        <v>62</v>
      </c>
    </row>
    <row r="4" spans="1:23" ht="13.5" customHeight="1" thickBot="1" x14ac:dyDescent="0.25">
      <c r="B4" s="333"/>
      <c r="C4" s="334"/>
      <c r="D4" s="334"/>
      <c r="E4" s="334"/>
      <c r="F4" s="335"/>
      <c r="H4" s="360"/>
      <c r="I4" s="361"/>
      <c r="J4" s="362"/>
      <c r="K4" s="367"/>
      <c r="L4" s="368"/>
      <c r="M4" s="364"/>
      <c r="O4" s="342"/>
      <c r="P4" s="343"/>
      <c r="Q4" s="343"/>
      <c r="R4" s="344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148</v>
      </c>
      <c r="P5" s="345" t="s">
        <v>149</v>
      </c>
      <c r="Q5" s="345"/>
      <c r="R5" s="346"/>
      <c r="W5" s="1" t="s">
        <v>64</v>
      </c>
    </row>
    <row r="6" spans="1:23" ht="13.5" customHeight="1" thickBot="1" x14ac:dyDescent="0.25">
      <c r="H6" s="9"/>
      <c r="I6" s="6">
        <f ca="1">ABS(Lifting!C2)</f>
        <v>75</v>
      </c>
      <c r="J6" s="10">
        <f ca="1">2*(J9*I9+J10*I10+J11*I11+J12*I12+J13*I13+J14*I14+J15*I15+J16*I16+J17*I17+J18*I18+J19*I19)+55</f>
        <v>55</v>
      </c>
      <c r="K6" s="9"/>
      <c r="L6" s="6">
        <f ca="1">I6</f>
        <v>75</v>
      </c>
      <c r="M6" s="10">
        <f ca="1">2*(M9*L9+M10*L10+M11*L11+M12*L12+M13*L13+M14*L14+M15*L15+M16*L16+M17*L17+M18*L18+M19*L19)+25</f>
        <v>75</v>
      </c>
      <c r="O6" s="11" t="s">
        <v>200</v>
      </c>
      <c r="P6" s="324" t="s">
        <v>213</v>
      </c>
      <c r="Q6" s="325"/>
      <c r="R6" s="326"/>
      <c r="W6" s="1" t="s">
        <v>65</v>
      </c>
    </row>
    <row r="7" spans="1:23" x14ac:dyDescent="0.2">
      <c r="B7" s="330" t="s">
        <v>61</v>
      </c>
      <c r="C7" s="331"/>
      <c r="D7" s="331"/>
      <c r="E7" s="331"/>
      <c r="F7" s="332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201</v>
      </c>
      <c r="P7" s="321" t="s">
        <v>204</v>
      </c>
      <c r="Q7" s="322"/>
      <c r="R7" s="323"/>
      <c r="W7" s="1"/>
    </row>
    <row r="8" spans="1:23" ht="13.5" thickBot="1" x14ac:dyDescent="0.25">
      <c r="B8" s="333"/>
      <c r="C8" s="334"/>
      <c r="D8" s="334"/>
      <c r="E8" s="334"/>
      <c r="F8" s="335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3" t="s">
        <v>119</v>
      </c>
      <c r="P8" s="321" t="s">
        <v>214</v>
      </c>
      <c r="Q8" s="322"/>
      <c r="R8" s="323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3" t="s">
        <v>202</v>
      </c>
      <c r="P9" s="321" t="s">
        <v>205</v>
      </c>
      <c r="Q9" s="322"/>
      <c r="R9" s="323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3" t="s">
        <v>183</v>
      </c>
      <c r="P10" s="321" t="s">
        <v>184</v>
      </c>
      <c r="Q10" s="322"/>
      <c r="R10" s="323"/>
    </row>
    <row r="11" spans="1:23" x14ac:dyDescent="0.2">
      <c r="B11" s="14" t="s">
        <v>73</v>
      </c>
      <c r="C11" s="336" t="s">
        <v>74</v>
      </c>
      <c r="D11" s="337"/>
      <c r="E11" s="338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1</v>
      </c>
      <c r="O11" s="83" t="s">
        <v>203</v>
      </c>
      <c r="P11" s="321" t="s">
        <v>206</v>
      </c>
      <c r="Q11" s="322"/>
      <c r="R11" s="323"/>
    </row>
    <row r="12" spans="1:23" x14ac:dyDescent="0.2">
      <c r="B12" s="61" t="s">
        <v>211</v>
      </c>
      <c r="C12" s="327" t="s">
        <v>75</v>
      </c>
      <c r="D12" s="328"/>
      <c r="E12" s="329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0</v>
      </c>
      <c r="O12" s="83" t="s">
        <v>207</v>
      </c>
      <c r="P12" s="321" t="s">
        <v>208</v>
      </c>
      <c r="Q12" s="322"/>
      <c r="R12" s="323"/>
    </row>
    <row r="13" spans="1:23" x14ac:dyDescent="0.2">
      <c r="B13" s="61" t="s">
        <v>212</v>
      </c>
      <c r="C13" s="327" t="s">
        <v>141</v>
      </c>
      <c r="D13" s="328"/>
      <c r="E13" s="329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275" t="s">
        <v>241</v>
      </c>
      <c r="P13" s="355" t="s">
        <v>242</v>
      </c>
      <c r="Q13" s="355"/>
      <c r="R13" s="356"/>
    </row>
    <row r="14" spans="1:23" x14ac:dyDescent="0.2">
      <c r="B14" s="61" t="s">
        <v>209</v>
      </c>
      <c r="C14" s="327" t="s">
        <v>210</v>
      </c>
      <c r="D14" s="328"/>
      <c r="E14" s="329"/>
      <c r="F14" s="62">
        <v>2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3" t="s">
        <v>243</v>
      </c>
      <c r="P14" s="321" t="s">
        <v>244</v>
      </c>
      <c r="Q14" s="322"/>
      <c r="R14" s="323"/>
    </row>
    <row r="15" spans="1:23" x14ac:dyDescent="0.2">
      <c r="B15" s="61" t="s">
        <v>249</v>
      </c>
      <c r="C15" s="327" t="s">
        <v>250</v>
      </c>
      <c r="D15" s="328"/>
      <c r="E15" s="329"/>
      <c r="F15" s="62">
        <v>2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3" t="s">
        <v>245</v>
      </c>
      <c r="P15" s="321" t="s">
        <v>246</v>
      </c>
      <c r="Q15" s="322"/>
      <c r="R15" s="323"/>
    </row>
    <row r="16" spans="1:23" x14ac:dyDescent="0.2">
      <c r="B16" s="61"/>
      <c r="C16" s="327"/>
      <c r="D16" s="328"/>
      <c r="E16" s="329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0</v>
      </c>
      <c r="O16" s="83" t="s">
        <v>251</v>
      </c>
      <c r="P16" s="321" t="s">
        <v>252</v>
      </c>
      <c r="Q16" s="322"/>
      <c r="R16" s="323"/>
    </row>
    <row r="17" spans="2:19" x14ac:dyDescent="0.2">
      <c r="B17" s="61"/>
      <c r="C17" s="327"/>
      <c r="D17" s="328"/>
      <c r="E17" s="329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3" t="s">
        <v>267</v>
      </c>
      <c r="P17" s="321" t="s">
        <v>270</v>
      </c>
      <c r="Q17" s="322"/>
      <c r="R17" s="323"/>
    </row>
    <row r="18" spans="2:19" x14ac:dyDescent="0.2">
      <c r="B18" s="61"/>
      <c r="C18" s="327"/>
      <c r="D18" s="328"/>
      <c r="E18" s="329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3"/>
      <c r="P18" s="321"/>
      <c r="Q18" s="322"/>
      <c r="R18" s="323"/>
    </row>
    <row r="19" spans="2:19" x14ac:dyDescent="0.2">
      <c r="B19" s="61"/>
      <c r="C19" s="327"/>
      <c r="D19" s="328"/>
      <c r="E19" s="329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3"/>
      <c r="P19" s="321"/>
      <c r="Q19" s="322"/>
      <c r="R19" s="323"/>
    </row>
    <row r="20" spans="2:19" x14ac:dyDescent="0.2">
      <c r="B20" s="61"/>
      <c r="C20" s="327"/>
      <c r="D20" s="328"/>
      <c r="E20" s="329"/>
      <c r="F20" s="62"/>
      <c r="H20" s="369" t="s">
        <v>171</v>
      </c>
      <c r="I20" s="370"/>
      <c r="J20" s="84">
        <v>55</v>
      </c>
      <c r="K20" s="383" t="s">
        <v>171</v>
      </c>
      <c r="L20" s="384"/>
      <c r="M20" s="85">
        <v>25</v>
      </c>
      <c r="O20" s="11"/>
      <c r="P20" s="324"/>
      <c r="Q20" s="325"/>
      <c r="R20" s="326"/>
    </row>
    <row r="21" spans="2:19" x14ac:dyDescent="0.2">
      <c r="B21" s="61"/>
      <c r="C21" s="327"/>
      <c r="D21" s="328"/>
      <c r="E21" s="329"/>
      <c r="F21" s="62"/>
      <c r="H21" s="347">
        <f>H9*I9+H10*I10+H11*I11+H12*I12+H13*I13+H14*I14+H15*I15+H16*I16+H17*I17+H18*I18+H19*I19+55</f>
        <v>1080</v>
      </c>
      <c r="I21" s="351" t="s">
        <v>76</v>
      </c>
      <c r="J21" s="352"/>
      <c r="K21" s="349">
        <f>K9*L9+K10*L10+K11*L11+K12*L12+K13*L13+K14*L14+K15*L15+K16*L16+K17*L17+K18*L18+K19*L19+25</f>
        <v>485</v>
      </c>
      <c r="L21" s="351" t="s">
        <v>77</v>
      </c>
      <c r="M21" s="352"/>
      <c r="O21" s="11"/>
      <c r="P21" s="324"/>
      <c r="Q21" s="325"/>
      <c r="R21" s="326"/>
    </row>
    <row r="22" spans="2:19" ht="13.5" thickBot="1" x14ac:dyDescent="0.25">
      <c r="B22" s="61"/>
      <c r="C22" s="327"/>
      <c r="D22" s="328"/>
      <c r="E22" s="329"/>
      <c r="F22" s="62"/>
      <c r="H22" s="348"/>
      <c r="I22" s="353"/>
      <c r="J22" s="354"/>
      <c r="K22" s="350"/>
      <c r="L22" s="353"/>
      <c r="M22" s="354"/>
      <c r="O22" s="11"/>
      <c r="P22" s="324"/>
      <c r="Q22" s="325"/>
      <c r="R22" s="326"/>
    </row>
    <row r="23" spans="2:19" ht="13.5" thickBot="1" x14ac:dyDescent="0.25">
      <c r="B23" s="61"/>
      <c r="C23" s="327"/>
      <c r="D23" s="328"/>
      <c r="E23" s="329"/>
      <c r="F23" s="62"/>
      <c r="K23" s="8"/>
      <c r="O23" s="11"/>
      <c r="P23" s="324"/>
      <c r="Q23" s="325"/>
      <c r="R23" s="326"/>
    </row>
    <row r="24" spans="2:19" x14ac:dyDescent="0.2">
      <c r="B24" s="61"/>
      <c r="C24" s="327"/>
      <c r="D24" s="328"/>
      <c r="E24" s="329"/>
      <c r="F24" s="62"/>
      <c r="K24" s="371" t="s">
        <v>78</v>
      </c>
      <c r="L24" s="372"/>
      <c r="M24" s="373"/>
      <c r="O24" s="11"/>
      <c r="P24" s="324"/>
      <c r="Q24" s="325"/>
      <c r="R24" s="326"/>
    </row>
    <row r="25" spans="2:19" ht="13.5" thickBot="1" x14ac:dyDescent="0.25">
      <c r="B25" s="61"/>
      <c r="C25" s="327"/>
      <c r="D25" s="328"/>
      <c r="E25" s="329"/>
      <c r="F25" s="62"/>
      <c r="I25" s="82"/>
      <c r="J25" s="82"/>
      <c r="K25" s="374"/>
      <c r="L25" s="375"/>
      <c r="M25" s="376"/>
      <c r="N25" s="18"/>
      <c r="O25" s="11"/>
      <c r="P25" s="324"/>
      <c r="Q25" s="325"/>
      <c r="R25" s="326"/>
      <c r="S25" s="18"/>
    </row>
    <row r="26" spans="2:19" x14ac:dyDescent="0.2">
      <c r="B26" s="61"/>
      <c r="C26" s="327"/>
      <c r="D26" s="328"/>
      <c r="E26" s="329"/>
      <c r="F26" s="62"/>
      <c r="G26" s="18"/>
      <c r="H26" s="82"/>
      <c r="I26" s="82"/>
      <c r="J26" s="82"/>
      <c r="K26" s="377" t="s">
        <v>182</v>
      </c>
      <c r="L26" s="378"/>
      <c r="M26" s="379"/>
      <c r="N26" s="18"/>
      <c r="O26" s="11"/>
      <c r="P26" s="324"/>
      <c r="Q26" s="325"/>
      <c r="R26" s="326"/>
      <c r="S26" s="18"/>
    </row>
    <row r="27" spans="2:19" ht="12.75" customHeight="1" thickBot="1" x14ac:dyDescent="0.25">
      <c r="B27" s="61"/>
      <c r="C27" s="327"/>
      <c r="D27" s="328"/>
      <c r="E27" s="329"/>
      <c r="F27" s="62"/>
      <c r="G27" s="19"/>
      <c r="I27" s="82"/>
      <c r="J27" s="82"/>
      <c r="K27" s="380"/>
      <c r="L27" s="381"/>
      <c r="M27" s="382"/>
      <c r="N27" s="18"/>
      <c r="O27" s="11"/>
      <c r="P27" s="324"/>
      <c r="Q27" s="325"/>
      <c r="R27" s="326"/>
      <c r="S27" s="18"/>
    </row>
    <row r="28" spans="2:19" ht="12.75" customHeight="1" x14ac:dyDescent="0.2">
      <c r="B28" s="61"/>
      <c r="C28" s="327"/>
      <c r="D28" s="328"/>
      <c r="E28" s="329"/>
      <c r="F28" s="62"/>
      <c r="G28" s="19"/>
      <c r="H28" s="82"/>
      <c r="I28" s="82"/>
      <c r="J28" s="82"/>
      <c r="N28" s="18"/>
      <c r="O28" s="11"/>
      <c r="P28" s="324"/>
      <c r="Q28" s="325"/>
      <c r="R28" s="326"/>
      <c r="S28" s="18"/>
    </row>
    <row r="29" spans="2:19" ht="13.5" customHeight="1" thickBot="1" x14ac:dyDescent="0.25">
      <c r="B29" s="61"/>
      <c r="C29" s="327"/>
      <c r="D29" s="328"/>
      <c r="E29" s="329"/>
      <c r="F29" s="62"/>
      <c r="G29" s="19"/>
      <c r="N29" s="18"/>
      <c r="O29" s="20"/>
      <c r="P29" s="385"/>
      <c r="Q29" s="386"/>
      <c r="R29" s="387"/>
      <c r="S29" s="18"/>
    </row>
    <row r="30" spans="2:19" x14ac:dyDescent="0.2">
      <c r="B30" s="61"/>
      <c r="C30" s="327"/>
      <c r="D30" s="328"/>
      <c r="E30" s="329"/>
      <c r="F30" s="62"/>
      <c r="K30" s="8"/>
    </row>
    <row r="31" spans="2:19" x14ac:dyDescent="0.2">
      <c r="B31" s="61"/>
      <c r="C31" s="327"/>
      <c r="D31" s="328"/>
      <c r="E31" s="329"/>
      <c r="F31" s="62"/>
      <c r="I31" s="82"/>
      <c r="J31" s="82"/>
      <c r="K31" s="8"/>
    </row>
    <row r="32" spans="2:19" x14ac:dyDescent="0.2">
      <c r="B32" s="61"/>
      <c r="C32" s="327"/>
      <c r="D32" s="328"/>
      <c r="E32" s="329"/>
      <c r="F32" s="62"/>
      <c r="H32" s="82"/>
      <c r="I32" s="82"/>
      <c r="J32" s="82"/>
      <c r="K32" s="8"/>
    </row>
    <row r="33" spans="2:11" x14ac:dyDescent="0.2">
      <c r="B33" s="61"/>
      <c r="C33" s="327"/>
      <c r="D33" s="328"/>
      <c r="E33" s="329"/>
      <c r="F33" s="62"/>
      <c r="K33" s="8"/>
    </row>
    <row r="34" spans="2:11" x14ac:dyDescent="0.2">
      <c r="B34" s="61"/>
      <c r="C34" s="327"/>
      <c r="D34" s="328"/>
      <c r="E34" s="329"/>
      <c r="F34" s="62"/>
    </row>
    <row r="35" spans="2:11" x14ac:dyDescent="0.2">
      <c r="B35" s="61"/>
      <c r="C35" s="327"/>
      <c r="D35" s="328"/>
      <c r="E35" s="329"/>
      <c r="F35" s="62"/>
    </row>
    <row r="36" spans="2:11" x14ac:dyDescent="0.2">
      <c r="B36" s="61"/>
      <c r="C36" s="327"/>
      <c r="D36" s="328"/>
      <c r="E36" s="329"/>
      <c r="F36" s="62"/>
      <c r="K36" s="8"/>
    </row>
    <row r="37" spans="2:11" x14ac:dyDescent="0.2">
      <c r="B37" s="61"/>
      <c r="C37" s="327"/>
      <c r="D37" s="328"/>
      <c r="E37" s="329"/>
      <c r="F37" s="62"/>
    </row>
    <row r="38" spans="2:11" x14ac:dyDescent="0.2">
      <c r="B38" s="61"/>
      <c r="C38" s="327"/>
      <c r="D38" s="328"/>
      <c r="E38" s="329"/>
      <c r="F38" s="62"/>
    </row>
    <row r="39" spans="2:11" x14ac:dyDescent="0.2">
      <c r="B39" s="61"/>
      <c r="C39" s="327"/>
      <c r="D39" s="328"/>
      <c r="E39" s="329"/>
      <c r="F39" s="62"/>
    </row>
    <row r="40" spans="2:11" x14ac:dyDescent="0.2">
      <c r="B40" s="61"/>
      <c r="C40" s="327"/>
      <c r="D40" s="328"/>
      <c r="E40" s="329"/>
      <c r="F40" s="62"/>
    </row>
    <row r="41" spans="2:11" x14ac:dyDescent="0.2">
      <c r="B41" s="61"/>
      <c r="C41" s="327"/>
      <c r="D41" s="328"/>
      <c r="E41" s="329"/>
      <c r="F41" s="62"/>
    </row>
    <row r="42" spans="2:11" x14ac:dyDescent="0.2">
      <c r="B42" s="61"/>
      <c r="C42" s="327"/>
      <c r="D42" s="328"/>
      <c r="E42" s="329"/>
      <c r="F42" s="62"/>
    </row>
    <row r="43" spans="2:11" x14ac:dyDescent="0.2">
      <c r="B43" s="61"/>
      <c r="C43" s="327"/>
      <c r="D43" s="328"/>
      <c r="E43" s="329"/>
      <c r="F43" s="62"/>
    </row>
    <row r="44" spans="2:11" x14ac:dyDescent="0.2">
      <c r="B44" s="61"/>
      <c r="C44" s="327"/>
      <c r="D44" s="328"/>
      <c r="E44" s="329"/>
      <c r="F44" s="62"/>
    </row>
    <row r="45" spans="2:11" x14ac:dyDescent="0.2">
      <c r="B45" s="61"/>
      <c r="C45" s="327"/>
      <c r="D45" s="328"/>
      <c r="E45" s="329"/>
      <c r="F45" s="62"/>
    </row>
    <row r="46" spans="2:11" x14ac:dyDescent="0.2">
      <c r="B46" s="61"/>
      <c r="C46" s="327"/>
      <c r="D46" s="328"/>
      <c r="E46" s="329"/>
      <c r="F46" s="62"/>
    </row>
    <row r="47" spans="2:11" x14ac:dyDescent="0.2">
      <c r="B47" s="61"/>
      <c r="C47" s="327"/>
      <c r="D47" s="328"/>
      <c r="E47" s="329"/>
      <c r="F47" s="62"/>
    </row>
    <row r="48" spans="2:11" x14ac:dyDescent="0.2">
      <c r="B48" s="61"/>
      <c r="C48" s="327"/>
      <c r="D48" s="328"/>
      <c r="E48" s="329"/>
      <c r="F48" s="62"/>
    </row>
    <row r="49" spans="2:6" x14ac:dyDescent="0.2">
      <c r="B49" s="61"/>
      <c r="C49" s="327"/>
      <c r="D49" s="328"/>
      <c r="E49" s="329"/>
      <c r="F49" s="62"/>
    </row>
    <row r="50" spans="2:6" x14ac:dyDescent="0.2">
      <c r="B50" s="61"/>
      <c r="C50" s="327"/>
      <c r="D50" s="328"/>
      <c r="E50" s="329"/>
      <c r="F50" s="62"/>
    </row>
    <row r="51" spans="2:6" x14ac:dyDescent="0.2">
      <c r="B51" s="61"/>
      <c r="C51" s="327"/>
      <c r="D51" s="328"/>
      <c r="E51" s="329"/>
      <c r="F51" s="62"/>
    </row>
    <row r="52" spans="2:6" x14ac:dyDescent="0.2">
      <c r="B52" s="61"/>
      <c r="C52" s="327"/>
      <c r="D52" s="328"/>
      <c r="E52" s="329"/>
      <c r="F52" s="62"/>
    </row>
    <row r="53" spans="2:6" x14ac:dyDescent="0.2">
      <c r="B53" s="61"/>
      <c r="C53" s="327"/>
      <c r="D53" s="328"/>
      <c r="E53" s="329"/>
      <c r="F53" s="62"/>
    </row>
    <row r="54" spans="2:6" x14ac:dyDescent="0.2">
      <c r="B54" s="61"/>
      <c r="C54" s="327"/>
      <c r="D54" s="328"/>
      <c r="E54" s="329"/>
      <c r="F54" s="62"/>
    </row>
    <row r="55" spans="2:6" x14ac:dyDescent="0.2">
      <c r="B55" s="61"/>
      <c r="C55" s="327"/>
      <c r="D55" s="328"/>
      <c r="E55" s="329"/>
      <c r="F55" s="62"/>
    </row>
    <row r="56" spans="2:6" x14ac:dyDescent="0.2">
      <c r="B56" s="61"/>
      <c r="C56" s="327"/>
      <c r="D56" s="328"/>
      <c r="E56" s="329"/>
      <c r="F56" s="62"/>
    </row>
    <row r="57" spans="2:6" x14ac:dyDescent="0.2">
      <c r="B57" s="61"/>
      <c r="C57" s="327"/>
      <c r="D57" s="328"/>
      <c r="E57" s="329"/>
      <c r="F57" s="62"/>
    </row>
    <row r="58" spans="2:6" x14ac:dyDescent="0.2">
      <c r="B58" s="61"/>
      <c r="C58" s="327"/>
      <c r="D58" s="328"/>
      <c r="E58" s="329"/>
      <c r="F58" s="62"/>
    </row>
    <row r="59" spans="2:6" x14ac:dyDescent="0.2">
      <c r="B59" s="61"/>
      <c r="C59" s="327"/>
      <c r="D59" s="328"/>
      <c r="E59" s="329"/>
      <c r="F59" s="62"/>
    </row>
    <row r="60" spans="2:6" x14ac:dyDescent="0.2">
      <c r="B60" s="61"/>
      <c r="C60" s="327"/>
      <c r="D60" s="328"/>
      <c r="E60" s="329"/>
      <c r="F60" s="62"/>
    </row>
    <row r="61" spans="2:6" x14ac:dyDescent="0.2">
      <c r="B61" s="61"/>
      <c r="C61" s="327"/>
      <c r="D61" s="328"/>
      <c r="E61" s="329"/>
      <c r="F61" s="62"/>
    </row>
    <row r="62" spans="2:6" x14ac:dyDescent="0.2">
      <c r="B62" s="61"/>
      <c r="C62" s="327"/>
      <c r="D62" s="328"/>
      <c r="E62" s="329"/>
      <c r="F62" s="62"/>
    </row>
    <row r="63" spans="2:6" x14ac:dyDescent="0.2">
      <c r="B63" s="61"/>
      <c r="C63" s="327"/>
      <c r="D63" s="328"/>
      <c r="E63" s="329"/>
      <c r="F63" s="62"/>
    </row>
    <row r="64" spans="2:6" x14ac:dyDescent="0.2">
      <c r="B64" s="61"/>
      <c r="C64" s="327"/>
      <c r="D64" s="328"/>
      <c r="E64" s="329"/>
      <c r="F64" s="62"/>
    </row>
    <row r="65" spans="2:6" x14ac:dyDescent="0.2">
      <c r="B65" s="61"/>
      <c r="C65" s="327"/>
      <c r="D65" s="328"/>
      <c r="E65" s="329"/>
      <c r="F65" s="62"/>
    </row>
    <row r="66" spans="2:6" x14ac:dyDescent="0.2">
      <c r="B66" s="61"/>
      <c r="C66" s="327"/>
      <c r="D66" s="328"/>
      <c r="E66" s="329"/>
      <c r="F66" s="62"/>
    </row>
    <row r="67" spans="2:6" x14ac:dyDescent="0.2">
      <c r="B67" s="61"/>
      <c r="C67" s="327"/>
      <c r="D67" s="328"/>
      <c r="E67" s="329"/>
      <c r="F67" s="62"/>
    </row>
    <row r="68" spans="2:6" x14ac:dyDescent="0.2">
      <c r="B68" s="61"/>
      <c r="C68" s="327"/>
      <c r="D68" s="328"/>
      <c r="E68" s="329"/>
      <c r="F68" s="62"/>
    </row>
    <row r="69" spans="2:6" x14ac:dyDescent="0.2">
      <c r="B69" s="61"/>
      <c r="C69" s="327"/>
      <c r="D69" s="328"/>
      <c r="E69" s="329"/>
      <c r="F69" s="62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K24:M25"/>
    <mergeCell ref="K26:M27"/>
    <mergeCell ref="K20:L20"/>
    <mergeCell ref="P29:R29"/>
    <mergeCell ref="P24:R24"/>
    <mergeCell ref="P25:R25"/>
    <mergeCell ref="P26:R26"/>
    <mergeCell ref="P27:R27"/>
    <mergeCell ref="P28:R28"/>
    <mergeCell ref="P22:R22"/>
    <mergeCell ref="P23:R23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  <mergeCell ref="P8:R8"/>
    <mergeCell ref="P9:R9"/>
    <mergeCell ref="P10:R10"/>
    <mergeCell ref="P11:R11"/>
    <mergeCell ref="P14:R14"/>
    <mergeCell ref="P15:R15"/>
    <mergeCell ref="P18:R18"/>
    <mergeCell ref="P19:R19"/>
    <mergeCell ref="P20:R20"/>
    <mergeCell ref="P21:R21"/>
  </mergeCells>
  <phoneticPr fontId="0" type="noConversion"/>
  <conditionalFormatting sqref="K26 M27:M28 L28">
    <cfRule type="cellIs" dxfId="126" priority="7" stopIfTrue="1" operator="equal">
      <formula>"Color"</formula>
    </cfRule>
  </conditionalFormatting>
  <conditionalFormatting sqref="H5:J19 H21:J22">
    <cfRule type="expression" dxfId="125" priority="3" stopIfTrue="1">
      <formula>AND($M$3="Kg")</formula>
    </cfRule>
  </conditionalFormatting>
  <conditionalFormatting sqref="K5:M19 K21:M22 K20">
    <cfRule type="expression" dxfId="124" priority="4" stopIfTrue="1">
      <formula>AND($M$3="Lb")</formula>
    </cfRule>
  </conditionalFormatting>
  <conditionalFormatting sqref="H20:J20">
    <cfRule type="expression" dxfId="123" priority="2" stopIfTrue="1">
      <formula>AND($M$3="Kg")</formula>
    </cfRule>
  </conditionalFormatting>
  <conditionalFormatting sqref="M20">
    <cfRule type="expression" dxfId="122" priority="1" stopIfTrue="1">
      <formula>AND($M$3="Lb")</formula>
    </cfRule>
  </conditionalFormatting>
  <dataValidations count="10">
    <dataValidation type="list" allowBlank="1" showInputMessage="1" showErrorMessage="1" sqref="K26 L28 M27:M28" xr:uid="{00000000-0002-0000-0000-000000000000}">
      <formula1>"Color, Black &amp; White"</formula1>
    </dataValidation>
    <dataValidation type="list" allowBlank="1" showInputMessage="1" showErrorMessage="1" sqref="H9:H19 K9:K19" xr:uid="{00000000-0002-0000-0000-000001000000}">
      <formula1>"0,2,4,6,8,10,12,14,16,18,20"</formula1>
    </dataValidation>
    <dataValidation type="list" allowBlank="1" showInputMessage="1" showErrorMessage="1" promptTitle="Type of meet" prompt="Select one from the dropdown menu" sqref="B7:F8" xr:uid="{00000000-0002-0000-0000-000002000000}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 xr:uid="{00000000-0002-0000-0000-000003000000}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 xr:uid="{00000000-0002-0000-0000-000004000000}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 xr:uid="{00000000-0002-0000-0000-000005000000}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 xr:uid="{00000000-0002-0000-0000-000006000000}">
      <formula1>"Enable,Disable"</formula1>
    </dataValidation>
    <dataValidation type="list" allowBlank="1" showInputMessage="1" showErrorMessage="1" sqref="M3:M4" xr:uid="{00000000-0002-0000-0000-000007000000}">
      <formula1>"Lb,Kg"</formula1>
    </dataValidation>
    <dataValidation type="list" allowBlank="1" showInputMessage="1" showErrorMessage="1" sqref="J20" xr:uid="{00000000-0002-0000-0000-000008000000}">
      <formula1>"45,50,55,60,65,70"</formula1>
    </dataValidation>
    <dataValidation type="list" allowBlank="1" showInputMessage="1" showErrorMessage="1" sqref="M20" xr:uid="{00000000-0002-0000-0000-000009000000}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44"/>
  <sheetViews>
    <sheetView workbookViewId="0"/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86"/>
      <c r="M1" s="86"/>
      <c r="N1" s="87"/>
      <c r="O1" t="s">
        <v>178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100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173</v>
      </c>
      <c r="B14" t="str">
        <f>'Weigh-In'!E2</f>
        <v>Bwt (kg)</v>
      </c>
      <c r="I14" t="s">
        <v>176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168</v>
      </c>
      <c r="D15" s="79" t="s">
        <v>169</v>
      </c>
      <c r="E15" s="5" t="s">
        <v>168</v>
      </c>
      <c r="F15" s="5" t="s">
        <v>169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164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165</v>
      </c>
      <c r="K16" s="5" t="s">
        <v>174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100</v>
      </c>
      <c r="Q18" s="5">
        <f ca="1">2*(Q21*P21+Q22*P22+Q23*P23+Q24*P24+Q25*P25+Q26*P26+Q27*P27+Q28*P28+Q29*P29+Q30*P30+Q31*P31)+Q36</f>
        <v>100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167</v>
      </c>
      <c r="K20" s="5" t="s">
        <v>175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1</v>
      </c>
      <c r="R23" s="5" t="str">
        <f ca="1">IF(Q23=0,"",IF(Q23&gt;1,CONCATENATE(Q23,"/",P23," "),CONCATENATE(P23," ")))</f>
        <v xml:space="preserve">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165</v>
      </c>
      <c r="F24" s="5" t="s">
        <v>165</v>
      </c>
      <c r="G24" s="5" t="s">
        <v>174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168</v>
      </c>
      <c r="D25" s="5" t="s">
        <v>91</v>
      </c>
      <c r="E25" s="5" t="s">
        <v>168</v>
      </c>
      <c r="F25" s="5" t="s">
        <v>169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166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1</v>
      </c>
      <c r="R26" s="5" t="str">
        <f t="shared" ca="1" si="4"/>
        <v xml:space="preserve">10 </v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20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167</v>
      </c>
      <c r="F33" s="5" t="s">
        <v>167</v>
      </c>
      <c r="G33" s="5" t="s">
        <v>175</v>
      </c>
      <c r="L33" s="5"/>
      <c r="M33" s="5"/>
      <c r="P33" s="5"/>
      <c r="Q33" s="5"/>
      <c r="R33" s="5"/>
    </row>
    <row r="34" spans="1:20" x14ac:dyDescent="0.2">
      <c r="L34" s="5"/>
      <c r="M34" s="5"/>
      <c r="P34" s="5"/>
      <c r="Q34" s="5"/>
      <c r="R34" s="5"/>
    </row>
    <row r="35" spans="1:20" x14ac:dyDescent="0.2">
      <c r="A35" t="s">
        <v>196</v>
      </c>
      <c r="D35" s="5" t="str">
        <f>IF(Lifting!$C$4="Squat 1","Knäböj 1","")</f>
        <v>Knäböj 1</v>
      </c>
      <c r="I35" t="s">
        <v>193</v>
      </c>
      <c r="L35" s="5"/>
      <c r="M35" s="5"/>
      <c r="O35" s="88" t="s">
        <v>179</v>
      </c>
      <c r="P35" s="5"/>
      <c r="Q35" s="5">
        <f>[3]Setup!D32</f>
        <v>55</v>
      </c>
      <c r="R35" s="5"/>
    </row>
    <row r="36" spans="1:20" x14ac:dyDescent="0.2">
      <c r="A36" s="241">
        <f ca="1">INDIRECT(ADDRESS(Lifting!AY5,9,,,"Lifting"))</f>
        <v>31686</v>
      </c>
      <c r="D36" s="5" t="str">
        <f>IF(Lifting!$C$4="Squat 2","Knäböj 2","")</f>
        <v/>
      </c>
      <c r="I36" t="s">
        <v>194</v>
      </c>
      <c r="J36" t="b">
        <f>IF(LEFT(Lifting!C4,5)="Squat",TRUE,FALSE)</f>
        <v>1</v>
      </c>
      <c r="K36">
        <f ca="1">IF(AND(J36,Lifting!$BI$2),INDIRECT(ADDRESS(9,11,,,"Lifting")),IF(AND(J36,NOT(Lifting!$AY$5=Lifting!$BA$6)),INDIRECT(ADDRESS(Lifting!$AY$5+1,11,,,"Lifting")),""))</f>
        <v>5</v>
      </c>
      <c r="L36" s="5"/>
      <c r="M36" s="5"/>
      <c r="O36" s="88" t="s">
        <v>180</v>
      </c>
      <c r="Q36" s="5">
        <f>[3]Setup!G32</f>
        <v>25</v>
      </c>
      <c r="R36" s="5"/>
    </row>
    <row r="37" spans="1:20" x14ac:dyDescent="0.2">
      <c r="A37" t="s">
        <v>197</v>
      </c>
      <c r="D37" s="5" t="str">
        <f>IF(Lifting!$C$4="Squat 3","Knäböj 3","")</f>
        <v/>
      </c>
      <c r="I37" t="s">
        <v>195</v>
      </c>
      <c r="J37" t="b">
        <f>IF(LEFT(Lifting!C4,5)="Bench",TRUE,FALSE)</f>
        <v>0</v>
      </c>
      <c r="K37" t="str">
        <f ca="1">IF(AND(J37,Lifting!$BI$2),INDIRECT(ADDRESS(9,16,,,"Lifting")),IF(AND(J37,NOT(Lifting!$AY$5=Lifting!$BA$6)),INDIRECT(ADDRESS(Lifting!$AY$5+1,16,,,"Lifting")),""))</f>
        <v/>
      </c>
      <c r="L37" s="5"/>
      <c r="M37" s="5"/>
      <c r="P37" s="5"/>
      <c r="Q37" s="5"/>
      <c r="R37" s="5"/>
    </row>
    <row r="38" spans="1:20" x14ac:dyDescent="0.2">
      <c r="A38" s="214" t="str">
        <f ca="1">INDIRECT(ADDRESS(Lifting!AY5,6,,,"Lifting"))</f>
        <v>84+</v>
      </c>
      <c r="B38" t="str">
        <f ca="1">CONCATENATE("Klass ",A38," kg")</f>
        <v>Klass 84+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",R6,R7,R8,R9,R10,R11,R12,R13,R14,R15,R16,R21,R22,R23,R24,R25,R26,R27,R28,R29,R30,R31,IF(O39="","",CONCATENATE("| ",O39)))))</f>
        <v>Next Barload: 25 10 2,5 | Next Rack: 5</v>
      </c>
      <c r="P38" s="5"/>
      <c r="Q38" s="5"/>
      <c r="R38" s="88" t="str">
        <f ca="1">IF(O38="","",CONCATENATE("Nästa vikt: ",P3," kg"))</f>
        <v>Nästa vikt: 100 kg</v>
      </c>
      <c r="T38" t="str">
        <f ca="1">IF(Lifting!$BI$2,INDIRECT(ADDRESS(9,2,,,"Lifting")),IF(NOT(Lifting!$AY$5=Lifting!$BA$6),INDIRECT(ADDRESS(Lifting!$AY$5+1,2,,,"Lifting")),""))</f>
        <v>Malin Carlsson</v>
      </c>
    </row>
    <row r="39" spans="1:20" x14ac:dyDescent="0.2">
      <c r="A39" t="s">
        <v>198</v>
      </c>
      <c r="D39" s="5" t="str">
        <f>IF(Lifting!$C$4="Bench Press 2","Bänkpress 2","")</f>
        <v/>
      </c>
      <c r="O39" t="str">
        <f ca="1">IF(AND(K36="",K37=""),"",CONCATENATE("Next Rack: ",K36,K37))</f>
        <v>Next Rack: 5</v>
      </c>
      <c r="R39" s="88" t="str">
        <f ca="1">IF(O39="","",CONCATENATE("Nästa höjd: ",TRIM(RIGHT(O39,LEN(O39)-10))))</f>
        <v>Nästa höjd: 5</v>
      </c>
      <c r="T39" t="str">
        <f ca="1">IF(Lifting!$BI$2,OFFSET(Setup!P1,MATCH(INDIRECT(ADDRESS(9,3,,,"Lifting")),Setup!O:O,0)-1,0),IF(NOT(Lifting!$AY$5=Lifting!$BA$6),OFFSET(Setup!P1,MATCH(INDIRECT(ADDRESS(Lifting!$AY$5+1,3,,,"Lifting")),Setup!O:O,0)-1,0),""))</f>
        <v>Vedum AIS</v>
      </c>
    </row>
    <row r="40" spans="1:20" x14ac:dyDescent="0.2">
      <c r="A40" t="str">
        <f ca="1">IF(A36="","",CONCATENATE(RIGHT(YEAR(A36),2),TEXT(A36,"MM"),TEXT(A36,"DD"),", klass ",A38," kg"))</f>
        <v>861001, klass 84+ kg</v>
      </c>
      <c r="D40" s="5" t="str">
        <f>IF(Lifting!$C$4="Bench Press 3","Bänkpress 3","")</f>
        <v/>
      </c>
      <c r="T40" t="str">
        <f ca="1">IF(Lifting!$BI$2,CONCATENATE("Klass ",INDIRECT(ADDRESS(9,6,,,"Lifting"))," kg"),IF(NOT(Lifting!$AY$5=Lifting!$BA$6),CONCATENATE("Klass ",INDIRECT(ADDRESS(Lifting!$AY$5+1,6,,,"Lifting"))," kg"),""))</f>
        <v>Klass 52 kg</v>
      </c>
    </row>
    <row r="41" spans="1:20" x14ac:dyDescent="0.2">
      <c r="D41" s="5" t="str">
        <f>IF(Lifting!$C$4="Deadlift 1","Marklyft 1","")</f>
        <v/>
      </c>
    </row>
    <row r="42" spans="1:20" x14ac:dyDescent="0.2">
      <c r="D42" s="5" t="str">
        <f>IF(Lifting!$C$4="Deadlift 2","Marklyft 2","")</f>
        <v/>
      </c>
    </row>
    <row r="43" spans="1:20" x14ac:dyDescent="0.2">
      <c r="D43" s="5" t="str">
        <f>IF(Lifting!$C$4="Deadlift 3","Marklyft 3","")</f>
        <v/>
      </c>
    </row>
    <row r="44" spans="1:20" x14ac:dyDescent="0.2">
      <c r="D44" t="str">
        <f>CONCATENATE(D35,D36,D37,D38,D39,D40,D41,D42,D43)</f>
        <v>Knäböj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H2"/>
  <sheetViews>
    <sheetView workbookViewId="0"/>
  </sheetViews>
  <sheetFormatPr defaultColWidth="9.140625" defaultRowHeight="12.75" x14ac:dyDescent="0.2"/>
  <cols>
    <col min="1" max="1" width="6" style="100" customWidth="1"/>
    <col min="2" max="2" width="27.42578125" style="100" customWidth="1"/>
    <col min="3" max="3" width="9.140625" style="100"/>
    <col min="4" max="4" width="7.28515625" style="100" customWidth="1"/>
    <col min="5" max="5" width="7.85546875" style="100" customWidth="1"/>
    <col min="6" max="6" width="5.5703125" style="100" customWidth="1"/>
    <col min="7" max="7" width="12.28515625" style="221" customWidth="1"/>
    <col min="8" max="8" width="5.85546875" style="100" customWidth="1"/>
    <col min="9" max="9" width="9.140625" style="100" customWidth="1"/>
    <col min="10" max="10" width="5.85546875" style="101" customWidth="1"/>
    <col min="11" max="12" width="9.140625" style="100" customWidth="1"/>
    <col min="13" max="13" width="12" style="100" customWidth="1"/>
    <col min="14" max="14" width="9.140625" style="103"/>
    <col min="15" max="20" width="9.140625" style="102" hidden="1" customWidth="1"/>
    <col min="21" max="21" width="9.140625" style="102"/>
    <col min="22" max="22" width="9.140625" style="103"/>
    <col min="23" max="25" width="9.140625" style="102"/>
    <col min="26" max="27" width="0" style="102" hidden="1" customWidth="1"/>
    <col min="28" max="35" width="9.140625" style="102"/>
    <col min="36" max="38" width="0" style="102" hidden="1" customWidth="1"/>
    <col min="39" max="40" width="9.140625" style="102"/>
    <col min="41" max="47" width="0" style="102" hidden="1" customWidth="1"/>
    <col min="48" max="16384" width="9.140625" style="102"/>
  </cols>
  <sheetData>
    <row r="1" spans="1:60" s="93" customFormat="1" ht="30.75" customHeight="1" x14ac:dyDescent="0.2">
      <c r="A1" s="90"/>
      <c r="B1" s="90"/>
      <c r="C1" s="90"/>
      <c r="D1" s="90"/>
      <c r="E1" s="90"/>
      <c r="F1" s="90"/>
      <c r="G1" s="219"/>
      <c r="H1" s="90"/>
      <c r="I1" s="90"/>
      <c r="J1" s="91"/>
      <c r="K1" s="90"/>
      <c r="L1" s="90"/>
      <c r="M1" s="90"/>
      <c r="N1" s="92"/>
      <c r="V1" s="92"/>
      <c r="Z1" s="93">
        <v>3</v>
      </c>
    </row>
    <row r="2" spans="1:60" s="98" customFormat="1" ht="27" customHeight="1" x14ac:dyDescent="0.2">
      <c r="A2" s="94" t="s">
        <v>161</v>
      </c>
      <c r="B2" s="94" t="s">
        <v>0</v>
      </c>
      <c r="C2" s="94" t="s">
        <v>41</v>
      </c>
      <c r="D2" s="94" t="s">
        <v>2</v>
      </c>
      <c r="E2" s="94" t="s">
        <v>181</v>
      </c>
      <c r="F2" s="94" t="s">
        <v>1</v>
      </c>
      <c r="G2" s="220" t="s">
        <v>199</v>
      </c>
      <c r="H2" s="104" t="s">
        <v>8</v>
      </c>
      <c r="I2" s="95" t="str">
        <f>CONCATENATE("SQ-1 (",Setup!M3,")")</f>
        <v>SQ-1 (Kg)</v>
      </c>
      <c r="J2" s="96" t="s">
        <v>13</v>
      </c>
      <c r="K2" s="95" t="str">
        <f>CONCATENATE("BP-1 (",Setup!M3,")")</f>
        <v>BP-1 (Kg)</v>
      </c>
      <c r="L2" s="95" t="str">
        <f>CONCATENATE("DL-1 (",Setup!M3,")")</f>
        <v>DL-1 (Kg)</v>
      </c>
      <c r="M2" s="95" t="s">
        <v>27</v>
      </c>
      <c r="N2" s="97"/>
      <c r="P2" s="99" t="str">
        <f>Setup!M3</f>
        <v>Kg</v>
      </c>
      <c r="Q2" s="99">
        <f>COUNTA(E:E)+1</f>
        <v>2</v>
      </c>
      <c r="R2" s="98" t="str">
        <f>CONCATENATE("Setup!B12:B",COUNTA(Setup!B:B)+8)</f>
        <v>Setup!B12:B15</v>
      </c>
      <c r="S2" s="98" t="str">
        <f>CONCATENATE("Setup!O6:O",COUNTA(Setup!O:O)+3)</f>
        <v>Setup!O6:O17</v>
      </c>
      <c r="V2" s="99"/>
      <c r="Z2" s="98">
        <v>1</v>
      </c>
      <c r="AA2" s="98">
        <f>COUNTA(E:E)+1</f>
        <v>2</v>
      </c>
      <c r="AJ2" s="99" t="s">
        <v>52</v>
      </c>
      <c r="AK2" s="99" t="s">
        <v>53</v>
      </c>
      <c r="AU2" s="99" t="s">
        <v>9</v>
      </c>
      <c r="AV2" s="99" t="s">
        <v>10</v>
      </c>
      <c r="AW2" s="99" t="s">
        <v>11</v>
      </c>
      <c r="AX2" s="99" t="s">
        <v>28</v>
      </c>
      <c r="AY2" s="99" t="s">
        <v>13</v>
      </c>
      <c r="AZ2" s="99" t="s">
        <v>14</v>
      </c>
      <c r="BA2" s="99" t="s">
        <v>15</v>
      </c>
      <c r="BB2" s="99" t="s">
        <v>16</v>
      </c>
      <c r="BC2" s="99" t="s">
        <v>29</v>
      </c>
      <c r="BD2" s="99" t="s">
        <v>17</v>
      </c>
      <c r="BE2" s="99" t="s">
        <v>18</v>
      </c>
      <c r="BF2" s="99" t="s">
        <v>19</v>
      </c>
      <c r="BG2" s="99" t="s">
        <v>20</v>
      </c>
      <c r="BH2" s="99" t="s">
        <v>30</v>
      </c>
    </row>
  </sheetData>
  <sheetProtection sheet="1" objects="1" scenarios="1"/>
  <phoneticPr fontId="0" type="noConversion"/>
  <conditionalFormatting sqref="A2:M65390">
    <cfRule type="expression" dxfId="121" priority="1" stopIfTrue="1">
      <formula>AND(ROW(A2)=$Z$1,COLUMN(A2)=$Z$2)</formula>
    </cfRule>
    <cfRule type="expression" dxfId="120" priority="2" stopIfTrue="1">
      <formula>OR(AND(ROW(A2)=$Z$1,COLUMN(A2)&lt;$Z$2),AND(ROW(A2)&lt;$Z$1,COLUMN(A2)=$Z$2))</formula>
    </cfRule>
  </conditionalFormatting>
  <dataValidations count="7">
    <dataValidation type="list" allowBlank="1" showInputMessage="1" showErrorMessage="1" sqref="E2" xr:uid="{00000000-0002-0000-0200-000000000000}">
      <formula1>"Bwt (lb), Bwt (kg)"</formula1>
    </dataValidation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3:N65390" xr:uid="{00000000-0002-0000-0200-000001000000}"/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390" xr:uid="{00000000-0002-0000-0200-000002000000}"/>
    <dataValidation type="list" allowBlank="1" showInputMessage="1" showErrorMessage="1" sqref="A3:A65390" xr:uid="{00000000-0002-0000-0200-000003000000}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390 I3:I65390" xr:uid="{00000000-0002-0000-0200-000004000000}">
      <formula1>AND(MOD(I3,IF($P$2="Lb",5,2.5))=0)</formula1>
    </dataValidation>
    <dataValidation type="list" allowBlank="1" showInputMessage="1" showErrorMessage="1" sqref="D3:D65390" xr:uid="{00000000-0002-0000-0200-000005000000}">
      <formula1>INDIRECT($R$2)</formula1>
    </dataValidation>
    <dataValidation type="list" allowBlank="1" showInputMessage="1" showErrorMessage="1" sqref="C3:C65390" xr:uid="{00000000-0002-0000-0200-000006000000}">
      <formula1>INDIRECT($S$2)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U42"/>
  <sheetViews>
    <sheetView tabSelected="1" workbookViewId="0">
      <selection activeCell="M3" sqref="M3"/>
    </sheetView>
  </sheetViews>
  <sheetFormatPr defaultColWidth="9.140625" defaultRowHeight="12.75" x14ac:dyDescent="0.2"/>
  <cols>
    <col min="1" max="1" width="4.28515625" style="128" customWidth="1"/>
    <col min="2" max="2" width="17.7109375" style="184" customWidth="1"/>
    <col min="3" max="3" width="9.7109375" style="118" customWidth="1"/>
    <col min="4" max="4" width="6.5703125" style="128" customWidth="1"/>
    <col min="5" max="5" width="6.28515625" style="128" customWidth="1"/>
    <col min="6" max="6" width="6.7109375" style="118" customWidth="1"/>
    <col min="7" max="7" width="6" style="128" customWidth="1"/>
    <col min="8" max="8" width="6.28515625" style="118" hidden="1" customWidth="1"/>
    <col min="9" max="9" width="10.140625" style="185" hidden="1" customWidth="1"/>
    <col min="10" max="10" width="6.28515625" style="118" hidden="1" customWidth="1"/>
    <col min="11" max="11" width="5.28515625" style="128" customWidth="1"/>
    <col min="12" max="14" width="7.5703125" style="186" customWidth="1"/>
    <col min="15" max="15" width="7.5703125" style="128" hidden="1" customWidth="1"/>
    <col min="16" max="16" width="5.28515625" style="187" customWidth="1"/>
    <col min="17" max="19" width="7.5703125" style="128" customWidth="1"/>
    <col min="20" max="20" width="7.5703125" style="128" hidden="1" customWidth="1"/>
    <col min="21" max="21" width="6.5703125" style="128" customWidth="1"/>
    <col min="22" max="24" width="6.85546875" style="128" customWidth="1"/>
    <col min="25" max="25" width="7.140625" style="128" hidden="1" customWidth="1"/>
    <col min="26" max="26" width="7.5703125" style="128" customWidth="1"/>
    <col min="27" max="27" width="10.28515625" style="128" customWidth="1"/>
    <col min="28" max="28" width="10.28515625" style="128" hidden="1" customWidth="1"/>
    <col min="29" max="29" width="5.7109375" style="128" hidden="1" customWidth="1"/>
    <col min="30" max="30" width="13.42578125" style="128" hidden="1" customWidth="1"/>
    <col min="31" max="31" width="9.140625" style="128" hidden="1" customWidth="1"/>
    <col min="32" max="33" width="9.140625" style="118" hidden="1" customWidth="1"/>
    <col min="34" max="34" width="18.5703125" style="188" hidden="1" customWidth="1"/>
    <col min="35" max="35" width="6" style="128" hidden="1" customWidth="1"/>
    <col min="36" max="36" width="6.42578125" style="128" hidden="1" customWidth="1"/>
    <col min="37" max="37" width="9" style="128" hidden="1" customWidth="1"/>
    <col min="38" max="38" width="7" style="128" hidden="1" customWidth="1"/>
    <col min="39" max="39" width="9.140625" style="118" hidden="1" customWidth="1"/>
    <col min="40" max="43" width="5.85546875" style="180" hidden="1" customWidth="1"/>
    <col min="44" max="47" width="9.140625" style="118" hidden="1" customWidth="1"/>
    <col min="48" max="48" width="20" style="181" hidden="1" customWidth="1"/>
    <col min="49" max="49" width="6.7109375" style="118" hidden="1" customWidth="1"/>
    <col min="50" max="63" width="9.140625" style="118" hidden="1" customWidth="1"/>
    <col min="64" max="66" width="6.85546875" style="118" hidden="1" customWidth="1"/>
    <col min="67" max="67" width="11.5703125" style="183" hidden="1" customWidth="1"/>
    <col min="68" max="68" width="9.140625" style="118" hidden="1" customWidth="1"/>
    <col min="69" max="71" width="6.85546875" style="118" hidden="1" customWidth="1"/>
    <col min="72" max="72" width="11.5703125" style="183" hidden="1" customWidth="1"/>
    <col min="73" max="73" width="9.140625" style="118" hidden="1" customWidth="1"/>
    <col min="74" max="76" width="6.85546875" style="118" hidden="1" customWidth="1"/>
    <col min="77" max="78" width="11.5703125" style="183" hidden="1" customWidth="1"/>
    <col min="79" max="79" width="12" style="118" hidden="1" customWidth="1"/>
    <col min="80" max="95" width="9.140625" style="118" customWidth="1"/>
    <col min="96" max="16384" width="9.140625" style="118"/>
  </cols>
  <sheetData>
    <row r="1" spans="1:125" ht="50.25" customHeight="1" x14ac:dyDescent="0.2">
      <c r="A1" s="388" t="s">
        <v>271</v>
      </c>
      <c r="B1" s="389"/>
      <c r="C1" s="389"/>
      <c r="D1" s="389"/>
      <c r="E1" s="389"/>
      <c r="F1" s="389"/>
      <c r="G1" s="389"/>
      <c r="H1" s="105"/>
      <c r="I1" s="106"/>
      <c r="J1" s="105"/>
      <c r="K1" s="107"/>
      <c r="L1" s="108"/>
      <c r="M1" s="108"/>
      <c r="N1" s="108"/>
      <c r="O1" s="107"/>
      <c r="P1" s="109"/>
      <c r="Q1" s="254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5"/>
      <c r="AG1" s="105"/>
      <c r="AH1" s="110"/>
      <c r="AI1" s="107"/>
      <c r="AJ1" s="107"/>
      <c r="AK1" s="107"/>
      <c r="AL1" s="107"/>
      <c r="AM1" s="105"/>
      <c r="AN1" s="111"/>
      <c r="AO1" s="111"/>
      <c r="AP1" s="111"/>
      <c r="AQ1" s="111"/>
      <c r="AR1" s="105"/>
      <c r="AS1" s="112" t="str">
        <f>CONCATENATE("Lists!E2:E",IF(Lists!E1=1,11,IF(OR(Lists!E1=4,Lists!E1=3,Lists!E1=2),5,8)))</f>
        <v>Lists!E2:E11</v>
      </c>
      <c r="AT1" s="105"/>
      <c r="AU1" s="105"/>
      <c r="AV1" s="113">
        <f ca="1">COUNTIF(INDIRECT("AU1:AU200"),1)</f>
        <v>26</v>
      </c>
      <c r="AW1" s="114"/>
      <c r="AX1" s="105"/>
      <c r="AY1" s="105"/>
      <c r="AZ1" s="115"/>
      <c r="BA1" s="116" t="s">
        <v>23</v>
      </c>
      <c r="BB1" s="116" t="s">
        <v>24</v>
      </c>
      <c r="BC1" s="116" t="s">
        <v>25</v>
      </c>
      <c r="BD1" s="116" t="s">
        <v>43</v>
      </c>
      <c r="BE1" s="116" t="s">
        <v>44</v>
      </c>
      <c r="BF1" s="116" t="s">
        <v>45</v>
      </c>
      <c r="BG1" s="116" t="s">
        <v>46</v>
      </c>
      <c r="BH1" s="116" t="s">
        <v>47</v>
      </c>
      <c r="BI1" s="213" t="s">
        <v>192</v>
      </c>
      <c r="BJ1" s="105"/>
      <c r="BK1" s="105"/>
      <c r="BL1" s="105">
        <v>1</v>
      </c>
      <c r="BM1" s="105"/>
      <c r="BN1" s="105"/>
      <c r="BO1" s="117"/>
      <c r="BP1" s="105"/>
      <c r="BQ1" s="105"/>
      <c r="BR1" s="105"/>
      <c r="BS1" s="105"/>
      <c r="BT1" s="117"/>
      <c r="BU1" s="105"/>
      <c r="BV1" s="105"/>
      <c r="BW1" s="105"/>
      <c r="BX1" s="105"/>
      <c r="BY1" s="117"/>
      <c r="BZ1" s="117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</row>
    <row r="2" spans="1:125" ht="25.5" customHeight="1" x14ac:dyDescent="0.2">
      <c r="A2" s="392" t="str">
        <f ca="1">CONCATENATE("Class ",INDIRECT(ADDRESS(AY5,6))," kg")</f>
        <v>Class 84+ kg</v>
      </c>
      <c r="B2" s="393"/>
      <c r="C2" s="396">
        <f ca="1">INDIRECT(AY4)</f>
        <v>75</v>
      </c>
      <c r="D2" s="397"/>
      <c r="E2" s="397"/>
      <c r="F2" s="397" t="s">
        <v>122</v>
      </c>
      <c r="G2" s="397"/>
      <c r="H2" s="105"/>
      <c r="I2" s="106"/>
      <c r="J2" s="105"/>
      <c r="K2" s="107"/>
      <c r="L2" s="108"/>
      <c r="M2" s="108"/>
      <c r="N2" s="108"/>
      <c r="O2" s="107"/>
      <c r="P2" s="109"/>
      <c r="Q2" s="254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5"/>
      <c r="AG2" s="105"/>
      <c r="AH2" s="110"/>
      <c r="AI2" s="107"/>
      <c r="AJ2" s="107"/>
      <c r="AK2" s="107"/>
      <c r="AL2" s="107"/>
      <c r="AM2" s="105"/>
      <c r="AN2" s="111"/>
      <c r="AO2" s="111"/>
      <c r="AP2" s="111"/>
      <c r="AQ2" s="111"/>
      <c r="AR2" s="105"/>
      <c r="AS2" s="107" t="str">
        <f ca="1">CONCATENATE("B9:B",BA6)</f>
        <v>B9:B18</v>
      </c>
      <c r="AT2" s="119" t="s">
        <v>127</v>
      </c>
      <c r="AU2" s="107" t="s">
        <v>109</v>
      </c>
      <c r="AV2" s="120"/>
      <c r="AW2" s="114"/>
      <c r="AX2" s="105"/>
      <c r="AY2" s="105"/>
      <c r="AZ2" s="105"/>
      <c r="BA2" s="116">
        <f>IF(BA1=RIGHT($A$7,1),0,BH2+1)</f>
        <v>0</v>
      </c>
      <c r="BB2" s="116">
        <f t="shared" ref="BB2:BH2" si="0">IF(BB1=RIGHT($A$7,1),0,BA2+1)</f>
        <v>1</v>
      </c>
      <c r="BC2" s="116">
        <f t="shared" si="0"/>
        <v>2</v>
      </c>
      <c r="BD2" s="116">
        <f t="shared" si="0"/>
        <v>3</v>
      </c>
      <c r="BE2" s="116">
        <f t="shared" si="0"/>
        <v>4</v>
      </c>
      <c r="BF2" s="116">
        <f t="shared" si="0"/>
        <v>5</v>
      </c>
      <c r="BG2" s="116">
        <f t="shared" si="0"/>
        <v>6</v>
      </c>
      <c r="BH2" s="116">
        <f t="shared" si="0"/>
        <v>7</v>
      </c>
      <c r="BI2" s="121" t="b">
        <f ca="1">IF(AND(AY5=BA6,OR(BD4=12,BD4=13,BD4=17,BD4=18,BD4=22,BD4=23)),TRUE)</f>
        <v>0</v>
      </c>
      <c r="BJ2" s="105"/>
      <c r="BK2" s="105"/>
      <c r="BL2" s="105">
        <v>1</v>
      </c>
      <c r="BM2" s="105"/>
      <c r="BN2" s="105"/>
      <c r="BO2" s="117"/>
      <c r="BP2" s="105"/>
      <c r="BQ2" s="105"/>
      <c r="BR2" s="105"/>
      <c r="BS2" s="105"/>
      <c r="BT2" s="117"/>
      <c r="BU2" s="105"/>
      <c r="BV2" s="105"/>
      <c r="BW2" s="105"/>
      <c r="BX2" s="105"/>
      <c r="BY2" s="117"/>
      <c r="BZ2" s="117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</row>
    <row r="3" spans="1:125" ht="25.5" customHeight="1" x14ac:dyDescent="0.2">
      <c r="A3" s="392" t="str">
        <f ca="1">OFFSET(Setup!P1,MATCH(INDIRECT(ADDRESS(AY5,3)),Setup!O:O,0)-1,0)</f>
        <v>Vagnhallen SK</v>
      </c>
      <c r="B3" s="393"/>
      <c r="C3" s="398"/>
      <c r="D3" s="399"/>
      <c r="E3" s="399"/>
      <c r="F3" s="400"/>
      <c r="G3" s="399"/>
      <c r="H3" s="105"/>
      <c r="I3" s="106"/>
      <c r="J3" s="105"/>
      <c r="K3" s="107"/>
      <c r="L3" s="108"/>
      <c r="M3" s="108"/>
      <c r="N3" s="108"/>
      <c r="O3" s="107"/>
      <c r="P3" s="109"/>
      <c r="Q3" s="254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5"/>
      <c r="AG3" s="105"/>
      <c r="AH3" s="110"/>
      <c r="AI3" s="107"/>
      <c r="AJ3" s="107"/>
      <c r="AK3" s="107"/>
      <c r="AL3" s="107"/>
      <c r="AM3" s="105"/>
      <c r="AN3" s="111"/>
      <c r="AO3" s="111"/>
      <c r="AP3" s="111"/>
      <c r="AQ3" s="111"/>
      <c r="AR3" s="105"/>
      <c r="AS3" s="112" t="str">
        <f>CONCATENATE("Setup!B12:B",COUNTA(Setup!B:B)+8)</f>
        <v>Setup!B12:B15</v>
      </c>
      <c r="AT3" s="119" t="s">
        <v>12</v>
      </c>
      <c r="AU3" s="107" t="s">
        <v>116</v>
      </c>
      <c r="AV3" s="122" t="s">
        <v>112</v>
      </c>
      <c r="AW3" s="123"/>
      <c r="AX3" s="123"/>
      <c r="AY3" s="124" t="s">
        <v>111</v>
      </c>
      <c r="AZ3" s="105"/>
      <c r="BA3" s="125" t="s">
        <v>50</v>
      </c>
      <c r="BB3" s="112" t="s">
        <v>7</v>
      </c>
      <c r="BC3" s="105"/>
      <c r="BD3" s="124" t="s">
        <v>55</v>
      </c>
      <c r="BE3" s="124" t="s">
        <v>51</v>
      </c>
      <c r="BF3" s="124" t="s">
        <v>54</v>
      </c>
      <c r="BG3" s="124" t="s">
        <v>146</v>
      </c>
      <c r="BH3" s="105"/>
      <c r="BI3" s="105" t="b">
        <f ca="1">IF(AND(AY5=BD6,OR(BD4=12,BD4=13)),TRUE)</f>
        <v>1</v>
      </c>
      <c r="BJ3" s="105"/>
      <c r="BK3" s="105"/>
      <c r="BL3" s="105">
        <v>1</v>
      </c>
      <c r="BM3" s="105"/>
      <c r="BN3" s="105"/>
      <c r="BO3" s="117"/>
      <c r="BP3" s="105"/>
      <c r="BQ3" s="105"/>
      <c r="BR3" s="105"/>
      <c r="BS3" s="105"/>
      <c r="BT3" s="117"/>
      <c r="BU3" s="105"/>
      <c r="BV3" s="105"/>
      <c r="BW3" s="105"/>
      <c r="BX3" s="105"/>
      <c r="BY3" s="117"/>
      <c r="BZ3" s="117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</row>
    <row r="4" spans="1:125" ht="25.5" customHeight="1" x14ac:dyDescent="0.2">
      <c r="A4" s="394"/>
      <c r="B4" s="395"/>
      <c r="C4" s="401" t="s">
        <v>32</v>
      </c>
      <c r="D4" s="402"/>
      <c r="E4" s="403"/>
      <c r="F4" s="255" t="s">
        <v>240</v>
      </c>
      <c r="G4" s="256">
        <f ca="1">IF(LEFT(C4,1)="S",INDIRECT(ADDRESS(AY5,11)),IF(LEFT(C4,1)="B",INDIRECT(ADDRESS(AY5,16)),""))</f>
        <v>14</v>
      </c>
      <c r="H4" s="105"/>
      <c r="I4" s="106"/>
      <c r="J4" s="105"/>
      <c r="K4" s="107"/>
      <c r="L4" s="108"/>
      <c r="M4" s="108"/>
      <c r="N4" s="108"/>
      <c r="O4" s="107"/>
      <c r="P4" s="109"/>
      <c r="Q4" s="254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5"/>
      <c r="AG4" s="105"/>
      <c r="AH4" s="110"/>
      <c r="AI4" s="107"/>
      <c r="AJ4" s="107"/>
      <c r="AK4" s="107"/>
      <c r="AL4" s="107"/>
      <c r="AM4" s="105"/>
      <c r="AN4" s="111"/>
      <c r="AO4" s="111"/>
      <c r="AP4" s="111"/>
      <c r="AQ4" s="111"/>
      <c r="AR4" s="105"/>
      <c r="AS4" s="112" t="str">
        <f>CONCATENATE("Setup!O6:O",COUNTA(Setup!O:O)+3)</f>
        <v>Setup!O6:O17</v>
      </c>
      <c r="AT4" s="119" t="s">
        <v>21</v>
      </c>
      <c r="AU4" s="107" t="s">
        <v>117</v>
      </c>
      <c r="AV4" s="122" t="s">
        <v>113</v>
      </c>
      <c r="AW4" s="105"/>
      <c r="AX4" s="105"/>
      <c r="AY4" s="107" t="str">
        <f ca="1">ADDRESS(MATCH(A1,INDIRECT(AS2),0)+8,BD4)</f>
        <v>$L$9</v>
      </c>
      <c r="AZ4" s="105"/>
      <c r="BA4" s="107" t="str">
        <f ca="1">CONCATENATE("B",$BA$5,":","B",BA6)</f>
        <v>B9:B18</v>
      </c>
      <c r="BB4" s="125">
        <v>12</v>
      </c>
      <c r="BC4" s="126" t="s">
        <v>57</v>
      </c>
      <c r="BD4" s="107">
        <f ca="1">OFFSET(Lists!C1,MATCH(C4,Attempts,0),0)</f>
        <v>12</v>
      </c>
      <c r="BE4" s="107" t="s">
        <v>24</v>
      </c>
      <c r="BF4" s="112" t="str">
        <f>CONCATENATE("$A$",BF5,":$A$",BF6)</f>
        <v>$A$9:$A$42</v>
      </c>
      <c r="BG4" s="107">
        <f>IF(C4="Squat 3",17,22)</f>
        <v>22</v>
      </c>
      <c r="BH4" s="105"/>
      <c r="BI4" s="105" t="b">
        <f ca="1">IF(AND(AY5=BD6,OR(BD4=17,BD4=18)),TRUE)</f>
        <v>0</v>
      </c>
      <c r="BJ4" s="105"/>
      <c r="BK4" s="105"/>
      <c r="BL4" s="105">
        <v>1</v>
      </c>
      <c r="BM4" s="105"/>
      <c r="BN4" s="105"/>
      <c r="BO4" s="117"/>
      <c r="BP4" s="105"/>
      <c r="BQ4" s="105"/>
      <c r="BR4" s="105"/>
      <c r="BS4" s="105"/>
      <c r="BT4" s="117"/>
      <c r="BU4" s="105"/>
      <c r="BV4" s="105"/>
      <c r="BW4" s="105"/>
      <c r="BX4" s="105"/>
      <c r="BY4" s="117"/>
      <c r="BZ4" s="117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</row>
    <row r="5" spans="1:125" ht="25.5" customHeight="1" x14ac:dyDescent="0.2">
      <c r="A5" s="390" t="s">
        <v>160</v>
      </c>
      <c r="B5" s="391"/>
      <c r="C5" s="298" t="s">
        <v>248</v>
      </c>
      <c r="D5" s="299" t="s">
        <v>24</v>
      </c>
      <c r="E5" s="299" t="s">
        <v>116</v>
      </c>
      <c r="F5" s="271" t="s">
        <v>6</v>
      </c>
      <c r="G5" s="272" t="s">
        <v>162</v>
      </c>
      <c r="H5" s="105"/>
      <c r="I5" s="106"/>
      <c r="J5" s="105"/>
      <c r="K5" s="107"/>
      <c r="L5" s="108"/>
      <c r="M5" s="108"/>
      <c r="N5" s="108"/>
      <c r="O5" s="107"/>
      <c r="P5" s="109"/>
      <c r="Q5" s="254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5"/>
      <c r="AG5" s="105"/>
      <c r="AH5" s="110"/>
      <c r="AI5" s="107"/>
      <c r="AJ5" s="107"/>
      <c r="AK5" s="107"/>
      <c r="AL5" s="107"/>
      <c r="AM5" s="105">
        <f ca="1">INDIRECT(ADDRESS(AY5,36))</f>
        <v>1300</v>
      </c>
      <c r="AN5" s="111"/>
      <c r="AO5" s="111"/>
      <c r="AP5" s="111"/>
      <c r="AQ5" s="111"/>
      <c r="AR5" s="105"/>
      <c r="AS5" s="105"/>
      <c r="AT5" s="119" t="s">
        <v>22</v>
      </c>
      <c r="AU5" s="107" t="s">
        <v>118</v>
      </c>
      <c r="AV5" s="129"/>
      <c r="AW5" s="125" t="s">
        <v>42</v>
      </c>
      <c r="AX5" s="107">
        <v>275</v>
      </c>
      <c r="AY5" s="107">
        <f ca="1">MATCH(A1,INDIRECT(AS2),0)+8</f>
        <v>9</v>
      </c>
      <c r="AZ5" s="107" t="s">
        <v>23</v>
      </c>
      <c r="BA5" s="107">
        <v>9</v>
      </c>
      <c r="BB5" s="125">
        <v>9</v>
      </c>
      <c r="BC5" s="126" t="s">
        <v>58</v>
      </c>
      <c r="BD5" s="107">
        <f ca="1">IF(BD4&lt;20,IF(BD4&lt;15,15,20),25)</f>
        <v>15</v>
      </c>
      <c r="BE5" s="107">
        <f ca="1">MATCH($BE$4,INDIRECT(BF4),0)+8</f>
        <v>19</v>
      </c>
      <c r="BF5" s="107">
        <v>9</v>
      </c>
      <c r="BG5" s="107">
        <f>BB6+1</f>
        <v>43</v>
      </c>
      <c r="BH5" s="105"/>
      <c r="BI5" s="105"/>
      <c r="BJ5" s="105"/>
      <c r="BK5" s="105"/>
      <c r="BL5" s="105">
        <v>1</v>
      </c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30"/>
      <c r="CA5" s="131">
        <f ca="1">NOW()-TODAY()</f>
        <v>0.62697534722246928</v>
      </c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</row>
    <row r="6" spans="1:125" s="127" customFormat="1" ht="25.5" hidden="1" customHeight="1" x14ac:dyDescent="0.2">
      <c r="A6" s="132"/>
      <c r="B6" s="133"/>
      <c r="C6" s="134"/>
      <c r="D6" s="139"/>
      <c r="E6" s="139"/>
      <c r="F6" s="135"/>
      <c r="G6" s="136"/>
      <c r="H6" s="137"/>
      <c r="I6" s="138"/>
      <c r="J6" s="137"/>
      <c r="K6" s="139"/>
      <c r="L6" s="140"/>
      <c r="M6" s="140"/>
      <c r="N6" s="140"/>
      <c r="O6" s="139"/>
      <c r="P6" s="141"/>
      <c r="Q6" s="139"/>
      <c r="R6" s="139"/>
      <c r="S6" s="139"/>
      <c r="T6" s="139"/>
      <c r="U6" s="139"/>
      <c r="V6" s="139"/>
      <c r="W6" s="142"/>
      <c r="X6" s="143"/>
      <c r="Y6" s="144"/>
      <c r="Z6" s="139"/>
      <c r="AA6" s="139"/>
      <c r="AB6" s="139"/>
      <c r="AC6" s="139"/>
      <c r="AD6" s="139"/>
      <c r="AE6" s="137"/>
      <c r="AF6" s="137"/>
      <c r="AG6" s="137"/>
      <c r="AH6" s="145"/>
      <c r="AI6" s="139"/>
      <c r="AJ6" s="139"/>
      <c r="AK6" s="139"/>
      <c r="AL6" s="139"/>
      <c r="AM6" s="137"/>
      <c r="AN6" s="146"/>
      <c r="AO6" s="146"/>
      <c r="AP6" s="146"/>
      <c r="AQ6" s="146"/>
      <c r="AR6" s="137"/>
      <c r="AS6" s="137"/>
      <c r="AT6" s="147" t="s">
        <v>131</v>
      </c>
      <c r="AU6" s="148" t="s">
        <v>119</v>
      </c>
      <c r="AV6" s="149" t="str">
        <f>CONCATENATE("AV9:AV",BF6)</f>
        <v>AV9:AV42</v>
      </c>
      <c r="AW6" s="150" t="s">
        <v>2</v>
      </c>
      <c r="AX6" s="139" t="s">
        <v>48</v>
      </c>
      <c r="AY6" s="137"/>
      <c r="AZ6" s="148"/>
      <c r="BA6" s="148">
        <f ca="1">COUNTIF(INDIRECT(BF4),AZ5)+8</f>
        <v>18</v>
      </c>
      <c r="BB6" s="150">
        <v>42</v>
      </c>
      <c r="BC6" s="151" t="s">
        <v>59</v>
      </c>
      <c r="BD6" s="148">
        <f ca="1">MATCH(A1,INDIRECT(AS2),0)+8</f>
        <v>9</v>
      </c>
      <c r="BE6" s="139">
        <f ca="1">COUNTIF(INDIRECT(BF4),BE4)+BE5-1</f>
        <v>25</v>
      </c>
      <c r="BF6" s="148">
        <f>COUNTA($BL:$BL)</f>
        <v>42</v>
      </c>
      <c r="BG6" s="148">
        <f ca="1">COUNTIF(A:A,INDIRECT(ADDRESS(BG5,1)))+BG5-1</f>
        <v>42</v>
      </c>
      <c r="BH6" s="137"/>
      <c r="BI6" s="137"/>
      <c r="BJ6" s="137"/>
      <c r="BK6" s="137"/>
      <c r="BL6" s="137">
        <v>1</v>
      </c>
      <c r="BM6" s="137"/>
      <c r="BN6" s="137"/>
      <c r="BO6" s="152"/>
      <c r="BP6" s="137"/>
      <c r="BQ6" s="137"/>
      <c r="BR6" s="137"/>
      <c r="BS6" s="137"/>
      <c r="BT6" s="152"/>
      <c r="BU6" s="137"/>
      <c r="BV6" s="137"/>
      <c r="BW6" s="137"/>
      <c r="BX6" s="137"/>
      <c r="BY6" s="152"/>
      <c r="BZ6" s="152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37"/>
      <c r="CP6" s="137"/>
      <c r="CQ6" s="137"/>
      <c r="CR6" s="137"/>
      <c r="CS6" s="137"/>
      <c r="CT6" s="137"/>
      <c r="CU6" s="137"/>
      <c r="CV6" s="137"/>
      <c r="CW6" s="137"/>
      <c r="CX6" s="137"/>
      <c r="CY6" s="137"/>
      <c r="CZ6" s="137"/>
      <c r="DA6" s="137"/>
      <c r="DB6" s="137"/>
      <c r="DC6" s="137"/>
      <c r="DD6" s="137"/>
      <c r="DE6" s="137"/>
      <c r="DF6" s="137"/>
      <c r="DG6" s="137"/>
      <c r="DH6" s="137"/>
      <c r="DI6" s="137"/>
      <c r="DJ6" s="137"/>
      <c r="DK6" s="137"/>
      <c r="DL6" s="137"/>
      <c r="DM6" s="137"/>
      <c r="DN6" s="137"/>
      <c r="DO6" s="137"/>
      <c r="DP6" s="137"/>
      <c r="DQ6" s="137"/>
      <c r="DR6" s="137"/>
      <c r="DS6" s="137"/>
      <c r="DT6" s="137"/>
      <c r="DU6" s="137"/>
    </row>
    <row r="7" spans="1:125" s="156" customFormat="1" ht="27" customHeight="1" x14ac:dyDescent="0.2">
      <c r="A7" s="153" t="s">
        <v>335</v>
      </c>
      <c r="B7" s="154" t="s">
        <v>0</v>
      </c>
      <c r="C7" s="155" t="s">
        <v>41</v>
      </c>
      <c r="D7" s="155" t="s">
        <v>2</v>
      </c>
      <c r="E7" s="155" t="str">
        <f>'Weigh-In'!E2</f>
        <v>Bwt (kg)</v>
      </c>
      <c r="F7" s="155" t="str">
        <f>IF(E7="Bwt (lb)","WtCls (lb)","WtCls (kg)")</f>
        <v>WtCls (kg)</v>
      </c>
      <c r="G7" s="155" t="s">
        <v>1</v>
      </c>
      <c r="H7" s="156" t="s">
        <v>5</v>
      </c>
      <c r="I7" s="157" t="s">
        <v>187</v>
      </c>
      <c r="J7" s="155" t="s">
        <v>4</v>
      </c>
      <c r="K7" s="155" t="s">
        <v>8</v>
      </c>
      <c r="L7" s="155" t="s">
        <v>9</v>
      </c>
      <c r="M7" s="155" t="s">
        <v>10</v>
      </c>
      <c r="N7" s="155" t="s">
        <v>11</v>
      </c>
      <c r="O7" s="155" t="s">
        <v>12</v>
      </c>
      <c r="P7" s="158" t="s">
        <v>13</v>
      </c>
      <c r="Q7" s="155" t="s">
        <v>14</v>
      </c>
      <c r="R7" s="155" t="s">
        <v>15</v>
      </c>
      <c r="S7" s="155" t="s">
        <v>16</v>
      </c>
      <c r="T7" s="155" t="s">
        <v>21</v>
      </c>
      <c r="U7" s="155" t="s">
        <v>17</v>
      </c>
      <c r="V7" s="155" t="s">
        <v>18</v>
      </c>
      <c r="W7" s="159" t="s">
        <v>19</v>
      </c>
      <c r="X7" s="155" t="s">
        <v>20</v>
      </c>
      <c r="Y7" s="160" t="s">
        <v>22</v>
      </c>
      <c r="Z7" s="153" t="s">
        <v>127</v>
      </c>
      <c r="AA7" s="155" t="s">
        <v>186</v>
      </c>
      <c r="AB7" s="155" t="s">
        <v>185</v>
      </c>
      <c r="AC7" s="155" t="s">
        <v>26</v>
      </c>
      <c r="AD7" s="161" t="s">
        <v>133</v>
      </c>
      <c r="AE7" s="155" t="s">
        <v>27</v>
      </c>
      <c r="AG7" s="156">
        <v>1</v>
      </c>
      <c r="AH7" s="162" t="s">
        <v>114</v>
      </c>
      <c r="AI7" s="155" t="s">
        <v>115</v>
      </c>
      <c r="AJ7" s="155" t="s">
        <v>151</v>
      </c>
      <c r="AK7" s="155" t="s">
        <v>152</v>
      </c>
      <c r="AL7" s="155" t="s">
        <v>140</v>
      </c>
      <c r="AN7" s="163" t="s">
        <v>153</v>
      </c>
      <c r="AO7" s="163" t="s">
        <v>154</v>
      </c>
      <c r="AP7" s="163" t="s">
        <v>155</v>
      </c>
      <c r="AQ7" s="163" t="s">
        <v>156</v>
      </c>
      <c r="AU7" s="163" t="str">
        <f ca="1">OFFSET(AU1,MATCH(Z7,AT2:AT6,0),0)</f>
        <v>PL</v>
      </c>
      <c r="AW7" s="163"/>
      <c r="AX7" s="164"/>
      <c r="AY7" s="164"/>
      <c r="AZ7" s="164"/>
      <c r="BA7" s="165" t="s">
        <v>150</v>
      </c>
      <c r="BB7" s="155" t="s">
        <v>53</v>
      </c>
      <c r="BL7" s="155" t="s">
        <v>9</v>
      </c>
      <c r="BM7" s="155" t="s">
        <v>10</v>
      </c>
      <c r="BN7" s="155" t="s">
        <v>11</v>
      </c>
      <c r="BO7" s="166" t="s">
        <v>28</v>
      </c>
      <c r="BP7" s="155" t="s">
        <v>13</v>
      </c>
      <c r="BQ7" s="155" t="s">
        <v>14</v>
      </c>
      <c r="BR7" s="155" t="s">
        <v>15</v>
      </c>
      <c r="BS7" s="155" t="s">
        <v>16</v>
      </c>
      <c r="BT7" s="166" t="s">
        <v>29</v>
      </c>
      <c r="BU7" s="155" t="s">
        <v>17</v>
      </c>
      <c r="BV7" s="155" t="s">
        <v>18</v>
      </c>
      <c r="BW7" s="155" t="s">
        <v>19</v>
      </c>
      <c r="BX7" s="155" t="s">
        <v>20</v>
      </c>
      <c r="BY7" s="166" t="s">
        <v>30</v>
      </c>
      <c r="BZ7" s="166" t="s">
        <v>157</v>
      </c>
      <c r="CA7" s="156" t="s">
        <v>163</v>
      </c>
    </row>
    <row r="8" spans="1:125" ht="19.5" hidden="1" customHeight="1" x14ac:dyDescent="0.2">
      <c r="A8" s="167"/>
      <c r="B8" s="168" t="s">
        <v>110</v>
      </c>
      <c r="C8" s="168"/>
      <c r="D8" s="169"/>
      <c r="E8" s="169">
        <v>0</v>
      </c>
      <c r="F8" s="169" t="e">
        <f>IF(LEFT(D8,1)="M",VLOOKUP(IF($E$7="Bwt (kg)",E8,E8/2.2046),Lists!$B$16:$D$24,IF(ISERROR(FIND("J",D8)),3,2)),VLOOKUP(IF($E$7="Bwt (kg)",E8,E8/2.2046),Lists!$B$26:$D$33,IF(ISERROR(FIND("J",D8)),3,2)))</f>
        <v>#N/A</v>
      </c>
      <c r="G8" s="169">
        <v>0</v>
      </c>
      <c r="H8" s="170">
        <f>IF(AND(VALUE(E8)&gt;0,OR(LEFT(D8,1)="M",LEFT(D8,1)="F")),IF(LEFT(D8,1)="M",Wilks_Men(IF(RIGHT($F$7,4)="(lb)",E8/2.2046,E8)),Wilks_Women(IF(RIGHT($F$7,4)="(lb)",E8/2.2046,E8))),0)</f>
        <v>0</v>
      </c>
      <c r="I8" s="171">
        <v>0</v>
      </c>
      <c r="J8" s="128">
        <f ca="1">IF(I8,VLOOKUP(INT((NOW()-I8)/365.25),DATA!$A$2:$B$53,2,TRUE),0)</f>
        <v>0</v>
      </c>
      <c r="K8" s="169"/>
      <c r="L8" s="172">
        <v>0</v>
      </c>
      <c r="M8" s="172"/>
      <c r="N8" s="172"/>
      <c r="O8" s="173" t="str">
        <f t="shared" ref="O8" si="1">IF(MAX(BL8:BN8)&gt;0,MAX(ABS(L8)*BL8,ABS(M8)*BM8,ABS(N8)*BN8),"")</f>
        <v/>
      </c>
      <c r="P8" s="174"/>
      <c r="Q8" s="167">
        <v>0</v>
      </c>
      <c r="R8" s="167"/>
      <c r="S8" s="167"/>
      <c r="T8" s="173">
        <f t="shared" ref="T8" si="2">IF(MAX(BQ8:BS8)&gt;0,MAX(ABS(Q8)*BQ8,ABS(R8)*BR8,ABS(S8)*BS8),0)</f>
        <v>0</v>
      </c>
      <c r="U8" s="173" t="str">
        <f t="shared" ref="U8" si="3">IF(OR(O8="",T8=""),"",O8+T8)</f>
        <v/>
      </c>
      <c r="V8" s="167">
        <v>0</v>
      </c>
      <c r="W8" s="175"/>
      <c r="X8" s="167"/>
      <c r="Y8" s="176" t="str">
        <f t="shared" ref="Y8" si="4">IF(MAX(BV8:BX8)&gt;0,MAX(ABS(V8)*BV8,ABS(W8)*BW8,ABS(X8)*BX8),"")</f>
        <v/>
      </c>
      <c r="Z8" s="173" t="str">
        <f t="shared" ref="Z8" ca="1" si="5">IF(AE8=$AU$7,IF($AU$7="SQ",O8,IF($AU$7="BP",T8,IF($AU$7="DL",Y8,IF($AU$7="PP",IF(OR(T8="",Y8=""),"",T8+Y8),IF(OR($U8="",$Y8=""),"",$O8+$T8+$Y8))))),"")</f>
        <v/>
      </c>
      <c r="AA8" s="274" t="str">
        <f t="shared" ref="AA8" ca="1" si="6">IF(AE8="BP",IF(T8&gt;1,T8*H8,""),IF(Z8="","",Z8*H8))</f>
        <v/>
      </c>
      <c r="AB8" s="177" t="e">
        <f t="shared" ref="AB8" ca="1" si="7">IF(AND(I8&gt;23,I8&lt;40),0,AA8*J8)</f>
        <v>#VALUE!</v>
      </c>
      <c r="AC8" s="167" t="e">
        <f ca="1">OFFSET(Setup!$F$1,MATCH(D8,INDIRECT("Setup!B1:B100"),0)-1,0)</f>
        <v>#N/A</v>
      </c>
      <c r="AD8" s="178" t="str">
        <f t="shared" ref="AD8" ca="1" si="8">IF(OR(Z8=0,AU8=0,AH8=0),"",CONCATENATE(AL8,"-",D8,IF(AC8&gt;1,"","-"),IF(AC8&gt;1,"",F8),"-",$AU$7))</f>
        <v/>
      </c>
      <c r="AE8" s="169"/>
      <c r="AH8" s="179">
        <f ca="1">AU8*(IF(OR(D8="",E8=""),0,MATCH(D8,INDIRECT("Setup!B1:B100"),0)*100000000+IF(AC8=1,(MATCH(F8,Lists!$I$16:$I$32,0)),0)*1000000+IF(Z8=0,0,IF(AC8=1,AN8*1000,IF(AC8=2,AA8,AB8))+IF(AC8=1,AP8+AQ8/1000,0))))</f>
        <v>0</v>
      </c>
      <c r="AI8" s="128" t="e">
        <f t="shared" ref="AI8" ca="1" si="9">RANK(AH8,INDIRECT("AH1:AH200"),0)</f>
        <v>#VALUE!</v>
      </c>
      <c r="AJ8" s="128">
        <f t="shared" ref="AJ8" ca="1" si="10">INT(AH8/1000000)</f>
        <v>0</v>
      </c>
      <c r="AK8" s="128" t="e">
        <f t="shared" ref="AK8" ca="1" si="11">RANK(AJ8,INDIRECT("AJ1:AJ200"),0)</f>
        <v>#VALUE!</v>
      </c>
      <c r="AL8" s="128" t="e">
        <f t="shared" ref="AL8" ca="1" si="12">AI8-AK8+1</f>
        <v>#VALUE!</v>
      </c>
      <c r="AN8" s="180" t="e">
        <f t="shared" ref="AN8" ca="1" si="13">RANK(Z8,INDIRECT("Z1:Z200"),-1)</f>
        <v>#VALUE!</v>
      </c>
      <c r="AO8" s="180">
        <f t="shared" ref="AO8" si="14">E8</f>
        <v>0</v>
      </c>
      <c r="AP8" s="180">
        <f t="shared" ref="AP8" ca="1" si="15">RANK(AO8,INDIRECT("AO1:AO200"))</f>
        <v>35</v>
      </c>
      <c r="AQ8" s="180">
        <f t="shared" ref="AQ8" ca="1" si="16">RANK(BZ8,INDIRECT("BZ:BZ"),-1)</f>
        <v>1</v>
      </c>
      <c r="AU8" s="180">
        <f t="shared" ref="AU8" ca="1" si="17">IF(ISERROR(FIND($AU$7,AE8)),0,1)</f>
        <v>0</v>
      </c>
      <c r="AW8" s="180"/>
      <c r="AX8" s="182"/>
      <c r="AY8" s="182"/>
      <c r="AZ8" s="182"/>
      <c r="BA8" s="128" t="e">
        <f t="shared" ref="BA8" si="18">HLOOKUP($A8,$BA$1:$BH$2,2,FALSE)</f>
        <v>#N/A</v>
      </c>
      <c r="BB8" s="118" t="str">
        <f t="shared" ref="BB8" ca="1" si="19">IF(OR(INDIRECT(ADDRESS(ROW(BB8),$BB$4))="",INDIRECT(ADDRESS(ROW(BB8),$BB$4))=0),"",ABS(INDIRECT(ADDRESS(ROW(BB8),$BB$4)))+0.0001*INDIRECT(ADDRESS(ROW(BB8),7)))</f>
        <v/>
      </c>
      <c r="BL8" s="118">
        <v>0</v>
      </c>
      <c r="BM8" s="118">
        <v>0</v>
      </c>
      <c r="BN8" s="118">
        <v>0</v>
      </c>
      <c r="BQ8" s="118">
        <v>0</v>
      </c>
      <c r="BR8" s="118">
        <v>0</v>
      </c>
      <c r="BS8" s="118">
        <v>0</v>
      </c>
      <c r="BV8" s="118">
        <v>0</v>
      </c>
      <c r="BW8" s="118">
        <v>0</v>
      </c>
      <c r="BX8" s="118">
        <v>0</v>
      </c>
      <c r="BY8" s="183">
        <f t="shared" ref="BY8" si="20">IF(BX8=1,3,IF(BW8=1,2,IF(BV8=1,1,0)))</f>
        <v>0</v>
      </c>
      <c r="BZ8" s="183">
        <f t="shared" ref="BZ8" ca="1" si="21">IF($AU$7="SQ",BO8,IF($AU$7="BP",BT8,BY8))</f>
        <v>0</v>
      </c>
    </row>
    <row r="9" spans="1:125" ht="19.5" customHeight="1" x14ac:dyDescent="0.2">
      <c r="A9" s="167" t="s">
        <v>23</v>
      </c>
      <c r="B9" s="168" t="s">
        <v>271</v>
      </c>
      <c r="C9" s="168" t="s">
        <v>245</v>
      </c>
      <c r="D9" s="169" t="s">
        <v>212</v>
      </c>
      <c r="E9" s="169">
        <v>94</v>
      </c>
      <c r="F9" s="169" t="str">
        <f>IF(LEFT(D9,1)="M",VLOOKUP(IF($E$7="Bwt (kg)",E9,E9/2.2046),Lists!$B$16:$D$24,IF(ISERROR(FIND("J",D9)),3,2)),VLOOKUP(IF($E$7="Bwt (kg)",E9,E9/2.2046),Lists!$B$26:$D$33,IF(ISERROR(FIND("J",D9)),3,2)))</f>
        <v>84+</v>
      </c>
      <c r="G9" s="169">
        <v>4</v>
      </c>
      <c r="H9" s="170">
        <f>IF(AND(VALUE(E9)&gt;0,OR(LEFT(D9,1)="M",LEFT(D9,1)="F")),IF(LEFT(D9,1)="M",Wilks_Men(IF(RIGHT($F$7,4)="(lb)",E9/2.2046,E9)),Wilks_Women(IF(RIGHT($F$7,4)="(lb)",E9/2.2046,E9))),0)</f>
        <v>0.84960001707077026</v>
      </c>
      <c r="I9" s="307">
        <v>31686</v>
      </c>
      <c r="J9" s="128">
        <f ca="1">IF(I9,VLOOKUP(INT((NOW()-I9)/365.25),DATA!$A$2:$B$53,2,TRUE),0)</f>
        <v>1</v>
      </c>
      <c r="K9" s="169">
        <v>14</v>
      </c>
      <c r="L9" s="308">
        <v>75</v>
      </c>
      <c r="M9" s="308">
        <v>80</v>
      </c>
      <c r="N9" s="308">
        <v>85</v>
      </c>
      <c r="O9" s="173">
        <f>IF(MAX(BL9:BN9)&gt;0,MAX(ABS(L9)*BL9,ABS(M9)*BM9,ABS(N9)*BN9),"")</f>
        <v>85</v>
      </c>
      <c r="P9" s="174" t="s">
        <v>272</v>
      </c>
      <c r="Q9" s="308">
        <v>85</v>
      </c>
      <c r="R9" s="316">
        <v>-90</v>
      </c>
      <c r="S9" s="308">
        <v>90</v>
      </c>
      <c r="T9" s="173">
        <f>IF(MAX(BQ9:BS9)&gt;0,MAX(ABS(Q9)*BQ9,ABS(R9)*BR9,ABS(S9)*BS9),0)</f>
        <v>90</v>
      </c>
      <c r="U9" s="173">
        <f>IF(OR(O9="",T9=""),"",O9+T9)</f>
        <v>175</v>
      </c>
      <c r="V9" s="308">
        <v>115</v>
      </c>
      <c r="W9" s="319">
        <v>125</v>
      </c>
      <c r="X9" s="308">
        <v>132.5</v>
      </c>
      <c r="Y9" s="176">
        <f>IF(MAX(BV9:BX9)&gt;0,MAX(ABS(V9)*BV9,ABS(W9)*BW9,ABS(X9)*BX9),"")</f>
        <v>132.5</v>
      </c>
      <c r="Z9" s="173">
        <f ca="1">IF(AE9=$AU$7,IF($AU$7="SQ",O9,IF($AU$7="BP",T9,IF($AU$7="DL",Y9,IF($AU$7="PP",IF(OR(T9="",Y9=""),"",T9+Y9),IF(OR($U9="",$Y9=""),"",$O9+$T9+$Y9))))),"")</f>
        <v>307.5</v>
      </c>
      <c r="AA9" s="274">
        <f ca="1">IF(AE9="BP",IF(T9&gt;1,T9*H9,""),IF(Z9="","",Z9*H9))</f>
        <v>261.25200524926186</v>
      </c>
      <c r="AB9" s="177">
        <f ca="1">IF(AND(I9&gt;23,I9&lt;40),0,AA9*J9)</f>
        <v>261.25200524926186</v>
      </c>
      <c r="AC9" s="167">
        <f ca="1">OFFSET(Setup!$F$1,MATCH(D9,INDIRECT("Setup!B1:B100"),0)-1,0)</f>
        <v>2</v>
      </c>
      <c r="AD9" s="178" t="e">
        <f ca="1">IF(OR(Z9=0,AU9=0,AH9=0),"",CONCATENATE(AL9,"-",D9,IF(AC9&gt;1,"","-"),IF(AC9&gt;1,"",F9),"-",$AU$7))</f>
        <v>#VALUE!</v>
      </c>
      <c r="AE9" s="169" t="s">
        <v>109</v>
      </c>
      <c r="AH9" s="179">
        <f ca="1">AU9*(IF(OR(D9="",E9=""),0,MATCH(D9,INDIRECT("Setup!B1:B100"),0)*100000000+IF(AC9=1,(MATCH(F9,Lists!$I$16:$I$32,0)),0)*1000000+IF(Z9=0,0,IF(AC9=1,AN9*1000,IF(AC9=2,AA9,AB9))+IF(AC9=1,AP9+AQ9/1000,0))))</f>
        <v>1300000261.2520053</v>
      </c>
      <c r="AI9" s="128" t="e">
        <f ca="1">RANK(AH9,INDIRECT("AH1:AH200"),0)</f>
        <v>#VALUE!</v>
      </c>
      <c r="AJ9" s="128">
        <f ca="1">INT(AH9/1000000)</f>
        <v>1300</v>
      </c>
      <c r="AK9" s="128" t="e">
        <f ca="1">RANK(AJ9,INDIRECT("AJ1:AJ200"),0)</f>
        <v>#VALUE!</v>
      </c>
      <c r="AL9" s="128" t="e">
        <f ca="1">AI9-AK9+1</f>
        <v>#VALUE!</v>
      </c>
      <c r="AN9" s="180">
        <f ca="1">RANK(Z9,INDIRECT("Z1:Z200"),-1)</f>
        <v>3</v>
      </c>
      <c r="AO9" s="180">
        <f>E9</f>
        <v>94</v>
      </c>
      <c r="AP9" s="180">
        <f ca="1">RANK(AO9,INDIRECT("AO1:AO200"))</f>
        <v>11</v>
      </c>
      <c r="AQ9" s="180">
        <f ca="1">RANK(BZ9,INDIRECT("BZ:BZ"),-1)</f>
        <v>16</v>
      </c>
      <c r="AU9" s="180">
        <f ca="1">IF(ISERROR(FIND($AU$7,AE9)),0,1)</f>
        <v>1</v>
      </c>
      <c r="AW9" s="180"/>
      <c r="AX9" s="182"/>
      <c r="AY9" s="182"/>
      <c r="AZ9" s="182"/>
      <c r="BA9" s="128">
        <f>HLOOKUP($A9,$BA$1:$BH$2,2,FALSE)</f>
        <v>0</v>
      </c>
      <c r="BB9" s="118">
        <f ca="1">IF(OR(INDIRECT(ADDRESS(ROW(BB9),$BB$4))="",INDIRECT(ADDRESS(ROW(BB9),$BB$4))=0),"",ABS(INDIRECT(ADDRESS(ROW(BB9),$BB$4)))+0.0001*INDIRECT(ADDRESS(ROW(BB9),7)))</f>
        <v>75.000399999999999</v>
      </c>
      <c r="BL9" s="118">
        <v>1</v>
      </c>
      <c r="BM9" s="118">
        <v>1</v>
      </c>
      <c r="BN9" s="118">
        <v>1</v>
      </c>
      <c r="BO9" s="183">
        <v>43240.433553240742</v>
      </c>
      <c r="BQ9" s="118">
        <v>1</v>
      </c>
      <c r="BR9" s="118">
        <v>-1</v>
      </c>
      <c r="BS9" s="118">
        <v>1</v>
      </c>
      <c r="BT9" s="183">
        <v>43240.488761574074</v>
      </c>
      <c r="BV9" s="118">
        <v>1</v>
      </c>
      <c r="BW9" s="118">
        <v>1</v>
      </c>
      <c r="BX9" s="118">
        <v>1</v>
      </c>
      <c r="BY9" s="183">
        <v>43240.526435185187</v>
      </c>
      <c r="BZ9" s="183">
        <f ca="1">IF($AU$7="SQ",BO9,IF($AU$7="BP",BT9,BY9))</f>
        <v>43240.526435185187</v>
      </c>
      <c r="CA9" s="309">
        <v>0.52712962962962961</v>
      </c>
    </row>
    <row r="10" spans="1:125" ht="19.5" customHeight="1" x14ac:dyDescent="0.2">
      <c r="A10" s="167" t="s">
        <v>23</v>
      </c>
      <c r="B10" s="168" t="s">
        <v>273</v>
      </c>
      <c r="C10" s="168" t="s">
        <v>200</v>
      </c>
      <c r="D10" s="169" t="s">
        <v>212</v>
      </c>
      <c r="E10" s="169">
        <v>48.4</v>
      </c>
      <c r="F10" s="169">
        <f>IF(LEFT(D10,1)="M",VLOOKUP(IF($E$7="Bwt (kg)",E10,E10/2.2046),Lists!$B$16:$D$24,IF(ISERROR(FIND("J",D10)),3,2)),VLOOKUP(IF($E$7="Bwt (kg)",E10,E10/2.2046),Lists!$B$26:$D$33,IF(ISERROR(FIND("J",D10)),3,2)))</f>
        <v>52</v>
      </c>
      <c r="G10" s="169">
        <v>5</v>
      </c>
      <c r="H10" s="170">
        <f>IF(AND(VALUE(E10)&gt;0,OR(LEFT(D10,1)="M",LEFT(D10,1)="F")),IF(LEFT(D10,1)="M",Wilks_Men(IF(RIGHT($F$7,4)="(lb)",E10/2.2046,E10)),Wilks_Women(IF(RIGHT($F$7,4)="(lb)",E10/2.2046,E10))),0)</f>
        <v>1.3163000345230103</v>
      </c>
      <c r="I10" s="307">
        <v>34372</v>
      </c>
      <c r="J10" s="128">
        <f ca="1">IF(I10,VLOOKUP(INT((NOW()-I10)/365.25),DATA!$A$2:$B$53,2,TRUE),0)</f>
        <v>1</v>
      </c>
      <c r="K10" s="169">
        <v>5</v>
      </c>
      <c r="L10" s="308">
        <v>100</v>
      </c>
      <c r="M10" s="308">
        <v>105</v>
      </c>
      <c r="N10" s="316">
        <v>-107.5</v>
      </c>
      <c r="O10" s="173">
        <f>IF(MAX(BL10:BN10)&gt;0,MAX(ABS(L10)*BL10,ABS(M10)*BM10,ABS(N10)*BN10),"")</f>
        <v>105</v>
      </c>
      <c r="P10" s="174" t="s">
        <v>274</v>
      </c>
      <c r="Q10" s="308">
        <v>55</v>
      </c>
      <c r="R10" s="308">
        <v>60</v>
      </c>
      <c r="S10" s="316">
        <v>-62.5</v>
      </c>
      <c r="T10" s="173">
        <f>IF(MAX(BQ10:BS10)&gt;0,MAX(ABS(Q10)*BQ10,ABS(R10)*BR10,ABS(S10)*BS10),0)</f>
        <v>60</v>
      </c>
      <c r="U10" s="173">
        <f>IF(OR(O10="",T10=""),"",O10+T10)</f>
        <v>165</v>
      </c>
      <c r="V10" s="308">
        <v>120</v>
      </c>
      <c r="W10" s="320">
        <v>-125</v>
      </c>
      <c r="X10" s="310"/>
      <c r="Y10" s="176">
        <f>IF(MAX(BV10:BX10)&gt;0,MAX(ABS(V10)*BV10,ABS(W10)*BW10,ABS(X10)*BX10),"")</f>
        <v>120</v>
      </c>
      <c r="Z10" s="173">
        <f ca="1">IF(AE10=$AU$7,IF($AU$7="SQ",O10,IF($AU$7="BP",T10,IF($AU$7="DL",Y10,IF($AU$7="PP",IF(OR(T10="",Y10=""),"",T10+Y10),IF(OR($U10="",$Y10=""),"",$O10+$T10+$Y10))))),"")</f>
        <v>285</v>
      </c>
      <c r="AA10" s="274">
        <f ca="1">IF(AE10="BP",IF(T10&gt;1,T10*H10,""),IF(Z10="","",Z10*H10))</f>
        <v>375.14550983905792</v>
      </c>
      <c r="AB10" s="177">
        <f ca="1">IF(AND(I10&gt;23,I10&lt;40),0,AA10*J10)</f>
        <v>375.14550983905792</v>
      </c>
      <c r="AC10" s="167">
        <f ca="1">OFFSET(Setup!$F$1,MATCH(D10,INDIRECT("Setup!B1:B100"),0)-1,0)</f>
        <v>2</v>
      </c>
      <c r="AD10" s="178" t="e">
        <f ca="1">IF(OR(Z10=0,AU10=0,AH10=0),"",CONCATENATE(AL10,"-",D10,IF(AC10&gt;1,"","-"),IF(AC10&gt;1,"",F10),"-",$AU$7))</f>
        <v>#VALUE!</v>
      </c>
      <c r="AE10" s="169" t="s">
        <v>109</v>
      </c>
      <c r="AH10" s="179">
        <f ca="1">AU10*(IF(OR(D10="",E10=""),0,MATCH(D10,INDIRECT("Setup!B1:B100"),0)*100000000+IF(AC10=1,(MATCH(F10,Lists!$I$16:$I$32,0)),0)*1000000+IF(Z10=0,0,IF(AC10=1,AN10*1000,IF(AC10=2,AA10,AB10))+IF(AC10=1,AP10+AQ10/1000,0))))</f>
        <v>1300000375.1455097</v>
      </c>
      <c r="AI10" s="128" t="e">
        <f ca="1">RANK(AH10,INDIRECT("AH1:AH200"),0)</f>
        <v>#VALUE!</v>
      </c>
      <c r="AJ10" s="128">
        <f ca="1">INT(AH10/1000000)</f>
        <v>1300</v>
      </c>
      <c r="AK10" s="128" t="e">
        <f ca="1">RANK(AJ10,INDIRECT("AJ1:AJ200"),0)</f>
        <v>#VALUE!</v>
      </c>
      <c r="AL10" s="128" t="e">
        <f ca="1">AI10-AK10+1</f>
        <v>#VALUE!</v>
      </c>
      <c r="AN10" s="180">
        <f ca="1">RANK(Z10,INDIRECT("Z1:Z200"),-1)</f>
        <v>1</v>
      </c>
      <c r="AO10" s="180">
        <f>E10</f>
        <v>48.4</v>
      </c>
      <c r="AP10" s="180">
        <f ca="1">RANK(AO10,INDIRECT("AO1:AO200"))</f>
        <v>34</v>
      </c>
      <c r="AQ10" s="180">
        <f ca="1">RANK(BZ10,INDIRECT("BZ:BZ"),-1)</f>
        <v>10</v>
      </c>
      <c r="AU10" s="180">
        <f ca="1">IF(ISERROR(FIND($AU$7,AE10)),0,1)</f>
        <v>1</v>
      </c>
      <c r="AW10" s="180"/>
      <c r="AX10" s="182"/>
      <c r="AY10" s="182"/>
      <c r="AZ10" s="182"/>
      <c r="BA10" s="128">
        <f>HLOOKUP($A10,$BA$1:$BH$2,2,FALSE)</f>
        <v>0</v>
      </c>
      <c r="BB10" s="118">
        <f ca="1">IF(OR(INDIRECT(ADDRESS(ROW(BB10),$BB$4))="",INDIRECT(ADDRESS(ROW(BB10),$BB$4))=0),"",ABS(INDIRECT(ADDRESS(ROW(BB10),$BB$4)))+0.0001*INDIRECT(ADDRESS(ROW(BB10),7)))</f>
        <v>100.0005</v>
      </c>
      <c r="BL10" s="118">
        <v>1</v>
      </c>
      <c r="BM10" s="118">
        <v>1</v>
      </c>
      <c r="BN10" s="118">
        <v>-1</v>
      </c>
      <c r="BO10" s="183">
        <v>43240.426921296297</v>
      </c>
      <c r="BQ10" s="118">
        <v>1</v>
      </c>
      <c r="BR10" s="118">
        <v>1</v>
      </c>
      <c r="BS10" s="118">
        <v>-1</v>
      </c>
      <c r="BT10" s="183">
        <v>43240.474548611113</v>
      </c>
      <c r="BV10" s="118">
        <v>1</v>
      </c>
      <c r="BW10" s="118">
        <v>-1</v>
      </c>
      <c r="BX10" s="118">
        <v>0</v>
      </c>
      <c r="BY10" s="183">
        <v>43240.514270833337</v>
      </c>
      <c r="BZ10" s="183">
        <f ca="1">IF($AU$7="SQ",BO10,IF($AU$7="BP",BT10,BY10))</f>
        <v>43240.514270833337</v>
      </c>
      <c r="CA10" s="309">
        <v>0.52098379629629632</v>
      </c>
    </row>
    <row r="11" spans="1:125" ht="19.5" customHeight="1" x14ac:dyDescent="0.2">
      <c r="A11" s="167" t="s">
        <v>23</v>
      </c>
      <c r="B11" s="168" t="s">
        <v>277</v>
      </c>
      <c r="C11" s="168" t="s">
        <v>183</v>
      </c>
      <c r="D11" s="169" t="s">
        <v>212</v>
      </c>
      <c r="E11" s="169">
        <v>84.85</v>
      </c>
      <c r="F11" s="169" t="str">
        <f>IF(LEFT(D11,1)="M",VLOOKUP(IF($E$7="Bwt (kg)",E11,E11/2.2046),Lists!$B$16:$D$24,IF(ISERROR(FIND("J",D11)),3,2)),VLOOKUP(IF($E$7="Bwt (kg)",E11,E11/2.2046),Lists!$B$26:$D$33,IF(ISERROR(FIND("J",D11)),3,2)))</f>
        <v>84+</v>
      </c>
      <c r="G11" s="169">
        <v>6</v>
      </c>
      <c r="H11" s="170">
        <f>IF(AND(VALUE(E11)&gt;0,OR(LEFT(D11,1)="M",LEFT(D11,1)="F")),IF(LEFT(D11,1)="M",Wilks_Men(IF(RIGHT($F$7,4)="(lb)",E11/2.2046,E11)),Wilks_Women(IF(RIGHT($F$7,4)="(lb)",E11/2.2046,E11))),0)</f>
        <v>0.88730001449584961</v>
      </c>
      <c r="I11" s="307">
        <v>31780</v>
      </c>
      <c r="J11" s="128">
        <f ca="1">IF(I11,VLOOKUP(INT((NOW()-I11)/365.25),DATA!$A$2:$B$53,2,TRUE),0)</f>
        <v>1</v>
      </c>
      <c r="K11" s="169">
        <v>14</v>
      </c>
      <c r="L11" s="308">
        <v>100</v>
      </c>
      <c r="M11" s="316">
        <v>-110</v>
      </c>
      <c r="N11" s="316">
        <v>-110</v>
      </c>
      <c r="O11" s="173">
        <f>IF(MAX(BL11:BN11)&gt;0,MAX(ABS(L11)*BL11,ABS(M11)*BM11,ABS(N11)*BN11),"")</f>
        <v>100</v>
      </c>
      <c r="P11" s="174" t="s">
        <v>278</v>
      </c>
      <c r="Q11" s="308">
        <v>65</v>
      </c>
      <c r="R11" s="308">
        <v>70</v>
      </c>
      <c r="S11" s="316">
        <v>-72.5</v>
      </c>
      <c r="T11" s="173">
        <f>IF(MAX(BQ11:BS11)&gt;0,MAX(ABS(Q11)*BQ11,ABS(R11)*BR11,ABS(S11)*BS11),0)</f>
        <v>70</v>
      </c>
      <c r="U11" s="173">
        <f>IF(OR(O11="",T11=""),"",O11+T11)</f>
        <v>170</v>
      </c>
      <c r="V11" s="308">
        <v>120</v>
      </c>
      <c r="W11" s="319">
        <v>130</v>
      </c>
      <c r="X11" s="316">
        <v>-132.5</v>
      </c>
      <c r="Y11" s="176">
        <f>IF(MAX(BV11:BX11)&gt;0,MAX(ABS(V11)*BV11,ABS(W11)*BW11,ABS(X11)*BX11),"")</f>
        <v>130</v>
      </c>
      <c r="Z11" s="173">
        <f ca="1">IF(AE11=$AU$7,IF($AU$7="SQ",O11,IF($AU$7="BP",T11,IF($AU$7="DL",Y11,IF($AU$7="PP",IF(OR(T11="",Y11=""),"",T11+Y11),IF(OR($U11="",$Y11=""),"",$O11+$T11+$Y11))))),"")</f>
        <v>300</v>
      </c>
      <c r="AA11" s="274">
        <f ca="1">IF(AE11="BP",IF(T11&gt;1,T11*H11,""),IF(Z11="","",Z11*H11))</f>
        <v>266.19000434875488</v>
      </c>
      <c r="AB11" s="177">
        <f ca="1">IF(AND(I11&gt;23,I11&lt;40),0,AA11*J11)</f>
        <v>266.19000434875488</v>
      </c>
      <c r="AC11" s="167">
        <f ca="1">OFFSET(Setup!$F$1,MATCH(D11,INDIRECT("Setup!B1:B100"),0)-1,0)</f>
        <v>2</v>
      </c>
      <c r="AD11" s="178" t="e">
        <f ca="1">IF(OR(Z11=0,AU11=0,AH11=0),"",CONCATENATE(AL11,"-",D11,IF(AC11&gt;1,"","-"),IF(AC11&gt;1,"",F11),"-",$AU$7))</f>
        <v>#VALUE!</v>
      </c>
      <c r="AE11" s="169" t="s">
        <v>109</v>
      </c>
      <c r="AH11" s="179">
        <f ca="1">AU11*(IF(OR(D11="",E11=""),0,MATCH(D11,INDIRECT("Setup!B1:B100"),0)*100000000+IF(AC11=1,(MATCH(F11,Lists!$I$16:$I$32,0)),0)*1000000+IF(Z11=0,0,IF(AC11=1,AN11*1000,IF(AC11=2,AA11,AB11))+IF(AC11=1,AP11+AQ11/1000,0))))</f>
        <v>1300000266.1900043</v>
      </c>
      <c r="AI11" s="128" t="e">
        <f ca="1">RANK(AH11,INDIRECT("AH1:AH200"),0)</f>
        <v>#VALUE!</v>
      </c>
      <c r="AJ11" s="128">
        <f ca="1">INT(AH11/1000000)</f>
        <v>1300</v>
      </c>
      <c r="AK11" s="128" t="e">
        <f ca="1">RANK(AJ11,INDIRECT("AJ1:AJ200"),0)</f>
        <v>#VALUE!</v>
      </c>
      <c r="AL11" s="128" t="e">
        <f ca="1">AI11-AK11+1</f>
        <v>#VALUE!</v>
      </c>
      <c r="AN11" s="180">
        <f ca="1">RANK(Z11,INDIRECT("Z1:Z200"),-1)</f>
        <v>2</v>
      </c>
      <c r="AO11" s="180">
        <f>E11</f>
        <v>84.85</v>
      </c>
      <c r="AP11" s="180">
        <f ca="1">RANK(AO11,INDIRECT("AO1:AO200"))</f>
        <v>16</v>
      </c>
      <c r="AQ11" s="180">
        <f ca="1">RANK(BZ11,INDIRECT("BZ:BZ"),-1)</f>
        <v>12</v>
      </c>
      <c r="AU11" s="180">
        <f ca="1">IF(ISERROR(FIND($AU$7,AE11)),0,1)</f>
        <v>1</v>
      </c>
      <c r="AW11" s="180"/>
      <c r="AX11" s="182"/>
      <c r="AY11" s="182"/>
      <c r="AZ11" s="182"/>
      <c r="BA11" s="128">
        <f>HLOOKUP($A11,$BA$1:$BH$2,2,FALSE)</f>
        <v>0</v>
      </c>
      <c r="BB11" s="118">
        <f ca="1">IF(OR(INDIRECT(ADDRESS(ROW(BB11),$BB$4))="",INDIRECT(ADDRESS(ROW(BB11),$BB$4))=0),"",ABS(INDIRECT(ADDRESS(ROW(BB11),$BB$4)))+0.0001*INDIRECT(ADDRESS(ROW(BB11),7)))</f>
        <v>100.00060000000001</v>
      </c>
      <c r="BL11" s="118">
        <v>1</v>
      </c>
      <c r="BM11" s="118">
        <v>-1</v>
      </c>
      <c r="BN11" s="118">
        <v>-1</v>
      </c>
      <c r="BO11" s="183">
        <v>43240.420081018521</v>
      </c>
      <c r="BQ11" s="118">
        <v>1</v>
      </c>
      <c r="BR11" s="118">
        <v>1</v>
      </c>
      <c r="BS11" s="118">
        <v>-1</v>
      </c>
      <c r="BT11" s="183">
        <v>43240.47760416667</v>
      </c>
      <c r="BV11" s="118">
        <v>1</v>
      </c>
      <c r="BW11" s="118">
        <v>1</v>
      </c>
      <c r="BX11" s="118">
        <v>-1</v>
      </c>
      <c r="BY11" s="183">
        <v>43240.520972222221</v>
      </c>
      <c r="BZ11" s="183">
        <f ca="1">IF($AU$7="SQ",BO11,IF($AU$7="BP",BT11,BY11))</f>
        <v>43240.520972222221</v>
      </c>
      <c r="CA11" s="309">
        <v>0.52785879629629628</v>
      </c>
    </row>
    <row r="12" spans="1:125" ht="19.5" customHeight="1" x14ac:dyDescent="0.2">
      <c r="A12" s="167" t="s">
        <v>23</v>
      </c>
      <c r="B12" s="168" t="s">
        <v>283</v>
      </c>
      <c r="C12" s="168" t="s">
        <v>245</v>
      </c>
      <c r="D12" s="169" t="s">
        <v>212</v>
      </c>
      <c r="E12" s="169">
        <v>64.55</v>
      </c>
      <c r="F12" s="169">
        <f>IF(LEFT(D12,1)="M",VLOOKUP(IF($E$7="Bwt (kg)",E12,E12/2.2046),Lists!$B$16:$D$24,IF(ISERROR(FIND("J",D12)),3,2)),VLOOKUP(IF($E$7="Bwt (kg)",E12,E12/2.2046),Lists!$B$26:$D$33,IF(ISERROR(FIND("J",D12)),3,2)))</f>
        <v>72</v>
      </c>
      <c r="G12" s="169">
        <v>9</v>
      </c>
      <c r="H12" s="170">
        <f>IF(AND(VALUE(E12)&gt;0,OR(LEFT(D12,1)="M",LEFT(D12,1)="F")),IF(LEFT(D12,1)="M",Wilks_Men(IF(RIGHT($F$7,4)="(lb)",E12/2.2046,E12)),Wilks_Women(IF(RIGHT($F$7,4)="(lb)",E12/2.2046,E12))),0)</f>
        <v>1.0544999837875366</v>
      </c>
      <c r="I12" s="307">
        <v>31697</v>
      </c>
      <c r="J12" s="128">
        <f ca="1">IF(I12,VLOOKUP(INT((NOW()-I12)/365.25),DATA!$A$2:$B$53,2,TRUE),0)</f>
        <v>1</v>
      </c>
      <c r="K12" s="169">
        <v>9</v>
      </c>
      <c r="L12" s="316">
        <v>-100</v>
      </c>
      <c r="M12" s="316">
        <v>-110</v>
      </c>
      <c r="N12" s="316">
        <v>-110</v>
      </c>
      <c r="O12" s="173" t="str">
        <f>IF(MAX(BL12:BN12)&gt;0,MAX(ABS(L12)*BL12,ABS(M12)*BM12,ABS(N12)*BN12),"")</f>
        <v/>
      </c>
      <c r="P12" s="317" t="s">
        <v>286</v>
      </c>
      <c r="Q12" s="308">
        <v>40</v>
      </c>
      <c r="R12" s="316">
        <v>-45</v>
      </c>
      <c r="S12" s="316">
        <v>-45</v>
      </c>
      <c r="T12" s="173">
        <f>IF(MAX(BQ12:BS12)&gt;0,MAX(ABS(Q12)*BQ12,ABS(R12)*BR12,ABS(S12)*BS12),0)</f>
        <v>40</v>
      </c>
      <c r="U12" s="173" t="str">
        <f>IF(OR(O12="",T12=""),"",O12+T12)</f>
        <v/>
      </c>
      <c r="V12" s="308">
        <v>122.5</v>
      </c>
      <c r="W12" s="319">
        <v>132.5</v>
      </c>
      <c r="X12" s="316">
        <v>-140</v>
      </c>
      <c r="Y12" s="176">
        <f>IF(MAX(BV12:BX12)&gt;0,MAX(ABS(V12)*BV12,ABS(W12)*BW12,ABS(X12)*BX12),"")</f>
        <v>132.5</v>
      </c>
      <c r="Z12" s="173" t="str">
        <f ca="1">IF(AE12=$AU$7,IF($AU$7="SQ",O12,IF($AU$7="BP",T12,IF($AU$7="DL",Y12,IF($AU$7="PP",IF(OR(T12="",Y12=""),"",T12+Y12),IF(OR($U12="",$Y12=""),"",$O12+$T12+$Y12))))),"")</f>
        <v/>
      </c>
      <c r="AA12" s="274" t="str">
        <f ca="1">IF(AE12="BP",IF(T12&gt;1,T12*H12,""),IF(Z12="","",Z12*H12))</f>
        <v/>
      </c>
      <c r="AB12" s="177" t="e">
        <f ca="1">IF(AND(I12&gt;23,I12&lt;40),0,AA12*J12)</f>
        <v>#VALUE!</v>
      </c>
      <c r="AC12" s="167">
        <f ca="1">OFFSET(Setup!$F$1,MATCH(D12,INDIRECT("Setup!B1:B100"),0)-1,0)</f>
        <v>2</v>
      </c>
      <c r="AD12" s="178" t="e">
        <f ca="1">IF(OR(Z12=0,AU12=0,AH12=0),"",CONCATENATE(AL12,"-",D12,IF(AC12&gt;1,"","-"),IF(AC12&gt;1,"",F12),"-",$AU$7))</f>
        <v>#VALUE!</v>
      </c>
      <c r="AE12" s="169" t="s">
        <v>109</v>
      </c>
      <c r="AH12" s="179" t="e">
        <f ca="1">AU12*(IF(OR(D12="",E12=""),0,MATCH(D12,INDIRECT("Setup!B1:B100"),0)*100000000+IF(AC12=1,(MATCH(F12,Lists!$I$16:$I$32,0)),0)*1000000+IF(Z12=0,0,IF(AC12=1,AN12*1000,IF(AC12=2,AA12,AB12))+IF(AC12=1,AP12+AQ12/1000,0))))</f>
        <v>#VALUE!</v>
      </c>
      <c r="AI12" s="128" t="e">
        <f ca="1">RANK(AH12,INDIRECT("AH1:AH200"),0)</f>
        <v>#VALUE!</v>
      </c>
      <c r="AJ12" s="128" t="e">
        <f ca="1">INT(AH12/1000000)</f>
        <v>#VALUE!</v>
      </c>
      <c r="AK12" s="128" t="e">
        <f ca="1">RANK(AJ12,INDIRECT("AJ1:AJ200"),0)</f>
        <v>#VALUE!</v>
      </c>
      <c r="AL12" s="128" t="e">
        <f ca="1">AI12-AK12+1</f>
        <v>#VALUE!</v>
      </c>
      <c r="AN12" s="180" t="e">
        <f ca="1">RANK(Z12,INDIRECT("Z1:Z200"),-1)</f>
        <v>#VALUE!</v>
      </c>
      <c r="AO12" s="180">
        <f>E12</f>
        <v>64.55</v>
      </c>
      <c r="AP12" s="180">
        <f ca="1">RANK(AO12,INDIRECT("AO1:AO200"))</f>
        <v>29</v>
      </c>
      <c r="AQ12" s="180">
        <f ca="1">RANK(BZ12,INDIRECT("BZ:BZ"),-1)</f>
        <v>13</v>
      </c>
      <c r="AU12" s="180">
        <f ca="1">IF(ISERROR(FIND($AU$7,AE12)),0,1)</f>
        <v>1</v>
      </c>
      <c r="AW12" s="180"/>
      <c r="AX12" s="182"/>
      <c r="AY12" s="182"/>
      <c r="AZ12" s="182"/>
      <c r="BA12" s="128">
        <f>HLOOKUP($A12,$BA$1:$BH$2,2,FALSE)</f>
        <v>0</v>
      </c>
      <c r="BB12" s="118">
        <f ca="1">IF(OR(INDIRECT(ADDRESS(ROW(BB12),$BB$4))="",INDIRECT(ADDRESS(ROW(BB12),$BB$4))=0),"",ABS(INDIRECT(ADDRESS(ROW(BB12),$BB$4)))+0.0001*INDIRECT(ADDRESS(ROW(BB12),7)))</f>
        <v>100.0009</v>
      </c>
      <c r="BL12" s="118">
        <v>-1</v>
      </c>
      <c r="BM12" s="118">
        <v>-1</v>
      </c>
      <c r="BN12" s="118">
        <v>-1</v>
      </c>
      <c r="BQ12" s="118">
        <v>1</v>
      </c>
      <c r="BR12" s="118">
        <v>-1</v>
      </c>
      <c r="BS12" s="118">
        <v>-1</v>
      </c>
      <c r="BT12" s="183">
        <v>43240.466562499998</v>
      </c>
      <c r="BV12" s="118">
        <v>1</v>
      </c>
      <c r="BW12" s="118">
        <v>1</v>
      </c>
      <c r="BX12" s="118">
        <v>-1</v>
      </c>
      <c r="BY12" s="183">
        <v>43240.521458333336</v>
      </c>
      <c r="BZ12" s="183">
        <f ca="1">IF($AU$7="SQ",BO12,IF($AU$7="BP",BT12,BY12))</f>
        <v>43240.521458333336</v>
      </c>
      <c r="CA12" s="309">
        <v>0.52850694444444446</v>
      </c>
    </row>
    <row r="13" spans="1:125" ht="19.5" customHeight="1" x14ac:dyDescent="0.2">
      <c r="A13" s="167" t="s">
        <v>23</v>
      </c>
      <c r="B13" s="168" t="s">
        <v>284</v>
      </c>
      <c r="C13" s="168" t="s">
        <v>243</v>
      </c>
      <c r="D13" s="169" t="s">
        <v>212</v>
      </c>
      <c r="E13" s="169">
        <v>69.900000000000006</v>
      </c>
      <c r="F13" s="169">
        <f>IF(LEFT(D13,1)="M",VLOOKUP(IF($E$7="Bwt (kg)",E13,E13/2.2046),Lists!$B$16:$D$24,IF(ISERROR(FIND("J",D13)),3,2)),VLOOKUP(IF($E$7="Bwt (kg)",E13,E13/2.2046),Lists!$B$26:$D$33,IF(ISERROR(FIND("J",D13)),3,2)))</f>
        <v>72</v>
      </c>
      <c r="G13" s="169">
        <v>10</v>
      </c>
      <c r="H13" s="170">
        <f>IF(AND(VALUE(E13)&gt;0,OR(LEFT(D13,1)="M",LEFT(D13,1)="F")),IF(LEFT(D13,1)="M",Wilks_Men(IF(RIGHT($F$7,4)="(lb)",E13/2.2046,E13)),Wilks_Women(IF(RIGHT($F$7,4)="(lb)",E13/2.2046,E13))),0)</f>
        <v>0.99580001831054688</v>
      </c>
      <c r="I13" s="307">
        <v>34372</v>
      </c>
      <c r="J13" s="128">
        <f ca="1">IF(I13,VLOOKUP(INT((NOW()-I13)/365.25),DATA!$A$2:$B$53,2,TRUE),0)</f>
        <v>1</v>
      </c>
      <c r="K13" s="169">
        <v>15</v>
      </c>
      <c r="L13" s="308">
        <v>100</v>
      </c>
      <c r="M13" s="308">
        <v>110</v>
      </c>
      <c r="N13" s="308">
        <v>115</v>
      </c>
      <c r="O13" s="173">
        <f>IF(MAX(BL13:BN13)&gt;0,MAX(ABS(L13)*BL13,ABS(M13)*BM13,ABS(N13)*BN13),"")</f>
        <v>115</v>
      </c>
      <c r="P13" s="317" t="s">
        <v>285</v>
      </c>
      <c r="Q13" s="308">
        <v>75</v>
      </c>
      <c r="R13" s="308">
        <v>82.5</v>
      </c>
      <c r="S13" s="308">
        <v>87.5</v>
      </c>
      <c r="T13" s="173">
        <f>IF(MAX(BQ13:BS13)&gt;0,MAX(ABS(Q13)*BQ13,ABS(R13)*BR13,ABS(S13)*BS13),0)</f>
        <v>87.5</v>
      </c>
      <c r="U13" s="173">
        <f>IF(OR(O13="",T13=""),"",O13+T13)</f>
        <v>202.5</v>
      </c>
      <c r="V13" s="308">
        <v>125</v>
      </c>
      <c r="W13" s="319">
        <v>135</v>
      </c>
      <c r="X13" s="308">
        <v>140</v>
      </c>
      <c r="Y13" s="176">
        <f>IF(MAX(BV13:BX13)&gt;0,MAX(ABS(V13)*BV13,ABS(W13)*BW13,ABS(X13)*BX13),"")</f>
        <v>140</v>
      </c>
      <c r="Z13" s="173">
        <f ca="1">IF(AE13=$AU$7,IF($AU$7="SQ",O13,IF($AU$7="BP",T13,IF($AU$7="DL",Y13,IF($AU$7="PP",IF(OR(T13="",Y13=""),"",T13+Y13),IF(OR($U13="",$Y13=""),"",$O13+$T13+$Y13))))),"")</f>
        <v>342.5</v>
      </c>
      <c r="AA13" s="274">
        <f ca="1">IF(AE13="BP",IF(T13&gt;1,T13*H13,""),IF(Z13="","",Z13*H13))</f>
        <v>341.0615062713623</v>
      </c>
      <c r="AB13" s="177">
        <f ca="1">IF(AND(I13&gt;23,I13&lt;40),0,AA13*J13)</f>
        <v>341.0615062713623</v>
      </c>
      <c r="AC13" s="167">
        <f ca="1">OFFSET(Setup!$F$1,MATCH(D13,INDIRECT("Setup!B1:B100"),0)-1,0)</f>
        <v>2</v>
      </c>
      <c r="AD13" s="178" t="e">
        <f ca="1">IF(OR(Z13=0,AU13=0,AH13=0),"",CONCATENATE(AL13,"-",D13,IF(AC13&gt;1,"","-"),IF(AC13&gt;1,"",F13),"-",$AU$7))</f>
        <v>#VALUE!</v>
      </c>
      <c r="AE13" s="169" t="s">
        <v>109</v>
      </c>
      <c r="AH13" s="179">
        <f ca="1">AU13*(IF(OR(D13="",E13=""),0,MATCH(D13,INDIRECT("Setup!B1:B100"),0)*100000000+IF(AC13=1,(MATCH(F13,Lists!$I$16:$I$32,0)),0)*1000000+IF(Z13=0,0,IF(AC13=1,AN13*1000,IF(AC13=2,AA13,AB13))+IF(AC13=1,AP13+AQ13/1000,0))))</f>
        <v>1300000341.0615063</v>
      </c>
      <c r="AI13" s="128" t="e">
        <f ca="1">RANK(AH13,INDIRECT("AH1:AH200"),0)</f>
        <v>#VALUE!</v>
      </c>
      <c r="AJ13" s="128">
        <f ca="1">INT(AH13/1000000)</f>
        <v>1300</v>
      </c>
      <c r="AK13" s="128" t="e">
        <f ca="1">RANK(AJ13,INDIRECT("AJ1:AJ200"),0)</f>
        <v>#VALUE!</v>
      </c>
      <c r="AL13" s="128" t="e">
        <f ca="1">AI13-AK13+1</f>
        <v>#VALUE!</v>
      </c>
      <c r="AN13" s="180">
        <f ca="1">RANK(Z13,INDIRECT("Z1:Z200"),-1)</f>
        <v>6</v>
      </c>
      <c r="AO13" s="180">
        <f>E13</f>
        <v>69.900000000000006</v>
      </c>
      <c r="AP13" s="180">
        <f ca="1">RANK(AO13,INDIRECT("AO1:AO200"))</f>
        <v>28</v>
      </c>
      <c r="AQ13" s="180">
        <f ca="1">RANK(BZ13,INDIRECT("BZ:BZ"),-1)</f>
        <v>17</v>
      </c>
      <c r="AU13" s="180">
        <f ca="1">IF(ISERROR(FIND($AU$7,AE13)),0,1)</f>
        <v>1</v>
      </c>
      <c r="AW13" s="180"/>
      <c r="AX13" s="182"/>
      <c r="AY13" s="182"/>
      <c r="AZ13" s="182"/>
      <c r="BA13" s="128">
        <f>HLOOKUP($A13,$BA$1:$BH$2,2,FALSE)</f>
        <v>0</v>
      </c>
      <c r="BB13" s="118">
        <f ca="1">IF(OR(INDIRECT(ADDRESS(ROW(BB13),$BB$4))="",INDIRECT(ADDRESS(ROW(BB13),$BB$4))=0),"",ABS(INDIRECT(ADDRESS(ROW(BB13),$BB$4)))+0.0001*INDIRECT(ADDRESS(ROW(BB13),7)))</f>
        <v>100.001</v>
      </c>
      <c r="BL13" s="118">
        <v>1</v>
      </c>
      <c r="BM13" s="118">
        <v>1</v>
      </c>
      <c r="BN13" s="118">
        <v>1</v>
      </c>
      <c r="BO13" s="183">
        <v>43240.437685185185</v>
      </c>
      <c r="BQ13" s="118">
        <v>1</v>
      </c>
      <c r="BR13" s="118">
        <v>1</v>
      </c>
      <c r="BS13" s="118">
        <v>1</v>
      </c>
      <c r="BT13" s="183">
        <v>43240.487986111111</v>
      </c>
      <c r="BV13" s="118">
        <v>1</v>
      </c>
      <c r="BW13" s="118">
        <v>1</v>
      </c>
      <c r="BX13" s="118">
        <v>1</v>
      </c>
      <c r="BY13" s="183">
        <v>43240.528333333335</v>
      </c>
      <c r="BZ13" s="183">
        <f ca="1">IF($AU$7="SQ",BO13,IF($AU$7="BP",BT13,BY13))</f>
        <v>43240.528333333335</v>
      </c>
      <c r="CA13" s="309">
        <v>0.52902777777777776</v>
      </c>
    </row>
    <row r="14" spans="1:125" ht="19.5" customHeight="1" x14ac:dyDescent="0.2">
      <c r="A14" s="167" t="s">
        <v>23</v>
      </c>
      <c r="B14" s="168" t="s">
        <v>253</v>
      </c>
      <c r="C14" s="168" t="s">
        <v>245</v>
      </c>
      <c r="D14" s="169" t="s">
        <v>212</v>
      </c>
      <c r="E14" s="169">
        <v>70.849999999999994</v>
      </c>
      <c r="F14" s="169">
        <f>IF(LEFT(D14,1)="M",VLOOKUP(IF($E$7="Bwt (kg)",E14,E14/2.2046),Lists!$B$16:$D$24,IF(ISERROR(FIND("J",D14)),3,2)),VLOOKUP(IF($E$7="Bwt (kg)",E14,E14/2.2046),Lists!$B$26:$D$33,IF(ISERROR(FIND("J",D14)),3,2)))</f>
        <v>72</v>
      </c>
      <c r="G14" s="169">
        <v>1</v>
      </c>
      <c r="H14" s="170">
        <f>IF(AND(VALUE(E14)&gt;0,OR(LEFT(D14,1)="M",LEFT(D14,1)="F")),IF(LEFT(D14,1)="M",Wilks_Men(IF(RIGHT($F$7,4)="(lb)",E14/2.2046,E14)),Wilks_Women(IF(RIGHT($F$7,4)="(lb)",E14/2.2046,E14))),0)</f>
        <v>0.98669999837875366</v>
      </c>
      <c r="I14" s="307">
        <v>27192</v>
      </c>
      <c r="J14" s="128">
        <f ca="1">IF(I14,VLOOKUP(INT((NOW()-I14)/365.25),DATA!$A$2:$B$53,2,TRUE),0)</f>
        <v>1.0309999999999999</v>
      </c>
      <c r="K14" s="169">
        <v>11</v>
      </c>
      <c r="L14" s="308">
        <v>105</v>
      </c>
      <c r="M14" s="316">
        <v>-110</v>
      </c>
      <c r="N14" s="308">
        <v>110</v>
      </c>
      <c r="O14" s="173">
        <f>IF(MAX(BL14:BN14)&gt;0,MAX(ABS(L14)*BL14,ABS(M14)*BM14,ABS(N14)*BN14),"")</f>
        <v>110</v>
      </c>
      <c r="P14" s="174" t="s">
        <v>275</v>
      </c>
      <c r="Q14" s="308">
        <v>67.5</v>
      </c>
      <c r="R14" s="308">
        <v>72.5</v>
      </c>
      <c r="S14" s="308">
        <v>77.5</v>
      </c>
      <c r="T14" s="173">
        <f>IF(MAX(BQ14:BS14)&gt;0,MAX(ABS(Q14)*BQ14,ABS(R14)*BR14,ABS(S14)*BS14),0)</f>
        <v>77.5</v>
      </c>
      <c r="U14" s="173">
        <f>IF(OR(O14="",T14=""),"",O14+T14)</f>
        <v>187.5</v>
      </c>
      <c r="V14" s="308">
        <v>130</v>
      </c>
      <c r="W14" s="319">
        <v>140</v>
      </c>
      <c r="X14" s="308">
        <v>150</v>
      </c>
      <c r="Y14" s="176">
        <f>IF(MAX(BV14:BX14)&gt;0,MAX(ABS(V14)*BV14,ABS(W14)*BW14,ABS(X14)*BX14),"")</f>
        <v>150</v>
      </c>
      <c r="Z14" s="173">
        <f ca="1">IF(AE14=$AU$7,IF($AU$7="SQ",O14,IF($AU$7="BP",T14,IF($AU$7="DL",Y14,IF($AU$7="PP",IF(OR(T14="",Y14=""),"",T14+Y14),IF(OR($U14="",$Y14=""),"",$O14+$T14+$Y14))))),"")</f>
        <v>337.5</v>
      </c>
      <c r="AA14" s="274">
        <f ca="1">IF(AE14="BP",IF(T14&gt;1,T14*H14,""),IF(Z14="","",Z14*H14))</f>
        <v>333.01124945282936</v>
      </c>
      <c r="AB14" s="177">
        <f ca="1">IF(AND(I14&gt;23,I14&lt;40),0,AA14*J14)</f>
        <v>343.33459818586704</v>
      </c>
      <c r="AC14" s="167">
        <f ca="1">OFFSET(Setup!$F$1,MATCH(D14,INDIRECT("Setup!B1:B100"),0)-1,0)</f>
        <v>2</v>
      </c>
      <c r="AD14" s="178" t="e">
        <f ca="1">IF(OR(Z14=0,AU14=0,AH14=0),"",CONCATENATE(AL14,"-",D14,IF(AC14&gt;1,"","-"),IF(AC14&gt;1,"",F14),"-",$AU$7))</f>
        <v>#VALUE!</v>
      </c>
      <c r="AE14" s="169" t="s">
        <v>109</v>
      </c>
      <c r="AH14" s="179">
        <f ca="1">AU14*(IF(OR(D14="",E14=""),0,MATCH(D14,INDIRECT("Setup!B1:B100"),0)*100000000+IF(AC14=1,(MATCH(F14,Lists!$I$16:$I$32,0)),0)*1000000+IF(Z14=0,0,IF(AC14=1,AN14*1000,IF(AC14=2,AA14,AB14))+IF(AC14=1,AP14+AQ14/1000,0))))</f>
        <v>1300000333.0112495</v>
      </c>
      <c r="AI14" s="128" t="e">
        <f ca="1">RANK(AH14,INDIRECT("AH1:AH200"),0)</f>
        <v>#VALUE!</v>
      </c>
      <c r="AJ14" s="128">
        <f ca="1">INT(AH14/1000000)</f>
        <v>1300</v>
      </c>
      <c r="AK14" s="128" t="e">
        <f ca="1">RANK(AJ14,INDIRECT("AJ1:AJ200"),0)</f>
        <v>#VALUE!</v>
      </c>
      <c r="AL14" s="128" t="e">
        <f ca="1">AI14-AK14+1</f>
        <v>#VALUE!</v>
      </c>
      <c r="AN14" s="180">
        <f ca="1">RANK(Z14,INDIRECT("Z1:Z200"),-1)</f>
        <v>4</v>
      </c>
      <c r="AO14" s="180">
        <f>E14</f>
        <v>70.849999999999994</v>
      </c>
      <c r="AP14" s="180">
        <f ca="1">RANK(AO14,INDIRECT("AO1:AO200"))</f>
        <v>26</v>
      </c>
      <c r="AQ14" s="180">
        <f ca="1">RANK(BZ14,INDIRECT("BZ:BZ"),-1)</f>
        <v>18</v>
      </c>
      <c r="AU14" s="180">
        <f ca="1">IF(ISERROR(FIND($AU$7,AE14)),0,1)</f>
        <v>1</v>
      </c>
      <c r="AW14" s="180"/>
      <c r="AX14" s="182"/>
      <c r="AY14" s="182"/>
      <c r="AZ14" s="182"/>
      <c r="BA14" s="128">
        <f>HLOOKUP($A14,$BA$1:$BH$2,2,FALSE)</f>
        <v>0</v>
      </c>
      <c r="BB14" s="118">
        <f ca="1">IF(OR(INDIRECT(ADDRESS(ROW(BB14),$BB$4))="",INDIRECT(ADDRESS(ROW(BB14),$BB$4))=0),"",ABS(INDIRECT(ADDRESS(ROW(BB14),$BB$4)))+0.0001*INDIRECT(ADDRESS(ROW(BB14),7)))</f>
        <v>105.0001</v>
      </c>
      <c r="BL14" s="118">
        <v>1</v>
      </c>
      <c r="BM14" s="118">
        <v>-1</v>
      </c>
      <c r="BN14" s="118">
        <v>1</v>
      </c>
      <c r="BO14" s="183">
        <v>43240.435208333336</v>
      </c>
      <c r="BQ14" s="118">
        <v>1</v>
      </c>
      <c r="BR14" s="118">
        <v>1</v>
      </c>
      <c r="BS14" s="118">
        <v>1</v>
      </c>
      <c r="BT14" s="183">
        <v>43240.487291666665</v>
      </c>
      <c r="BV14" s="118">
        <v>1</v>
      </c>
      <c r="BW14" s="118">
        <v>1</v>
      </c>
      <c r="BX14" s="118">
        <v>1</v>
      </c>
      <c r="BY14" s="183">
        <v>43240.529594907406</v>
      </c>
      <c r="BZ14" s="183">
        <f ca="1">IF($AU$7="SQ",BO14,IF($AU$7="BP",BT14,BY14))</f>
        <v>43240.529594907406</v>
      </c>
      <c r="CA14" s="309">
        <v>0.53028935185185189</v>
      </c>
    </row>
    <row r="15" spans="1:125" ht="19.5" customHeight="1" x14ac:dyDescent="0.2">
      <c r="A15" s="167" t="s">
        <v>23</v>
      </c>
      <c r="B15" s="168" t="s">
        <v>254</v>
      </c>
      <c r="C15" s="168" t="s">
        <v>183</v>
      </c>
      <c r="D15" s="169" t="s">
        <v>212</v>
      </c>
      <c r="E15" s="169">
        <v>62.8</v>
      </c>
      <c r="F15" s="169">
        <f>IF(LEFT(D15,1)="M",VLOOKUP(IF($E$7="Bwt (kg)",E15,E15/2.2046),Lists!$B$16:$D$24,IF(ISERROR(FIND("J",D15)),3,2)),VLOOKUP(IF($E$7="Bwt (kg)",E15,E15/2.2046),Lists!$B$26:$D$33,IF(ISERROR(FIND("J",D15)),3,2)))</f>
        <v>63</v>
      </c>
      <c r="G15" s="169">
        <v>2</v>
      </c>
      <c r="H15" s="170">
        <f>IF(AND(VALUE(E15)&gt;0,OR(LEFT(D15,1)="M",LEFT(D15,1)="F")),IF(LEFT(D15,1)="M",Wilks_Men(IF(RIGHT($F$7,4)="(lb)",E15/2.2046,E15)),Wilks_Women(IF(RIGHT($F$7,4)="(lb)",E15/2.2046,E15))),0)</f>
        <v>1.0765000581741333</v>
      </c>
      <c r="I15" s="307">
        <v>33564</v>
      </c>
      <c r="J15" s="128">
        <f ca="1">IF(I15,VLOOKUP(INT((NOW()-I15)/365.25),DATA!$A$2:$B$53,2,TRUE),0)</f>
        <v>1</v>
      </c>
      <c r="K15" s="169">
        <v>12</v>
      </c>
      <c r="L15" s="308">
        <v>115</v>
      </c>
      <c r="M15" s="308">
        <v>122.5</v>
      </c>
      <c r="N15" s="172"/>
      <c r="O15" s="173">
        <f>IF(MAX(BL15:BN15)&gt;0,MAX(ABS(L15)*BL15,ABS(M15)*BM15,ABS(N15)*BN15),"")</f>
        <v>122.5</v>
      </c>
      <c r="P15" s="174" t="s">
        <v>276</v>
      </c>
      <c r="Q15" s="308">
        <v>65</v>
      </c>
      <c r="R15" s="316">
        <v>-70</v>
      </c>
      <c r="S15" s="308">
        <v>70</v>
      </c>
      <c r="T15" s="173">
        <f>IF(MAX(BQ15:BS15)&gt;0,MAX(ABS(Q15)*BQ15,ABS(R15)*BR15,ABS(S15)*BS15),0)</f>
        <v>70</v>
      </c>
      <c r="U15" s="173">
        <f>IF(OR(O15="",T15=""),"",O15+T15)</f>
        <v>192.5</v>
      </c>
      <c r="V15" s="308">
        <v>152.5</v>
      </c>
      <c r="W15" s="320">
        <v>-165</v>
      </c>
      <c r="X15" s="316">
        <v>-165</v>
      </c>
      <c r="Y15" s="176">
        <f>IF(MAX(BV15:BX15)&gt;0,MAX(ABS(V15)*BV15,ABS(W15)*BW15,ABS(X15)*BX15),"")</f>
        <v>152.5</v>
      </c>
      <c r="Z15" s="173">
        <f ca="1">IF(AE15=$AU$7,IF($AU$7="SQ",O15,IF($AU$7="BP",T15,IF($AU$7="DL",Y15,IF($AU$7="PP",IF(OR(T15="",Y15=""),"",T15+Y15),IF(OR($U15="",$Y15=""),"",$O15+$T15+$Y15))))),"")</f>
        <v>345</v>
      </c>
      <c r="AA15" s="274">
        <f ca="1">IF(AE15="BP",IF(T15&gt;1,T15*H15,""),IF(Z15="","",Z15*H15))</f>
        <v>371.39252007007599</v>
      </c>
      <c r="AB15" s="177">
        <f ca="1">IF(AND(I15&gt;23,I15&lt;40),0,AA15*J15)</f>
        <v>371.39252007007599</v>
      </c>
      <c r="AC15" s="167">
        <f ca="1">OFFSET(Setup!$F$1,MATCH(D15,INDIRECT("Setup!B1:B100"),0)-1,0)</f>
        <v>2</v>
      </c>
      <c r="AD15" s="178" t="e">
        <f ca="1">IF(OR(Z15=0,AU15=0,AH15=0),"",CONCATENATE(AL15,"-",D15,IF(AC15&gt;1,"","-"),IF(AC15&gt;1,"",F15),"-",$AU$7))</f>
        <v>#VALUE!</v>
      </c>
      <c r="AE15" s="169" t="s">
        <v>109</v>
      </c>
      <c r="AH15" s="179">
        <f ca="1">AU15*(IF(OR(D15="",E15=""),0,MATCH(D15,INDIRECT("Setup!B1:B100"),0)*100000000+IF(AC15=1,(MATCH(F15,Lists!$I$16:$I$32,0)),0)*1000000+IF(Z15=0,0,IF(AC15=1,AN15*1000,IF(AC15=2,AA15,AB15))+IF(AC15=1,AP15+AQ15/1000,0))))</f>
        <v>1300000371.39252</v>
      </c>
      <c r="AI15" s="128" t="e">
        <f ca="1">RANK(AH15,INDIRECT("AH1:AH200"),0)</f>
        <v>#VALUE!</v>
      </c>
      <c r="AJ15" s="128">
        <f ca="1">INT(AH15/1000000)</f>
        <v>1300</v>
      </c>
      <c r="AK15" s="128" t="e">
        <f ca="1">RANK(AJ15,INDIRECT("AJ1:AJ200"),0)</f>
        <v>#VALUE!</v>
      </c>
      <c r="AL15" s="128" t="e">
        <f ca="1">AI15-AK15+1</f>
        <v>#VALUE!</v>
      </c>
      <c r="AN15" s="180">
        <f ca="1">RANK(Z15,INDIRECT("Z1:Z200"),-1)</f>
        <v>7</v>
      </c>
      <c r="AO15" s="180">
        <f>E15</f>
        <v>62.8</v>
      </c>
      <c r="AP15" s="180">
        <f ca="1">RANK(AO15,INDIRECT("AO1:AO200"))</f>
        <v>30</v>
      </c>
      <c r="AQ15" s="180">
        <f ca="1">RANK(BZ15,INDIRECT("BZ:BZ"),-1)</f>
        <v>11</v>
      </c>
      <c r="AU15" s="180">
        <f ca="1">IF(ISERROR(FIND($AU$7,AE15)),0,1)</f>
        <v>1</v>
      </c>
      <c r="AW15" s="180"/>
      <c r="AX15" s="182"/>
      <c r="AY15" s="182"/>
      <c r="AZ15" s="182"/>
      <c r="BA15" s="128">
        <f>HLOOKUP($A15,$BA$1:$BH$2,2,FALSE)</f>
        <v>0</v>
      </c>
      <c r="BB15" s="118">
        <f ca="1">IF(OR(INDIRECT(ADDRESS(ROW(BB15),$BB$4))="",INDIRECT(ADDRESS(ROW(BB15),$BB$4))=0),"",ABS(INDIRECT(ADDRESS(ROW(BB15),$BB$4)))+0.0001*INDIRECT(ADDRESS(ROW(BB15),7)))</f>
        <v>115.00020000000001</v>
      </c>
      <c r="BL15" s="118">
        <v>1</v>
      </c>
      <c r="BM15" s="118">
        <v>1</v>
      </c>
      <c r="BN15" s="118">
        <v>0</v>
      </c>
      <c r="BO15" s="183">
        <v>43240.430474537039</v>
      </c>
      <c r="BQ15" s="118">
        <v>1</v>
      </c>
      <c r="BR15" s="118">
        <v>-1</v>
      </c>
      <c r="BS15" s="118">
        <v>1</v>
      </c>
      <c r="BT15" s="183">
        <v>43240.483495370368</v>
      </c>
      <c r="BV15" s="118">
        <v>1</v>
      </c>
      <c r="BW15" s="118">
        <v>-1</v>
      </c>
      <c r="BX15" s="118">
        <v>-1</v>
      </c>
      <c r="BY15" s="183">
        <v>43240.518611111111</v>
      </c>
      <c r="BZ15" s="183">
        <f ca="1">IF($AU$7="SQ",BO15,IF($AU$7="BP",BT15,BY15))</f>
        <v>43240.518611111111</v>
      </c>
      <c r="CA15" s="309">
        <v>0.53203703703703698</v>
      </c>
    </row>
    <row r="16" spans="1:125" ht="19.5" customHeight="1" x14ac:dyDescent="0.2">
      <c r="A16" s="167" t="s">
        <v>23</v>
      </c>
      <c r="B16" s="168" t="s">
        <v>281</v>
      </c>
      <c r="C16" s="168" t="s">
        <v>245</v>
      </c>
      <c r="D16" s="169" t="s">
        <v>212</v>
      </c>
      <c r="E16" s="169">
        <v>123.6</v>
      </c>
      <c r="F16" s="169" t="str">
        <f>IF(LEFT(D16,1)="M",VLOOKUP(IF($E$7="Bwt (kg)",E16,E16/2.2046),Lists!$B$16:$D$24,IF(ISERROR(FIND("J",D16)),3,2)),VLOOKUP(IF($E$7="Bwt (kg)",E16,E16/2.2046),Lists!$B$26:$D$33,IF(ISERROR(FIND("J",D16)),3,2)))</f>
        <v>84+</v>
      </c>
      <c r="G16" s="169">
        <v>8</v>
      </c>
      <c r="H16" s="170">
        <f>IF(AND(VALUE(E16)&gt;0,OR(LEFT(D16,1)="M",LEFT(D16,1)="F")),IF(LEFT(D16,1)="M",Wilks_Men(IF(RIGHT($F$7,4)="(lb)",E16/2.2046,E16)),Wilks_Women(IF(RIGHT($F$7,4)="(lb)",E16/2.2046,E16))),0)</f>
        <v>0.79549998044967651</v>
      </c>
      <c r="I16" s="307">
        <v>33375</v>
      </c>
      <c r="J16" s="128">
        <f ca="1">IF(I16,VLOOKUP(INT((NOW()-I16)/365.25),DATA!$A$2:$B$53,2,TRUE),0)</f>
        <v>1</v>
      </c>
      <c r="K16" s="169">
        <v>16</v>
      </c>
      <c r="L16" s="308">
        <v>120</v>
      </c>
      <c r="M16" s="308">
        <v>130</v>
      </c>
      <c r="N16" s="316">
        <v>-140</v>
      </c>
      <c r="O16" s="173">
        <f>IF(MAX(BL16:BN16)&gt;0,MAX(ABS(L16)*BL16,ABS(M16)*BM16,ABS(N16)*BN16),"")</f>
        <v>130</v>
      </c>
      <c r="P16" s="174" t="s">
        <v>282</v>
      </c>
      <c r="Q16" s="308">
        <v>65</v>
      </c>
      <c r="R16" s="308">
        <v>70</v>
      </c>
      <c r="S16" s="316">
        <v>-72.5</v>
      </c>
      <c r="T16" s="173">
        <f>IF(MAX(BQ16:BS16)&gt;0,MAX(ABS(Q16)*BQ16,ABS(R16)*BR16,ABS(S16)*BS16),0)</f>
        <v>70</v>
      </c>
      <c r="U16" s="173">
        <f>IF(OR(O16="",T16=""),"",O16+T16)</f>
        <v>200</v>
      </c>
      <c r="V16" s="308">
        <v>145</v>
      </c>
      <c r="W16" s="319">
        <v>160</v>
      </c>
      <c r="X16" s="316">
        <v>-165</v>
      </c>
      <c r="Y16" s="176">
        <f>IF(MAX(BV16:BX16)&gt;0,MAX(ABS(V16)*BV16,ABS(W16)*BW16,ABS(X16)*BX16),"")</f>
        <v>160</v>
      </c>
      <c r="Z16" s="173">
        <f ca="1">IF(AE16=$AU$7,IF($AU$7="SQ",O16,IF($AU$7="BP",T16,IF($AU$7="DL",Y16,IF($AU$7="PP",IF(OR(T16="",Y16=""),"",T16+Y16),IF(OR($U16="",$Y16=""),"",$O16+$T16+$Y16))))),"")</f>
        <v>360</v>
      </c>
      <c r="AA16" s="274">
        <f ca="1">IF(AE16="BP",IF(T16&gt;1,T16*H16,""),IF(Z16="","",Z16*H16))</f>
        <v>286.37999296188354</v>
      </c>
      <c r="AB16" s="177">
        <f ca="1">IF(AND(I16&gt;23,I16&lt;40),0,AA16*J16)</f>
        <v>286.37999296188354</v>
      </c>
      <c r="AC16" s="167">
        <f ca="1">OFFSET(Setup!$F$1,MATCH(D16,INDIRECT("Setup!B1:B100"),0)-1,0)</f>
        <v>2</v>
      </c>
      <c r="AD16" s="178" t="e">
        <f ca="1">IF(OR(Z16=0,AU16=0,AH16=0),"",CONCATENATE(AL16,"-",D16,IF(AC16&gt;1,"","-"),IF(AC16&gt;1,"",F16),"-",$AU$7))</f>
        <v>#VALUE!</v>
      </c>
      <c r="AE16" s="169" t="s">
        <v>109</v>
      </c>
      <c r="AH16" s="179">
        <f ca="1">AU16*(IF(OR(D16="",E16=""),0,MATCH(D16,INDIRECT("Setup!B1:B100"),0)*100000000+IF(AC16=1,(MATCH(F16,Lists!$I$16:$I$32,0)),0)*1000000+IF(Z16=0,0,IF(AC16=1,AN16*1000,IF(AC16=2,AA16,AB16))+IF(AC16=1,AP16+AQ16/1000,0))))</f>
        <v>1300000286.379993</v>
      </c>
      <c r="AI16" s="128" t="e">
        <f ca="1">RANK(AH16,INDIRECT("AH1:AH200"),0)</f>
        <v>#VALUE!</v>
      </c>
      <c r="AJ16" s="128">
        <f ca="1">INT(AH16/1000000)</f>
        <v>1300</v>
      </c>
      <c r="AK16" s="128" t="e">
        <f ca="1">RANK(AJ16,INDIRECT("AJ1:AJ200"),0)</f>
        <v>#VALUE!</v>
      </c>
      <c r="AL16" s="128" t="e">
        <f ca="1">AI16-AK16+1</f>
        <v>#VALUE!</v>
      </c>
      <c r="AN16" s="180">
        <f ca="1">RANK(Z16,INDIRECT("Z1:Z200"),-1)</f>
        <v>8</v>
      </c>
      <c r="AO16" s="180">
        <f>E16</f>
        <v>123.6</v>
      </c>
      <c r="AP16" s="180">
        <f ca="1">RANK(AO16,INDIRECT("AO1:AO200"))</f>
        <v>4</v>
      </c>
      <c r="AQ16" s="180">
        <f ca="1">RANK(BZ16,INDIRECT("BZ:BZ"),-1)</f>
        <v>15</v>
      </c>
      <c r="AU16" s="180">
        <f ca="1">IF(ISERROR(FIND($AU$7,AE16)),0,1)</f>
        <v>1</v>
      </c>
      <c r="AW16" s="180"/>
      <c r="AX16" s="182"/>
      <c r="AY16" s="182"/>
      <c r="AZ16" s="182"/>
      <c r="BA16" s="128">
        <f>HLOOKUP($A16,$BA$1:$BH$2,2,FALSE)</f>
        <v>0</v>
      </c>
      <c r="BB16" s="118">
        <f ca="1">IF(OR(INDIRECT(ADDRESS(ROW(BB16),$BB$4))="",INDIRECT(ADDRESS(ROW(BB16),$BB$4))=0),"",ABS(INDIRECT(ADDRESS(ROW(BB16),$BB$4)))+0.0001*INDIRECT(ADDRESS(ROW(BB16),7)))</f>
        <v>120.0008</v>
      </c>
      <c r="BL16" s="118">
        <v>1</v>
      </c>
      <c r="BM16" s="118">
        <v>1</v>
      </c>
      <c r="BN16" s="118">
        <v>-1</v>
      </c>
      <c r="BO16" s="183">
        <v>43240.431944444441</v>
      </c>
      <c r="BQ16" s="118">
        <v>1</v>
      </c>
      <c r="BR16" s="118">
        <v>1</v>
      </c>
      <c r="BS16" s="118">
        <v>-1</v>
      </c>
      <c r="BT16" s="183">
        <v>43240.478414351855</v>
      </c>
      <c r="BV16" s="118">
        <v>1</v>
      </c>
      <c r="BW16" s="118">
        <v>1</v>
      </c>
      <c r="BX16" s="118">
        <v>-1</v>
      </c>
      <c r="BY16" s="183">
        <v>43240.524398148147</v>
      </c>
      <c r="BZ16" s="183">
        <f ca="1">IF($AU$7="SQ",BO16,IF($AU$7="BP",BT16,BY16))</f>
        <v>43240.524398148147</v>
      </c>
      <c r="CA16" s="309">
        <v>0.53284722222222225</v>
      </c>
    </row>
    <row r="17" spans="1:79" ht="19.5" customHeight="1" x14ac:dyDescent="0.2">
      <c r="A17" s="167" t="s">
        <v>23</v>
      </c>
      <c r="B17" s="168" t="s">
        <v>255</v>
      </c>
      <c r="C17" s="168" t="s">
        <v>245</v>
      </c>
      <c r="D17" s="169" t="s">
        <v>212</v>
      </c>
      <c r="E17" s="169">
        <v>70.099999999999994</v>
      </c>
      <c r="F17" s="169">
        <f>IF(LEFT(D17,1)="M",VLOOKUP(IF($E$7="Bwt (kg)",E17,E17/2.2046),Lists!$B$16:$D$24,IF(ISERROR(FIND("J",D17)),3,2)),VLOOKUP(IF($E$7="Bwt (kg)",E17,E17/2.2046),Lists!$B$26:$D$33,IF(ISERROR(FIND("J",D17)),3,2)))</f>
        <v>72</v>
      </c>
      <c r="G17" s="169">
        <v>3</v>
      </c>
      <c r="H17" s="170">
        <f>IF(AND(VALUE(E17)&gt;0,OR(LEFT(D17,1)="M",LEFT(D17,1)="F")),IF(LEFT(D17,1)="M",Wilks_Men(IF(RIGHT($F$7,4)="(lb)",E17/2.2046,E17)),Wilks_Women(IF(RIGHT($F$7,4)="(lb)",E17/2.2046,E17))),0)</f>
        <v>0.99390000104904175</v>
      </c>
      <c r="I17" s="307">
        <v>32717</v>
      </c>
      <c r="J17" s="128">
        <f ca="1">IF(I17,VLOOKUP(INT((NOW()-I17)/365.25),DATA!$A$2:$B$53,2,TRUE),0)</f>
        <v>1</v>
      </c>
      <c r="K17" s="169">
        <v>11</v>
      </c>
      <c r="L17" s="316">
        <v>-125</v>
      </c>
      <c r="M17" s="316">
        <v>-135</v>
      </c>
      <c r="N17" s="316">
        <v>-135</v>
      </c>
      <c r="O17" s="173" t="str">
        <f>IF(MAX(BL17:BN17)&gt;0,MAX(ABS(L17)*BL17,ABS(M17)*BM17,ABS(N17)*BN17),"")</f>
        <v/>
      </c>
      <c r="P17" s="317" t="s">
        <v>297</v>
      </c>
      <c r="Q17" s="308">
        <v>60</v>
      </c>
      <c r="R17" s="308">
        <v>65</v>
      </c>
      <c r="S17" s="316">
        <v>-70</v>
      </c>
      <c r="T17" s="173">
        <f>IF(MAX(BQ17:BS17)&gt;0,MAX(ABS(Q17)*BQ17,ABS(R17)*BR17,ABS(S17)*BS17),0)</f>
        <v>65</v>
      </c>
      <c r="U17" s="173" t="str">
        <f>IF(OR(O17="",T17=""),"",O17+T17)</f>
        <v/>
      </c>
      <c r="V17" s="308">
        <v>140</v>
      </c>
      <c r="W17" s="319">
        <v>150</v>
      </c>
      <c r="X17" s="308">
        <v>160</v>
      </c>
      <c r="Y17" s="176">
        <f>IF(MAX(BV17:BX17)&gt;0,MAX(ABS(V17)*BV17,ABS(W17)*BW17,ABS(X17)*BX17),"")</f>
        <v>160</v>
      </c>
      <c r="Z17" s="173" t="str">
        <f ca="1">IF(AE17=$AU$7,IF($AU$7="SQ",O17,IF($AU$7="BP",T17,IF($AU$7="DL",Y17,IF($AU$7="PP",IF(OR(T17="",Y17=""),"",T17+Y17),IF(OR($U17="",$Y17=""),"",$O17+$T17+$Y17))))),"")</f>
        <v/>
      </c>
      <c r="AA17" s="274" t="str">
        <f ca="1">IF(AE17="BP",IF(T17&gt;1,T17*H17,""),IF(Z17="","",Z17*H17))</f>
        <v/>
      </c>
      <c r="AB17" s="177" t="e">
        <f ca="1">IF(AND(I17&gt;23,I17&lt;40),0,AA17*J17)</f>
        <v>#VALUE!</v>
      </c>
      <c r="AC17" s="167">
        <f ca="1">OFFSET(Setup!$F$1,MATCH(D17,INDIRECT("Setup!B1:B100"),0)-1,0)</f>
        <v>2</v>
      </c>
      <c r="AD17" s="178" t="e">
        <f ca="1">IF(OR(Z17=0,AU17=0,AH17=0),"",CONCATENATE(AL17,"-",D17,IF(AC17&gt;1,"","-"),IF(AC17&gt;1,"",F17),"-",$AU$7))</f>
        <v>#VALUE!</v>
      </c>
      <c r="AE17" s="169" t="s">
        <v>109</v>
      </c>
      <c r="AH17" s="179" t="e">
        <f ca="1">AU17*(IF(OR(D17="",E17=""),0,MATCH(D17,INDIRECT("Setup!B1:B100"),0)*100000000+IF(AC17=1,(MATCH(F17,Lists!$I$16:$I$32,0)),0)*1000000+IF(Z17=0,0,IF(AC17=1,AN17*1000,IF(AC17=2,AA17,AB17))+IF(AC17=1,AP17+AQ17/1000,0))))</f>
        <v>#VALUE!</v>
      </c>
      <c r="AI17" s="128" t="e">
        <f ca="1">RANK(AH17,INDIRECT("AH1:AH200"),0)</f>
        <v>#VALUE!</v>
      </c>
      <c r="AJ17" s="128" t="e">
        <f ca="1">INT(AH17/1000000)</f>
        <v>#VALUE!</v>
      </c>
      <c r="AK17" s="128" t="e">
        <f ca="1">RANK(AJ17,INDIRECT("AJ1:AJ200"),0)</f>
        <v>#VALUE!</v>
      </c>
      <c r="AL17" s="128" t="e">
        <f ca="1">AI17-AK17+1</f>
        <v>#VALUE!</v>
      </c>
      <c r="AN17" s="180" t="e">
        <f ca="1">RANK(Z17,INDIRECT("Z1:Z200"),-1)</f>
        <v>#VALUE!</v>
      </c>
      <c r="AO17" s="180">
        <f>E17</f>
        <v>70.099999999999994</v>
      </c>
      <c r="AP17" s="180">
        <f ca="1">RANK(AO17,INDIRECT("AO1:AO200"))</f>
        <v>27</v>
      </c>
      <c r="AQ17" s="180">
        <f ca="1">RANK(BZ17,INDIRECT("BZ:BZ"),-1)</f>
        <v>19</v>
      </c>
      <c r="AU17" s="180">
        <f ca="1">IF(ISERROR(FIND($AU$7,AE17)),0,1)</f>
        <v>1</v>
      </c>
      <c r="AW17" s="180"/>
      <c r="AX17" s="182"/>
      <c r="AY17" s="182"/>
      <c r="AZ17" s="182"/>
      <c r="BA17" s="128">
        <f>HLOOKUP($A17,$BA$1:$BH$2,2,FALSE)</f>
        <v>0</v>
      </c>
      <c r="BB17" s="118">
        <f ca="1">IF(OR(INDIRECT(ADDRESS(ROW(BB17),$BB$4))="",INDIRECT(ADDRESS(ROW(BB17),$BB$4))=0),"",ABS(INDIRECT(ADDRESS(ROW(BB17),$BB$4)))+0.0001*INDIRECT(ADDRESS(ROW(BB17),7)))</f>
        <v>125.0003</v>
      </c>
      <c r="BL17" s="118">
        <v>-1</v>
      </c>
      <c r="BM17" s="118">
        <v>-1</v>
      </c>
      <c r="BN17" s="118">
        <v>-1</v>
      </c>
      <c r="BQ17" s="118">
        <v>1</v>
      </c>
      <c r="BR17" s="118">
        <v>1</v>
      </c>
      <c r="BS17" s="118">
        <v>-1</v>
      </c>
      <c r="BT17" s="183">
        <v>43240.475208333337</v>
      </c>
      <c r="BV17" s="118">
        <v>1</v>
      </c>
      <c r="BW17" s="118">
        <v>1</v>
      </c>
      <c r="BX17" s="118">
        <v>1</v>
      </c>
      <c r="BY17" s="183">
        <v>43240.530462962961</v>
      </c>
      <c r="BZ17" s="183">
        <f ca="1">IF($AU$7="SQ",BO17,IF($AU$7="BP",BT17,BY17))</f>
        <v>43240.530462962961</v>
      </c>
      <c r="CA17" s="309">
        <v>0.53115740740740736</v>
      </c>
    </row>
    <row r="18" spans="1:79" ht="19.5" customHeight="1" x14ac:dyDescent="0.2">
      <c r="A18" s="167" t="s">
        <v>23</v>
      </c>
      <c r="B18" s="168" t="s">
        <v>279</v>
      </c>
      <c r="C18" s="168" t="s">
        <v>183</v>
      </c>
      <c r="D18" s="169" t="s">
        <v>212</v>
      </c>
      <c r="E18" s="169">
        <v>61.45</v>
      </c>
      <c r="F18" s="169">
        <f>IF(LEFT(D18,1)="M",VLOOKUP(IF($E$7="Bwt (kg)",E18,E18/2.2046),Lists!$B$16:$D$24,IF(ISERROR(FIND("J",D18)),3,2)),VLOOKUP(IF($E$7="Bwt (kg)",E18,E18/2.2046),Lists!$B$26:$D$33,IF(ISERROR(FIND("J",D18)),3,2)))</f>
        <v>63</v>
      </c>
      <c r="G18" s="169">
        <v>7</v>
      </c>
      <c r="H18" s="170">
        <f>IF(AND(VALUE(E18)&gt;0,OR(LEFT(D18,1)="M",LEFT(D18,1)="F")),IF(LEFT(D18,1)="M",Wilks_Men(IF(RIGHT($F$7,4)="(lb)",E18/2.2046,E18)),Wilks_Women(IF(RIGHT($F$7,4)="(lb)",E18/2.2046,E18))),0)</f>
        <v>1.094499945640564</v>
      </c>
      <c r="I18" s="307">
        <v>34748</v>
      </c>
      <c r="J18" s="128">
        <f ca="1">IF(I18,VLOOKUP(INT((NOW()-I18)/365.25),DATA!$A$2:$B$53,2,TRUE),0)</f>
        <v>1</v>
      </c>
      <c r="K18" s="169">
        <v>10</v>
      </c>
      <c r="L18" s="316">
        <v>-130</v>
      </c>
      <c r="M18" s="316">
        <v>-130</v>
      </c>
      <c r="N18" s="308">
        <v>130</v>
      </c>
      <c r="O18" s="173">
        <f>IF(MAX(BL18:BN18)&gt;0,MAX(ABS(L18)*BL18,ABS(M18)*BM18,ABS(N18)*BN18),"")</f>
        <v>130</v>
      </c>
      <c r="P18" s="174" t="s">
        <v>280</v>
      </c>
      <c r="Q18" s="308">
        <v>60</v>
      </c>
      <c r="R18" s="308">
        <v>67.5</v>
      </c>
      <c r="S18" s="316">
        <v>-72.5</v>
      </c>
      <c r="T18" s="173">
        <f>IF(MAX(BQ18:BS18)&gt;0,MAX(ABS(Q18)*BQ18,ABS(R18)*BR18,ABS(S18)*BS18),0)</f>
        <v>67.5</v>
      </c>
      <c r="U18" s="173">
        <f>IF(OR(O18="",T18=""),"",O18+T18)</f>
        <v>197.5</v>
      </c>
      <c r="V18" s="308">
        <v>130</v>
      </c>
      <c r="W18" s="319">
        <v>140</v>
      </c>
      <c r="X18" s="316">
        <v>-147.5</v>
      </c>
      <c r="Y18" s="176">
        <f>IF(MAX(BV18:BX18)&gt;0,MAX(ABS(V18)*BV18,ABS(W18)*BW18,ABS(X18)*BX18),"")</f>
        <v>140</v>
      </c>
      <c r="Z18" s="173">
        <f ca="1">IF(AE18=$AU$7,IF($AU$7="SQ",O18,IF($AU$7="BP",T18,IF($AU$7="DL",Y18,IF($AU$7="PP",IF(OR(T18="",Y18=""),"",T18+Y18),IF(OR($U18="",$Y18=""),"",$O18+$T18+$Y18))))),"")</f>
        <v>337.5</v>
      </c>
      <c r="AA18" s="274">
        <f ca="1">IF(AE18="BP",IF(T18&gt;1,T18*H18,""),IF(Z18="","",Z18*H18))</f>
        <v>369.39373165369034</v>
      </c>
      <c r="AB18" s="177">
        <f ca="1">IF(AND(I18&gt;23,I18&lt;40),0,AA18*J18)</f>
        <v>369.39373165369034</v>
      </c>
      <c r="AC18" s="167">
        <f ca="1">OFFSET(Setup!$F$1,MATCH(D18,INDIRECT("Setup!B1:B100"),0)-1,0)</f>
        <v>2</v>
      </c>
      <c r="AD18" s="178" t="e">
        <f ca="1">IF(OR(Z18=0,AU18=0,AH18=0),"",CONCATENATE(AL18,"-",D18,IF(AC18&gt;1,"","-"),IF(AC18&gt;1,"",F18),"-",$AU$7))</f>
        <v>#VALUE!</v>
      </c>
      <c r="AE18" s="169" t="s">
        <v>109</v>
      </c>
      <c r="AH18" s="179">
        <f ca="1">AU18*(IF(OR(D18="",E18=""),0,MATCH(D18,INDIRECT("Setup!B1:B100"),0)*100000000+IF(AC18=1,(MATCH(F18,Lists!$I$16:$I$32,0)),0)*1000000+IF(Z18=0,0,IF(AC18=1,AN18*1000,IF(AC18=2,AA18,AB18))+IF(AC18=1,AP18+AQ18/1000,0))))</f>
        <v>1300000369.3937316</v>
      </c>
      <c r="AI18" s="128" t="e">
        <f ca="1">RANK(AH18,INDIRECT("AH1:AH200"),0)</f>
        <v>#VALUE!</v>
      </c>
      <c r="AJ18" s="128">
        <f ca="1">INT(AH18/1000000)</f>
        <v>1300</v>
      </c>
      <c r="AK18" s="128" t="e">
        <f ca="1">RANK(AJ18,INDIRECT("AJ1:AJ200"),0)</f>
        <v>#VALUE!</v>
      </c>
      <c r="AL18" s="128" t="e">
        <f ca="1">AI18-AK18+1</f>
        <v>#VALUE!</v>
      </c>
      <c r="AN18" s="180">
        <f ca="1">RANK(Z18,INDIRECT("Z1:Z200"),-1)</f>
        <v>4</v>
      </c>
      <c r="AO18" s="180">
        <f>E18</f>
        <v>61.45</v>
      </c>
      <c r="AP18" s="180">
        <f ca="1">RANK(AO18,INDIRECT("AO1:AO200"))</f>
        <v>31</v>
      </c>
      <c r="AQ18" s="180">
        <f ca="1">RANK(BZ18,INDIRECT("BZ:BZ"),-1)</f>
        <v>14</v>
      </c>
      <c r="AU18" s="180">
        <f ca="1">IF(ISERROR(FIND($AU$7,AE18)),0,1)</f>
        <v>1</v>
      </c>
      <c r="AW18" s="180"/>
      <c r="AX18" s="182"/>
      <c r="AY18" s="182"/>
      <c r="AZ18" s="182"/>
      <c r="BA18" s="128">
        <f>HLOOKUP($A18,$BA$1:$BH$2,2,FALSE)</f>
        <v>0</v>
      </c>
      <c r="BB18" s="118">
        <f ca="1">IF(OR(INDIRECT(ADDRESS(ROW(BB18),$BB$4))="",INDIRECT(ADDRESS(ROW(BB18),$BB$4))=0),"",ABS(INDIRECT(ADDRESS(ROW(BB18),$BB$4)))+0.0001*INDIRECT(ADDRESS(ROW(BB18),7)))</f>
        <v>130.00069999999999</v>
      </c>
      <c r="BL18" s="118">
        <v>-1</v>
      </c>
      <c r="BM18" s="118">
        <v>-1</v>
      </c>
      <c r="BN18" s="118">
        <v>1</v>
      </c>
      <c r="BO18" s="183">
        <v>43240.438437500001</v>
      </c>
      <c r="BQ18" s="118">
        <v>1</v>
      </c>
      <c r="BR18" s="118">
        <v>1</v>
      </c>
      <c r="BS18" s="118">
        <v>-1</v>
      </c>
      <c r="BT18" s="183">
        <v>43240.476006944446</v>
      </c>
      <c r="BV18" s="118">
        <v>1</v>
      </c>
      <c r="BW18" s="118">
        <v>1</v>
      </c>
      <c r="BX18" s="118">
        <v>-1</v>
      </c>
      <c r="BY18" s="183">
        <v>43240.523078703707</v>
      </c>
      <c r="BZ18" s="183">
        <f ca="1">IF($AU$7="SQ",BO18,IF($AU$7="BP",BT18,BY18))</f>
        <v>43240.523078703707</v>
      </c>
      <c r="CA18" s="309">
        <v>0.52969907407407402</v>
      </c>
    </row>
    <row r="19" spans="1:79" ht="19.5" customHeight="1" x14ac:dyDescent="0.2">
      <c r="A19" s="167" t="s">
        <v>24</v>
      </c>
      <c r="B19" s="168" t="s">
        <v>290</v>
      </c>
      <c r="C19" s="168" t="s">
        <v>243</v>
      </c>
      <c r="D19" s="169" t="s">
        <v>211</v>
      </c>
      <c r="E19" s="169">
        <v>90.15</v>
      </c>
      <c r="F19" s="169">
        <f>IF(LEFT(D19,1)="M",VLOOKUP(IF($E$7="Bwt (kg)",E19,E19/2.2046),Lists!$B$16:$D$24,IF(ISERROR(FIND("J",D19)),3,2)),VLOOKUP(IF($E$7="Bwt (kg)",E19,E19/2.2046),Lists!$B$26:$D$33,IF(ISERROR(FIND("J",D19)),3,2)))</f>
        <v>93</v>
      </c>
      <c r="G19" s="169">
        <v>5</v>
      </c>
      <c r="H19" s="170">
        <f>IF(AND(VALUE(E19)&gt;0,OR(LEFT(D19,1)="M",LEFT(D19,1)="F")),IF(LEFT(D19,1)="M",Wilks_Men(IF(RIGHT($F$7,4)="(lb)",E19/2.2046,E19)),Wilks_Women(IF(RIGHT($F$7,4)="(lb)",E19/2.2046,E19))),0)</f>
        <v>0.63789999485015869</v>
      </c>
      <c r="I19" s="307">
        <v>32546</v>
      </c>
      <c r="J19" s="128">
        <f ca="1">IF(I19,VLOOKUP(INT((NOW()-I19)/365.25),DATA!$A$2:$B$53,2,TRUE),0)</f>
        <v>1</v>
      </c>
      <c r="K19" s="169">
        <v>19</v>
      </c>
      <c r="L19" s="308">
        <v>130</v>
      </c>
      <c r="M19" s="308">
        <v>132.5</v>
      </c>
      <c r="N19" s="308">
        <v>135</v>
      </c>
      <c r="O19" s="173">
        <f>IF(MAX(BL19:BN19)&gt;0,MAX(ABS(L19)*BL19,ABS(M19)*BM19,ABS(N19)*BN19),"")</f>
        <v>135</v>
      </c>
      <c r="P19" s="174" t="s">
        <v>291</v>
      </c>
      <c r="Q19" s="308">
        <v>100</v>
      </c>
      <c r="R19" s="308">
        <v>102.5</v>
      </c>
      <c r="S19" s="308">
        <v>105</v>
      </c>
      <c r="T19" s="173">
        <f>IF(MAX(BQ19:BS19)&gt;0,MAX(ABS(Q19)*BQ19,ABS(R19)*BR19,ABS(S19)*BS19),0)</f>
        <v>105</v>
      </c>
      <c r="U19" s="173">
        <f>IF(OR(O19="",T19=""),"",O19+T19)</f>
        <v>240</v>
      </c>
      <c r="V19" s="308">
        <v>135</v>
      </c>
      <c r="W19" s="319">
        <v>137.5</v>
      </c>
      <c r="X19" s="308">
        <v>140</v>
      </c>
      <c r="Y19" s="176">
        <f>IF(MAX(BV19:BX19)&gt;0,MAX(ABS(V19)*BV19,ABS(W19)*BW19,ABS(X19)*BX19),"")</f>
        <v>140</v>
      </c>
      <c r="Z19" s="173">
        <f ca="1">IF(AE19=$AU$7,IF($AU$7="SQ",O19,IF($AU$7="BP",T19,IF($AU$7="DL",Y19,IF($AU$7="PP",IF(OR(T19="",Y19=""),"",T19+Y19),IF(OR($U19="",$Y19=""),"",$O19+$T19+$Y19))))),"")</f>
        <v>380</v>
      </c>
      <c r="AA19" s="274">
        <f ca="1">IF(AE19="BP",IF(T19&gt;1,T19*H19,""),IF(Z19="","",Z19*H19))</f>
        <v>242.4019980430603</v>
      </c>
      <c r="AB19" s="177">
        <f ca="1">IF(AND(I19&gt;23,I19&lt;40),0,AA19*J19)</f>
        <v>242.4019980430603</v>
      </c>
      <c r="AC19" s="167">
        <f ca="1">OFFSET(Setup!$F$1,MATCH(D19,INDIRECT("Setup!B1:B100"),0)-1,0)</f>
        <v>2</v>
      </c>
      <c r="AD19" s="178" t="e">
        <f ca="1">IF(OR(Z19=0,AU19=0,AH19=0),"",CONCATENATE(AL19,"-",D19,IF(AC19&gt;1,"","-"),IF(AC19&gt;1,"",F19),"-",$AU$7))</f>
        <v>#VALUE!</v>
      </c>
      <c r="AE19" s="169" t="s">
        <v>109</v>
      </c>
      <c r="AH19" s="179">
        <f ca="1">AU19*(IF(OR(D19="",E19=""),0,MATCH(D19,INDIRECT("Setup!B1:B100"),0)*100000000+IF(AC19=1,(MATCH(F19,Lists!$I$16:$I$32,0)),0)*1000000+IF(Z19=0,0,IF(AC19=1,AN19*1000,IF(AC19=2,AA19,AB19))+IF(AC19=1,AP19+AQ19/1000,0))))</f>
        <v>1200000242.401998</v>
      </c>
      <c r="AI19" s="128" t="e">
        <f ca="1">RANK(AH19,INDIRECT("AH1:AH200"),0)</f>
        <v>#VALUE!</v>
      </c>
      <c r="AJ19" s="128">
        <f ca="1">INT(AH19/1000000)</f>
        <v>1200</v>
      </c>
      <c r="AK19" s="128" t="e">
        <f ca="1">RANK(AJ19,INDIRECT("AJ1:AJ200"),0)</f>
        <v>#VALUE!</v>
      </c>
      <c r="AL19" s="128" t="e">
        <f ca="1">AI19-AK19+1</f>
        <v>#VALUE!</v>
      </c>
      <c r="AN19" s="180">
        <f ca="1">RANK(Z19,INDIRECT("Z1:Z200"),-1)</f>
        <v>9</v>
      </c>
      <c r="AO19" s="180">
        <f>E19</f>
        <v>90.15</v>
      </c>
      <c r="AP19" s="180">
        <f ca="1">RANK(AO19,INDIRECT("AO1:AO200"))</f>
        <v>13</v>
      </c>
      <c r="AQ19" s="180">
        <f ca="1">RANK(BZ19,INDIRECT("BZ:BZ"),-1)</f>
        <v>24</v>
      </c>
      <c r="AU19" s="180">
        <f ca="1">IF(ISERROR(FIND($AU$7,AE19)),0,1)</f>
        <v>1</v>
      </c>
      <c r="AW19" s="180"/>
      <c r="AX19" s="182"/>
      <c r="AY19" s="182"/>
      <c r="AZ19" s="182"/>
      <c r="BA19" s="128">
        <f>HLOOKUP($A19,$BA$1:$BH$2,2,FALSE)</f>
        <v>1</v>
      </c>
      <c r="BB19" s="118">
        <f ca="1">IF(OR(INDIRECT(ADDRESS(ROW(BB19),$BB$4))="",INDIRECT(ADDRESS(ROW(BB19),$BB$4))=0),"",ABS(INDIRECT(ADDRESS(ROW(BB19),$BB$4)))+0.0001*INDIRECT(ADDRESS(ROW(BB19),7)))</f>
        <v>130.00049999999999</v>
      </c>
      <c r="BL19" s="118">
        <v>1</v>
      </c>
      <c r="BM19" s="118">
        <v>1</v>
      </c>
      <c r="BN19" s="118">
        <v>1</v>
      </c>
      <c r="BO19" s="183">
        <v>43240.453622685185</v>
      </c>
      <c r="BQ19" s="118">
        <v>1</v>
      </c>
      <c r="BR19" s="118">
        <v>1</v>
      </c>
      <c r="BS19" s="118">
        <v>1</v>
      </c>
      <c r="BT19" s="183">
        <v>43240.501493055555</v>
      </c>
      <c r="BV19" s="118">
        <v>1</v>
      </c>
      <c r="BW19" s="118">
        <v>1</v>
      </c>
      <c r="BX19" s="118">
        <v>1</v>
      </c>
      <c r="BY19" s="183">
        <v>43240.544212962966</v>
      </c>
      <c r="BZ19" s="183">
        <f ca="1">IF($AU$7="SQ",BO19,IF($AU$7="BP",BT19,BY19))</f>
        <v>43240.544212962966</v>
      </c>
      <c r="CA19" s="309">
        <v>0.5449074074074074</v>
      </c>
    </row>
    <row r="20" spans="1:79" ht="19.5" customHeight="1" x14ac:dyDescent="0.2">
      <c r="A20" s="167" t="s">
        <v>24</v>
      </c>
      <c r="B20" s="168" t="s">
        <v>266</v>
      </c>
      <c r="C20" s="168" t="s">
        <v>183</v>
      </c>
      <c r="D20" s="169" t="s">
        <v>211</v>
      </c>
      <c r="E20" s="169">
        <v>106.6</v>
      </c>
      <c r="F20" s="169">
        <f>IF(LEFT(D20,1)="M",VLOOKUP(IF($E$7="Bwt (kg)",E20,E20/2.2046),Lists!$B$16:$D$24,IF(ISERROR(FIND("J",D20)),3,2)),VLOOKUP(IF($E$7="Bwt (kg)",E20,E20/2.2046),Lists!$B$26:$D$33,IF(ISERROR(FIND("J",D20)),3,2)))</f>
        <v>120</v>
      </c>
      <c r="G20" s="169">
        <v>1</v>
      </c>
      <c r="H20" s="170">
        <f>IF(AND(VALUE(E20)&gt;0,OR(LEFT(D20,1)="M",LEFT(D20,1)="F")),IF(LEFT(D20,1)="M",Wilks_Men(IF(RIGHT($F$7,4)="(lb)",E20/2.2046,E20)),Wilks_Women(IF(RIGHT($F$7,4)="(lb)",E20/2.2046,E20))),0)</f>
        <v>0.59450000524520874</v>
      </c>
      <c r="I20" s="307">
        <v>22190</v>
      </c>
      <c r="J20" s="128">
        <f ca="1">IF(I20,VLOOKUP(INT((NOW()-I20)/365.25),DATA!$A$2:$B$53,2,TRUE),0)</f>
        <v>1.258</v>
      </c>
      <c r="K20" s="169">
        <v>18</v>
      </c>
      <c r="L20" s="308">
        <v>140</v>
      </c>
      <c r="M20" s="308">
        <v>150</v>
      </c>
      <c r="N20" s="308">
        <v>160</v>
      </c>
      <c r="O20" s="173">
        <f>IF(MAX(BL20:BN20)&gt;0,MAX(ABS(L20)*BL20,ABS(M20)*BM20,ABS(N20)*BN20),"")</f>
        <v>160</v>
      </c>
      <c r="P20" s="174" t="s">
        <v>287</v>
      </c>
      <c r="Q20" s="308">
        <v>120</v>
      </c>
      <c r="R20" s="308">
        <v>130</v>
      </c>
      <c r="S20" s="316">
        <v>-132.5</v>
      </c>
      <c r="T20" s="173">
        <f>IF(MAX(BQ20:BS20)&gt;0,MAX(ABS(Q20)*BQ20,ABS(R20)*BR20,ABS(S20)*BS20),0)</f>
        <v>130</v>
      </c>
      <c r="U20" s="173">
        <f>IF(OR(O20="",T20=""),"",O20+T20)</f>
        <v>290</v>
      </c>
      <c r="V20" s="308">
        <v>190</v>
      </c>
      <c r="W20" s="319">
        <v>205</v>
      </c>
      <c r="X20" s="308">
        <v>215</v>
      </c>
      <c r="Y20" s="176">
        <f>IF(MAX(BV20:BX20)&gt;0,MAX(ABS(V20)*BV20,ABS(W20)*BW20,ABS(X20)*BX20),"")</f>
        <v>215</v>
      </c>
      <c r="Z20" s="173">
        <f ca="1">IF(AE20=$AU$7,IF($AU$7="SQ",O20,IF($AU$7="BP",T20,IF($AU$7="DL",Y20,IF($AU$7="PP",IF(OR(T20="",Y20=""),"",T20+Y20),IF(OR($U20="",$Y20=""),"",$O20+$T20+$Y20))))),"")</f>
        <v>505</v>
      </c>
      <c r="AA20" s="274">
        <f ca="1">IF(AE20="BP",IF(T20&gt;1,T20*H20,""),IF(Z20="","",Z20*H20))</f>
        <v>300.22250264883041</v>
      </c>
      <c r="AB20" s="177">
        <f ca="1">IF(AND(I20&gt;23,I20&lt;40),0,AA20*J20)</f>
        <v>377.67990833222865</v>
      </c>
      <c r="AC20" s="167">
        <f ca="1">OFFSET(Setup!$F$1,MATCH(D20,INDIRECT("Setup!B1:B100"),0)-1,0)</f>
        <v>2</v>
      </c>
      <c r="AD20" s="178" t="e">
        <f ca="1">IF(OR(Z20=0,AU20=0,AH20=0),"",CONCATENATE(AL20,"-",D20,IF(AC20&gt;1,"","-"),IF(AC20&gt;1,"",F20),"-",$AU$7))</f>
        <v>#VALUE!</v>
      </c>
      <c r="AE20" s="169" t="s">
        <v>109</v>
      </c>
      <c r="AH20" s="179">
        <f ca="1">AU20*(IF(OR(D20="",E20=""),0,MATCH(D20,INDIRECT("Setup!B1:B100"),0)*100000000+IF(AC20=1,(MATCH(F20,Lists!$I$16:$I$32,0)),0)*1000000+IF(Z20=0,0,IF(AC20=1,AN20*1000,IF(AC20=2,AA20,AB20))+IF(AC20=1,AP20+AQ20/1000,0))))</f>
        <v>1200000300.2225027</v>
      </c>
      <c r="AI20" s="128" t="e">
        <f ca="1">RANK(AH20,INDIRECT("AH1:AH200"),0)</f>
        <v>#VALUE!</v>
      </c>
      <c r="AJ20" s="128">
        <f ca="1">INT(AH20/1000000)</f>
        <v>1200</v>
      </c>
      <c r="AK20" s="128" t="e">
        <f ca="1">RANK(AJ20,INDIRECT("AJ1:AJ200"),0)</f>
        <v>#VALUE!</v>
      </c>
      <c r="AL20" s="128" t="e">
        <f ca="1">AI20-AK20+1</f>
        <v>#VALUE!</v>
      </c>
      <c r="AN20" s="180">
        <f ca="1">RANK(Z20,INDIRECT("Z1:Z200"),-1)</f>
        <v>12</v>
      </c>
      <c r="AO20" s="180">
        <f>E20</f>
        <v>106.6</v>
      </c>
      <c r="AP20" s="180">
        <f ca="1">RANK(AO20,INDIRECT("AO1:AO200"))</f>
        <v>9</v>
      </c>
      <c r="AQ20" s="180">
        <f ca="1">RANK(BZ20,INDIRECT("BZ:BZ"),-1)</f>
        <v>25</v>
      </c>
      <c r="AU20" s="180">
        <f ca="1">IF(ISERROR(FIND($AU$7,AE20)),0,1)</f>
        <v>1</v>
      </c>
      <c r="AW20" s="180"/>
      <c r="AX20" s="182"/>
      <c r="AY20" s="182"/>
      <c r="AZ20" s="182"/>
      <c r="BA20" s="128">
        <f>HLOOKUP($A20,$BA$1:$BH$2,2,FALSE)</f>
        <v>1</v>
      </c>
      <c r="BB20" s="118">
        <f ca="1">IF(OR(INDIRECT(ADDRESS(ROW(BB20),$BB$4))="",INDIRECT(ADDRESS(ROW(BB20),$BB$4))=0),"",ABS(INDIRECT(ADDRESS(ROW(BB20),$BB$4)))+0.0001*INDIRECT(ADDRESS(ROW(BB20),7)))</f>
        <v>140.0001</v>
      </c>
      <c r="BL20" s="118">
        <v>1</v>
      </c>
      <c r="BM20" s="118">
        <v>1</v>
      </c>
      <c r="BN20" s="118">
        <v>1</v>
      </c>
      <c r="BO20" s="183">
        <v>43240.454270833332</v>
      </c>
      <c r="BQ20" s="118">
        <v>1</v>
      </c>
      <c r="BR20" s="118">
        <v>1</v>
      </c>
      <c r="BS20" s="118">
        <v>-1</v>
      </c>
      <c r="BT20" s="183">
        <v>43240.500127314815</v>
      </c>
      <c r="BV20" s="118">
        <v>1</v>
      </c>
      <c r="BW20" s="118">
        <v>1</v>
      </c>
      <c r="BX20" s="118">
        <v>1</v>
      </c>
      <c r="BY20" s="183">
        <v>43240.546111111114</v>
      </c>
      <c r="BZ20" s="183">
        <f ca="1">IF($AU$7="SQ",BO20,IF($AU$7="BP",BT20,BY20))</f>
        <v>43240.546111111114</v>
      </c>
      <c r="CA20" s="309">
        <v>0.54680555555555554</v>
      </c>
    </row>
    <row r="21" spans="1:79" ht="19.5" customHeight="1" x14ac:dyDescent="0.2">
      <c r="A21" s="167" t="s">
        <v>24</v>
      </c>
      <c r="B21" s="168" t="s">
        <v>292</v>
      </c>
      <c r="C21" s="168" t="s">
        <v>183</v>
      </c>
      <c r="D21" s="169" t="s">
        <v>211</v>
      </c>
      <c r="E21" s="169">
        <v>74.900000000000006</v>
      </c>
      <c r="F21" s="169">
        <f>IF(LEFT(D21,1)="M",VLOOKUP(IF($E$7="Bwt (kg)",E21,E21/2.2046),Lists!$B$16:$D$24,IF(ISERROR(FIND("J",D21)),3,2)),VLOOKUP(IF($E$7="Bwt (kg)",E21,E21/2.2046),Lists!$B$26:$D$33,IF(ISERROR(FIND("J",D21)),3,2)))</f>
        <v>83</v>
      </c>
      <c r="G21" s="169">
        <v>6</v>
      </c>
      <c r="H21" s="170">
        <f>IF(AND(VALUE(E21)&gt;0,OR(LEFT(D21,1)="M",LEFT(D21,1)="F")),IF(LEFT(D21,1)="M",Wilks_Men(IF(RIGHT($F$7,4)="(lb)",E21/2.2046,E21)),Wilks_Women(IF(RIGHT($F$7,4)="(lb)",E21/2.2046,E21))),0)</f>
        <v>0.71319997310638428</v>
      </c>
      <c r="I21" s="307">
        <v>31369</v>
      </c>
      <c r="J21" s="128">
        <f ca="1">IF(I21,VLOOKUP(INT((NOW()-I21)/365.25),DATA!$A$2:$B$53,2,TRUE),0)</f>
        <v>1</v>
      </c>
      <c r="K21" s="169">
        <v>13</v>
      </c>
      <c r="L21" s="308">
        <v>150</v>
      </c>
      <c r="M21" s="308">
        <v>160</v>
      </c>
      <c r="N21" s="316">
        <v>-165</v>
      </c>
      <c r="O21" s="173">
        <f>IF(MAX(BL21:BN21)&gt;0,MAX(ABS(L21)*BL21,ABS(M21)*BM21,ABS(N21)*BN21),"")</f>
        <v>160</v>
      </c>
      <c r="P21" s="174" t="s">
        <v>278</v>
      </c>
      <c r="Q21" s="308">
        <v>100</v>
      </c>
      <c r="R21" s="308">
        <v>105</v>
      </c>
      <c r="S21" s="316">
        <v>-107.5</v>
      </c>
      <c r="T21" s="173">
        <f>IF(MAX(BQ21:BS21)&gt;0,MAX(ABS(Q21)*BQ21,ABS(R21)*BR21,ABS(S21)*BS21),0)</f>
        <v>105</v>
      </c>
      <c r="U21" s="173">
        <f>IF(OR(O21="",T21=""),"",O21+T21)</f>
        <v>265</v>
      </c>
      <c r="V21" s="308">
        <v>205</v>
      </c>
      <c r="W21" s="320">
        <v>-220</v>
      </c>
      <c r="X21" s="316">
        <v>-220</v>
      </c>
      <c r="Y21" s="176">
        <f>IF(MAX(BV21:BX21)&gt;0,MAX(ABS(V21)*BV21,ABS(W21)*BW21,ABS(X21)*BX21),"")</f>
        <v>205</v>
      </c>
      <c r="Z21" s="173">
        <f ca="1">IF(AE21=$AU$7,IF($AU$7="SQ",O21,IF($AU$7="BP",T21,IF($AU$7="DL",Y21,IF($AU$7="PP",IF(OR(T21="",Y21=""),"",T21+Y21),IF(OR($U21="",$Y21=""),"",$O21+$T21+$Y21))))),"")</f>
        <v>470</v>
      </c>
      <c r="AA21" s="274">
        <f ca="1">IF(AE21="BP",IF(T21&gt;1,T21*H21,""),IF(Z21="","",Z21*H21))</f>
        <v>335.20398736000061</v>
      </c>
      <c r="AB21" s="177">
        <f ca="1">IF(AND(I21&gt;23,I21&lt;40),0,AA21*J21)</f>
        <v>335.20398736000061</v>
      </c>
      <c r="AC21" s="167">
        <f ca="1">OFFSET(Setup!$F$1,MATCH(D21,INDIRECT("Setup!B1:B100"),0)-1,0)</f>
        <v>2</v>
      </c>
      <c r="AD21" s="178" t="e">
        <f ca="1">IF(OR(Z21=0,AU21=0,AH21=0),"",CONCATENATE(AL21,"-",D21,IF(AC21&gt;1,"","-"),IF(AC21&gt;1,"",F21),"-",$AU$7))</f>
        <v>#VALUE!</v>
      </c>
      <c r="AE21" s="169" t="s">
        <v>109</v>
      </c>
      <c r="AH21" s="179">
        <f ca="1">AU21*(IF(OR(D21="",E21=""),0,MATCH(D21,INDIRECT("Setup!B1:B100"),0)*100000000+IF(AC21=1,(MATCH(F21,Lists!$I$16:$I$32,0)),0)*1000000+IF(Z21=0,0,IF(AC21=1,AN21*1000,IF(AC21=2,AA21,AB21))+IF(AC21=1,AP21+AQ21/1000,0))))</f>
        <v>1200000335.2039874</v>
      </c>
      <c r="AI21" s="128" t="e">
        <f ca="1">RANK(AH21,INDIRECT("AH1:AH200"),0)</f>
        <v>#VALUE!</v>
      </c>
      <c r="AJ21" s="128">
        <f ca="1">INT(AH21/1000000)</f>
        <v>1200</v>
      </c>
      <c r="AK21" s="128" t="e">
        <f ca="1">RANK(AJ21,INDIRECT("AJ1:AJ200"),0)</f>
        <v>#VALUE!</v>
      </c>
      <c r="AL21" s="128" t="e">
        <f ca="1">AI21-AK21+1</f>
        <v>#VALUE!</v>
      </c>
      <c r="AN21" s="180">
        <f ca="1">RANK(Z21,INDIRECT("Z1:Z200"),-1)</f>
        <v>11</v>
      </c>
      <c r="AO21" s="180">
        <f>E21</f>
        <v>74.900000000000006</v>
      </c>
      <c r="AP21" s="180">
        <f ca="1">RANK(AO21,INDIRECT("AO1:AO200"))</f>
        <v>23</v>
      </c>
      <c r="AQ21" s="180">
        <f ca="1">RANK(BZ21,INDIRECT("BZ:BZ"),-1)</f>
        <v>20</v>
      </c>
      <c r="AU21" s="180">
        <f ca="1">IF(ISERROR(FIND($AU$7,AE21)),0,1)</f>
        <v>1</v>
      </c>
      <c r="AW21" s="180"/>
      <c r="AX21" s="182"/>
      <c r="AY21" s="182"/>
      <c r="AZ21" s="182"/>
      <c r="BA21" s="128">
        <f>HLOOKUP($A21,$BA$1:$BH$2,2,FALSE)</f>
        <v>1</v>
      </c>
      <c r="BB21" s="118">
        <f ca="1">IF(OR(INDIRECT(ADDRESS(ROW(BB21),$BB$4))="",INDIRECT(ADDRESS(ROW(BB21),$BB$4))=0),"",ABS(INDIRECT(ADDRESS(ROW(BB21),$BB$4)))+0.0001*INDIRECT(ADDRESS(ROW(BB21),7)))</f>
        <v>150.00059999999999</v>
      </c>
      <c r="BL21" s="118">
        <v>1</v>
      </c>
      <c r="BM21" s="118">
        <v>1</v>
      </c>
      <c r="BN21" s="118">
        <v>-1</v>
      </c>
      <c r="BO21" s="183">
        <v>43240.44940972222</v>
      </c>
      <c r="BQ21" s="118">
        <v>1</v>
      </c>
      <c r="BR21" s="118">
        <v>1</v>
      </c>
      <c r="BS21" s="118">
        <v>-1</v>
      </c>
      <c r="BT21" s="183">
        <v>43240.497754629629</v>
      </c>
      <c r="BV21" s="118">
        <v>1</v>
      </c>
      <c r="BW21" s="118">
        <v>-1</v>
      </c>
      <c r="BX21" s="118">
        <v>-1</v>
      </c>
      <c r="BY21" s="183">
        <v>43240.53601851852</v>
      </c>
      <c r="BZ21" s="183">
        <f ca="1">IF($AU$7="SQ",BO21,IF($AU$7="BP",BT21,BY21))</f>
        <v>43240.53601851852</v>
      </c>
      <c r="CA21" s="309">
        <v>0.54759259259259252</v>
      </c>
    </row>
    <row r="22" spans="1:79" ht="19.5" customHeight="1" x14ac:dyDescent="0.2">
      <c r="A22" s="167" t="s">
        <v>24</v>
      </c>
      <c r="B22" s="168" t="s">
        <v>293</v>
      </c>
      <c r="C22" s="168" t="s">
        <v>243</v>
      </c>
      <c r="D22" s="169" t="s">
        <v>211</v>
      </c>
      <c r="E22" s="169">
        <v>88.5</v>
      </c>
      <c r="F22" s="169">
        <f>IF(LEFT(D22,1)="M",VLOOKUP(IF($E$7="Bwt (kg)",E22,E22/2.2046),Lists!$B$16:$D$24,IF(ISERROR(FIND("J",D22)),3,2)),VLOOKUP(IF($E$7="Bwt (kg)",E22,E22/2.2046),Lists!$B$26:$D$33,IF(ISERROR(FIND("J",D22)),3,2)))</f>
        <v>93</v>
      </c>
      <c r="G22" s="169">
        <v>7</v>
      </c>
      <c r="H22" s="170">
        <f>IF(AND(VALUE(E22)&gt;0,OR(LEFT(D22,1)="M",LEFT(D22,1)="F")),IF(LEFT(D22,1)="M",Wilks_Men(IF(RIGHT($F$7,4)="(lb)",E22/2.2046,E22)),Wilks_Women(IF(RIGHT($F$7,4)="(lb)",E22/2.2046,E22))),0)</f>
        <v>0.64399999380111694</v>
      </c>
      <c r="I22" s="307">
        <v>33442</v>
      </c>
      <c r="J22" s="128">
        <f ca="1">IF(I22,VLOOKUP(INT((NOW()-I22)/365.25),DATA!$A$2:$B$53,2,TRUE),0)</f>
        <v>1</v>
      </c>
      <c r="K22" s="169">
        <v>16</v>
      </c>
      <c r="L22" s="308">
        <v>150</v>
      </c>
      <c r="M22" s="308">
        <v>165</v>
      </c>
      <c r="N22" s="308">
        <v>175</v>
      </c>
      <c r="O22" s="173">
        <f>IF(MAX(BL22:BN22)&gt;0,MAX(ABS(L22)*BL22,ABS(M22)*BM22,ABS(N22)*BN22),"")</f>
        <v>175</v>
      </c>
      <c r="P22" s="174" t="s">
        <v>294</v>
      </c>
      <c r="Q22" s="308">
        <v>90</v>
      </c>
      <c r="R22" s="308">
        <v>100</v>
      </c>
      <c r="S22" s="308">
        <v>107.5</v>
      </c>
      <c r="T22" s="173">
        <f>IF(MAX(BQ22:BS22)&gt;0,MAX(ABS(Q22)*BQ22,ABS(R22)*BR22,ABS(S22)*BS22),0)</f>
        <v>107.5</v>
      </c>
      <c r="U22" s="173">
        <f>IF(OR(O22="",T22=""),"",O22+T22)</f>
        <v>282.5</v>
      </c>
      <c r="V22" s="308">
        <v>160</v>
      </c>
      <c r="W22" s="319">
        <v>175</v>
      </c>
      <c r="X22" s="316">
        <v>-190</v>
      </c>
      <c r="Y22" s="176">
        <f>IF(MAX(BV22:BX22)&gt;0,MAX(ABS(V22)*BV22,ABS(W22)*BW22,ABS(X22)*BX22),"")</f>
        <v>175</v>
      </c>
      <c r="Z22" s="173">
        <f ca="1">IF(AE22=$AU$7,IF($AU$7="SQ",O22,IF($AU$7="BP",T22,IF($AU$7="DL",Y22,IF($AU$7="PP",IF(OR(T22="",Y22=""),"",T22+Y22),IF(OR($U22="",$Y22=""),"",$O22+$T22+$Y22))))),"")</f>
        <v>457.5</v>
      </c>
      <c r="AA22" s="274">
        <f ca="1">IF(AE22="BP",IF(T22&gt;1,T22*H22,""),IF(Z22="","",Z22*H22))</f>
        <v>294.629997164011</v>
      </c>
      <c r="AB22" s="177">
        <f ca="1">IF(AND(I22&gt;23,I22&lt;40),0,AA22*J22)</f>
        <v>294.629997164011</v>
      </c>
      <c r="AC22" s="167">
        <f ca="1">OFFSET(Setup!$F$1,MATCH(D22,INDIRECT("Setup!B1:B100"),0)-1,0)</f>
        <v>2</v>
      </c>
      <c r="AD22" s="178" t="e">
        <f ca="1">IF(OR(Z22=0,AU22=0,AH22=0),"",CONCATENATE(AL22,"-",D22,IF(AC22&gt;1,"","-"),IF(AC22&gt;1,"",F22),"-",$AU$7))</f>
        <v>#VALUE!</v>
      </c>
      <c r="AE22" s="169" t="s">
        <v>109</v>
      </c>
      <c r="AH22" s="179">
        <f ca="1">AU22*(IF(OR(D22="",E22=""),0,MATCH(D22,INDIRECT("Setup!B1:B100"),0)*100000000+IF(AC22=1,(MATCH(F22,Lists!$I$16:$I$32,0)),0)*1000000+IF(Z22=0,0,IF(AC22=1,AN22*1000,IF(AC22=2,AA22,AB22))+IF(AC22=1,AP22+AQ22/1000,0))))</f>
        <v>1200000294.6299973</v>
      </c>
      <c r="AI22" s="128" t="e">
        <f ca="1">RANK(AH22,INDIRECT("AH1:AH200"),0)</f>
        <v>#VALUE!</v>
      </c>
      <c r="AJ22" s="128">
        <f ca="1">INT(AH22/1000000)</f>
        <v>1200</v>
      </c>
      <c r="AK22" s="128" t="e">
        <f ca="1">RANK(AJ22,INDIRECT("AJ1:AJ200"),0)</f>
        <v>#VALUE!</v>
      </c>
      <c r="AL22" s="128" t="e">
        <f ca="1">AI22-AK22+1</f>
        <v>#VALUE!</v>
      </c>
      <c r="AN22" s="180">
        <f ca="1">RANK(Z22,INDIRECT("Z1:Z200"),-1)</f>
        <v>10</v>
      </c>
      <c r="AO22" s="180">
        <f>E22</f>
        <v>88.5</v>
      </c>
      <c r="AP22" s="180">
        <f ca="1">RANK(AO22,INDIRECT("AO1:AO200"))</f>
        <v>14</v>
      </c>
      <c r="AQ22" s="180">
        <f ca="1">RANK(BZ22,INDIRECT("BZ:BZ"),-1)</f>
        <v>21</v>
      </c>
      <c r="AU22" s="180">
        <f ca="1">IF(ISERROR(FIND($AU$7,AE22)),0,1)</f>
        <v>1</v>
      </c>
      <c r="AW22" s="180"/>
      <c r="AX22" s="182"/>
      <c r="AY22" s="182"/>
      <c r="AZ22" s="182"/>
      <c r="BA22" s="128">
        <f>HLOOKUP($A22,$BA$1:$BH$2,2,FALSE)</f>
        <v>1</v>
      </c>
      <c r="BB22" s="118">
        <f ca="1">IF(OR(INDIRECT(ADDRESS(ROW(BB22),$BB$4))="",INDIRECT(ADDRESS(ROW(BB22),$BB$4))=0),"",ABS(INDIRECT(ADDRESS(ROW(BB22),$BB$4)))+0.0001*INDIRECT(ADDRESS(ROW(BB22),7)))</f>
        <v>150.00069999999999</v>
      </c>
      <c r="BL22" s="118">
        <v>1</v>
      </c>
      <c r="BM22" s="118">
        <v>1</v>
      </c>
      <c r="BN22" s="118">
        <v>1</v>
      </c>
      <c r="BO22" s="183">
        <v>43240.455694444441</v>
      </c>
      <c r="BQ22" s="118">
        <v>1</v>
      </c>
      <c r="BR22" s="118">
        <v>1</v>
      </c>
      <c r="BS22" s="118">
        <v>1</v>
      </c>
      <c r="BT22" s="183">
        <v>43240.503020833334</v>
      </c>
      <c r="BV22" s="118">
        <v>1</v>
      </c>
      <c r="BW22" s="118">
        <v>1</v>
      </c>
      <c r="BX22" s="118">
        <v>-1</v>
      </c>
      <c r="BY22" s="183">
        <v>43240.539930555555</v>
      </c>
      <c r="BZ22" s="183">
        <f ca="1">IF($AU$7="SQ",BO22,IF($AU$7="BP",BT22,BY22))</f>
        <v>43240.539930555555</v>
      </c>
      <c r="CA22" s="309">
        <v>0.54578703703703701</v>
      </c>
    </row>
    <row r="23" spans="1:79" ht="19.5" customHeight="1" x14ac:dyDescent="0.2">
      <c r="A23" s="167" t="s">
        <v>24</v>
      </c>
      <c r="B23" s="168" t="s">
        <v>295</v>
      </c>
      <c r="C23" s="168" t="s">
        <v>183</v>
      </c>
      <c r="D23" s="169" t="s">
        <v>211</v>
      </c>
      <c r="E23" s="169">
        <v>72.8</v>
      </c>
      <c r="F23" s="169">
        <f>IF(LEFT(D23,1)="M",VLOOKUP(IF($E$7="Bwt (kg)",E23,E23/2.2046),Lists!$B$16:$D$24,IF(ISERROR(FIND("J",D23)),3,2)),VLOOKUP(IF($E$7="Bwt (kg)",E23,E23/2.2046),Lists!$B$26:$D$33,IF(ISERROR(FIND("J",D23)),3,2)))</f>
        <v>74</v>
      </c>
      <c r="G23" s="169">
        <v>8</v>
      </c>
      <c r="H23" s="170">
        <f>IF(AND(VALUE(E23)&gt;0,OR(LEFT(D23,1)="M",LEFT(D23,1)="F")),IF(LEFT(D23,1)="M",Wilks_Men(IF(RIGHT($F$7,4)="(lb)",E23/2.2046,E23)),Wilks_Women(IF(RIGHT($F$7,4)="(lb)",E23/2.2046,E23))),0)</f>
        <v>0.72780001163482666</v>
      </c>
      <c r="I23" s="307">
        <v>34123</v>
      </c>
      <c r="J23" s="128">
        <f ca="1">IF(I23,VLOOKUP(INT((NOW()-I23)/365.25),DATA!$A$2:$B$53,2,TRUE),0)</f>
        <v>1</v>
      </c>
      <c r="K23" s="169">
        <v>13</v>
      </c>
      <c r="L23" s="308">
        <v>170</v>
      </c>
      <c r="M23" s="316">
        <v>-180</v>
      </c>
      <c r="N23" s="308">
        <v>180</v>
      </c>
      <c r="O23" s="173">
        <f>IF(MAX(BL23:BN23)&gt;0,MAX(ABS(L23)*BL23,ABS(M23)*BM23,ABS(N23)*BN23),"")</f>
        <v>180</v>
      </c>
      <c r="P23" s="174" t="s">
        <v>296</v>
      </c>
      <c r="Q23" s="308">
        <v>122.5</v>
      </c>
      <c r="R23" s="308">
        <v>127.5</v>
      </c>
      <c r="S23" s="308">
        <v>130</v>
      </c>
      <c r="T23" s="173">
        <f>IF(MAX(BQ23:BS23)&gt;0,MAX(ABS(Q23)*BQ23,ABS(R23)*BR23,ABS(S23)*BS23),0)</f>
        <v>130</v>
      </c>
      <c r="U23" s="173">
        <f>IF(OR(O23="",T23=""),"",O23+T23)</f>
        <v>310</v>
      </c>
      <c r="V23" s="308">
        <v>215</v>
      </c>
      <c r="W23" s="319">
        <v>225</v>
      </c>
      <c r="X23" s="316">
        <v>-232.5</v>
      </c>
      <c r="Y23" s="176">
        <f>IF(MAX(BV23:BX23)&gt;0,MAX(ABS(V23)*BV23,ABS(W23)*BW23,ABS(X23)*BX23),"")</f>
        <v>225</v>
      </c>
      <c r="Z23" s="173">
        <f ca="1">IF(AE23=$AU$7,IF($AU$7="SQ",O23,IF($AU$7="BP",T23,IF($AU$7="DL",Y23,IF($AU$7="PP",IF(OR(T23="",Y23=""),"",T23+Y23),IF(OR($U23="",$Y23=""),"",$O23+$T23+$Y23))))),"")</f>
        <v>535</v>
      </c>
      <c r="AA23" s="274">
        <f ca="1">IF(AE23="BP",IF(T23&gt;1,T23*H23,""),IF(Z23="","",Z23*H23))</f>
        <v>389.37300622463226</v>
      </c>
      <c r="AB23" s="177">
        <f ca="1">IF(AND(I23&gt;23,I23&lt;40),0,AA23*J23)</f>
        <v>389.37300622463226</v>
      </c>
      <c r="AC23" s="167">
        <f ca="1">OFFSET(Setup!$F$1,MATCH(D23,INDIRECT("Setup!B1:B100"),0)-1,0)</f>
        <v>2</v>
      </c>
      <c r="AD23" s="178" t="e">
        <f ca="1">IF(OR(Z23=0,AU23=0,AH23=0),"",CONCATENATE(AL23,"-",D23,IF(AC23&gt;1,"","-"),IF(AC23&gt;1,"",F23),"-",$AU$7))</f>
        <v>#VALUE!</v>
      </c>
      <c r="AE23" s="169" t="s">
        <v>109</v>
      </c>
      <c r="AH23" s="179">
        <f ca="1">AU23*(IF(OR(D23="",E23=""),0,MATCH(D23,INDIRECT("Setup!B1:B100"),0)*100000000+IF(AC23=1,(MATCH(F23,Lists!$I$16:$I$32,0)),0)*1000000+IF(Z23=0,0,IF(AC23=1,AN23*1000,IF(AC23=2,AA23,AB23))+IF(AC23=1,AP23+AQ23/1000,0))))</f>
        <v>1200000389.3730063</v>
      </c>
      <c r="AI23" s="128" t="e">
        <f ca="1">RANK(AH23,INDIRECT("AH1:AH200"),0)</f>
        <v>#VALUE!</v>
      </c>
      <c r="AJ23" s="128">
        <f ca="1">INT(AH23/1000000)</f>
        <v>1200</v>
      </c>
      <c r="AK23" s="128" t="e">
        <f ca="1">RANK(AJ23,INDIRECT("AJ1:AJ200"),0)</f>
        <v>#VALUE!</v>
      </c>
      <c r="AL23" s="128" t="e">
        <f ca="1">AI23-AK23+1</f>
        <v>#VALUE!</v>
      </c>
      <c r="AN23" s="180">
        <f ca="1">RANK(Z23,INDIRECT("Z1:Z200"),-1)</f>
        <v>15</v>
      </c>
      <c r="AO23" s="180">
        <f>E23</f>
        <v>72.8</v>
      </c>
      <c r="AP23" s="180">
        <f ca="1">RANK(AO23,INDIRECT("AO1:AO200"))</f>
        <v>25</v>
      </c>
      <c r="AQ23" s="180">
        <f ca="1">RANK(BZ23,INDIRECT("BZ:BZ"),-1)</f>
        <v>23</v>
      </c>
      <c r="AU23" s="180">
        <f ca="1">IF(ISERROR(FIND($AU$7,AE23)),0,1)</f>
        <v>1</v>
      </c>
      <c r="AW23" s="180"/>
      <c r="AX23" s="182"/>
      <c r="AY23" s="182"/>
      <c r="AZ23" s="182"/>
      <c r="BA23" s="128">
        <f>HLOOKUP($A23,$BA$1:$BH$2,2,FALSE)</f>
        <v>1</v>
      </c>
      <c r="BB23" s="118">
        <f ca="1">IF(OR(INDIRECT(ADDRESS(ROW(BB23),$BB$4))="",INDIRECT(ADDRESS(ROW(BB23),$BB$4))=0),"",ABS(INDIRECT(ADDRESS(ROW(BB23),$BB$4)))+0.0001*INDIRECT(ADDRESS(ROW(BB23),7)))</f>
        <v>170.0008</v>
      </c>
      <c r="BL23" s="118">
        <v>1</v>
      </c>
      <c r="BM23" s="118">
        <v>-1</v>
      </c>
      <c r="BN23" s="118">
        <v>1</v>
      </c>
      <c r="BO23" s="183">
        <v>43240.456331018519</v>
      </c>
      <c r="BQ23" s="118">
        <v>1</v>
      </c>
      <c r="BR23" s="118">
        <v>1</v>
      </c>
      <c r="BS23" s="118">
        <v>1</v>
      </c>
      <c r="BT23" s="183">
        <v>43240.504664351851</v>
      </c>
      <c r="BV23" s="118">
        <v>1</v>
      </c>
      <c r="BW23" s="118">
        <v>1</v>
      </c>
      <c r="BX23" s="118">
        <v>-1</v>
      </c>
      <c r="BY23" s="183">
        <v>43240.542662037034</v>
      </c>
      <c r="BZ23" s="183">
        <f ca="1">IF($AU$7="SQ",BO23,IF($AU$7="BP",BT23,BY23))</f>
        <v>43240.542662037034</v>
      </c>
      <c r="CA23" s="309">
        <v>0.54922453703703711</v>
      </c>
    </row>
    <row r="24" spans="1:79" ht="19.5" customHeight="1" x14ac:dyDescent="0.2">
      <c r="A24" s="167" t="s">
        <v>24</v>
      </c>
      <c r="B24" s="168" t="s">
        <v>268</v>
      </c>
      <c r="C24" s="168" t="s">
        <v>243</v>
      </c>
      <c r="D24" s="169" t="s">
        <v>211</v>
      </c>
      <c r="E24" s="169">
        <v>73.8</v>
      </c>
      <c r="F24" s="169">
        <f>IF(LEFT(D24,1)="M",VLOOKUP(IF($E$7="Bwt (kg)",E24,E24/2.2046),Lists!$B$16:$D$24,IF(ISERROR(FIND("J",D24)),3,2)),VLOOKUP(IF($E$7="Bwt (kg)",E24,E24/2.2046),Lists!$B$26:$D$33,IF(ISERROR(FIND("J",D24)),3,2)))</f>
        <v>74</v>
      </c>
      <c r="G24" s="169">
        <v>3</v>
      </c>
      <c r="H24" s="170">
        <f>IF(AND(VALUE(E24)&gt;0,OR(LEFT(D24,1)="M",LEFT(D24,1)="F")),IF(LEFT(D24,1)="M",Wilks_Men(IF(RIGHT($F$7,4)="(lb)",E24/2.2046,E24)),Wilks_Women(IF(RIGHT($F$7,4)="(lb)",E24/2.2046,E24))),0)</f>
        <v>0.72070002555847168</v>
      </c>
      <c r="I24" s="307">
        <v>31413</v>
      </c>
      <c r="J24" s="128">
        <f ca="1">IF(I24,VLOOKUP(INT((NOW()-I24)/365.25),DATA!$A$2:$B$53,2,TRUE),0)</f>
        <v>1</v>
      </c>
      <c r="K24" s="169">
        <v>12</v>
      </c>
      <c r="L24" s="316">
        <v>-185</v>
      </c>
      <c r="M24" s="316">
        <v>-190</v>
      </c>
      <c r="N24" s="316">
        <v>-190</v>
      </c>
      <c r="O24" s="173" t="str">
        <f>IF(MAX(BL24:BN24)&gt;0,MAX(ABS(L24)*BL24,ABS(M24)*BM24,ABS(N24)*BN24),"")</f>
        <v/>
      </c>
      <c r="P24" s="174" t="s">
        <v>280</v>
      </c>
      <c r="Q24" s="308">
        <v>115</v>
      </c>
      <c r="R24" s="308">
        <v>120</v>
      </c>
      <c r="S24" s="316">
        <v>-125</v>
      </c>
      <c r="T24" s="173">
        <f>IF(MAX(BQ24:BS24)&gt;0,MAX(ABS(Q24)*BQ24,ABS(R24)*BR24,ABS(S24)*BS24),0)</f>
        <v>120</v>
      </c>
      <c r="U24" s="173" t="str">
        <f>IF(OR(O24="",T24=""),"",O24+T24)</f>
        <v/>
      </c>
      <c r="V24" s="308">
        <v>215</v>
      </c>
      <c r="W24" s="319">
        <v>220</v>
      </c>
      <c r="X24" s="316">
        <v>-225</v>
      </c>
      <c r="Y24" s="176">
        <f>IF(MAX(BV24:BX24)&gt;0,MAX(ABS(V24)*BV24,ABS(W24)*BW24,ABS(X24)*BX24),"")</f>
        <v>220</v>
      </c>
      <c r="Z24" s="173" t="str">
        <f ca="1">IF(AE24=$AU$7,IF($AU$7="SQ",O24,IF($AU$7="BP",T24,IF($AU$7="DL",Y24,IF($AU$7="PP",IF(OR(T24="",Y24=""),"",T24+Y24),IF(OR($U24="",$Y24=""),"",$O24+$T24+$Y24))))),"")</f>
        <v/>
      </c>
      <c r="AA24" s="274" t="str">
        <f ca="1">IF(AE24="BP",IF(T24&gt;1,T24*H24,""),IF(Z24="","",Z24*H24))</f>
        <v/>
      </c>
      <c r="AB24" s="177" t="e">
        <f ca="1">IF(AND(I24&gt;23,I24&lt;40),0,AA24*J24)</f>
        <v>#VALUE!</v>
      </c>
      <c r="AC24" s="167">
        <f ca="1">OFFSET(Setup!$F$1,MATCH(D24,INDIRECT("Setup!B1:B100"),0)-1,0)</f>
        <v>2</v>
      </c>
      <c r="AD24" s="178" t="e">
        <f ca="1">IF(OR(Z24=0,AU24=0,AH24=0),"",CONCATENATE(AL24,"-",D24,IF(AC24&gt;1,"","-"),IF(AC24&gt;1,"",F24),"-",$AU$7))</f>
        <v>#VALUE!</v>
      </c>
      <c r="AE24" s="169" t="s">
        <v>109</v>
      </c>
      <c r="AH24" s="179" t="e">
        <f ca="1">AU24*(IF(OR(D24="",E24=""),0,MATCH(D24,INDIRECT("Setup!B1:B100"),0)*100000000+IF(AC24=1,(MATCH(F24,Lists!$I$16:$I$32,0)),0)*1000000+IF(Z24=0,0,IF(AC24=1,AN24*1000,IF(AC24=2,AA24,AB24))+IF(AC24=1,AP24+AQ24/1000,0))))</f>
        <v>#VALUE!</v>
      </c>
      <c r="AI24" s="128" t="e">
        <f ca="1">RANK(AH24,INDIRECT("AH1:AH200"),0)</f>
        <v>#VALUE!</v>
      </c>
      <c r="AJ24" s="128" t="e">
        <f ca="1">INT(AH24/1000000)</f>
        <v>#VALUE!</v>
      </c>
      <c r="AK24" s="128" t="e">
        <f ca="1">RANK(AJ24,INDIRECT("AJ1:AJ200"),0)</f>
        <v>#VALUE!</v>
      </c>
      <c r="AL24" s="128" t="e">
        <f ca="1">AI24-AK24+1</f>
        <v>#VALUE!</v>
      </c>
      <c r="AN24" s="180" t="e">
        <f ca="1">RANK(Z24,INDIRECT("Z1:Z200"),-1)</f>
        <v>#VALUE!</v>
      </c>
      <c r="AO24" s="180">
        <f>E24</f>
        <v>73.8</v>
      </c>
      <c r="AP24" s="180">
        <f ca="1">RANK(AO24,INDIRECT("AO1:AO200"))</f>
        <v>24</v>
      </c>
      <c r="AQ24" s="180">
        <f ca="1">RANK(BZ24,INDIRECT("BZ:BZ"),-1)</f>
        <v>22</v>
      </c>
      <c r="AU24" s="180">
        <f ca="1">IF(ISERROR(FIND($AU$7,AE24)),0,1)</f>
        <v>1</v>
      </c>
      <c r="AW24" s="180"/>
      <c r="AX24" s="182"/>
      <c r="AY24" s="182"/>
      <c r="AZ24" s="182"/>
      <c r="BA24" s="128">
        <f>HLOOKUP($A24,$BA$1:$BH$2,2,FALSE)</f>
        <v>1</v>
      </c>
      <c r="BB24" s="118">
        <f ca="1">IF(OR(INDIRECT(ADDRESS(ROW(BB24),$BB$4))="",INDIRECT(ADDRESS(ROW(BB24),$BB$4))=0),"",ABS(INDIRECT(ADDRESS(ROW(BB24),$BB$4)))+0.0001*INDIRECT(ADDRESS(ROW(BB24),7)))</f>
        <v>185.00030000000001</v>
      </c>
      <c r="BL24" s="118">
        <v>-1</v>
      </c>
      <c r="BM24" s="118">
        <v>-1</v>
      </c>
      <c r="BN24" s="118">
        <v>-1</v>
      </c>
      <c r="BQ24" s="118">
        <v>1</v>
      </c>
      <c r="BR24" s="118">
        <v>1</v>
      </c>
      <c r="BS24" s="118">
        <v>-1</v>
      </c>
      <c r="BT24" s="183">
        <v>43240.498692129629</v>
      </c>
      <c r="BV24" s="118">
        <v>1</v>
      </c>
      <c r="BW24" s="118">
        <v>1</v>
      </c>
      <c r="BX24" s="118">
        <v>-1</v>
      </c>
      <c r="BY24" s="183">
        <v>43240.541273148148</v>
      </c>
      <c r="BZ24" s="183">
        <f ca="1">IF($AU$7="SQ",BO24,IF($AU$7="BP",BT24,BY24))</f>
        <v>43240.541273148148</v>
      </c>
      <c r="CA24" s="309">
        <v>0.54847222222222225</v>
      </c>
    </row>
    <row r="25" spans="1:79" ht="19.5" customHeight="1" x14ac:dyDescent="0.2">
      <c r="A25" s="167" t="s">
        <v>24</v>
      </c>
      <c r="B25" s="168" t="s">
        <v>288</v>
      </c>
      <c r="C25" s="168" t="s">
        <v>243</v>
      </c>
      <c r="D25" s="169" t="s">
        <v>211</v>
      </c>
      <c r="E25" s="169">
        <v>81.95</v>
      </c>
      <c r="F25" s="169">
        <f>IF(LEFT(D25,1)="M",VLOOKUP(IF($E$7="Bwt (kg)",E25,E25/2.2046),Lists!$B$16:$D$24,IF(ISERROR(FIND("J",D25)),3,2)),VLOOKUP(IF($E$7="Bwt (kg)",E25,E25/2.2046),Lists!$B$26:$D$33,IF(ISERROR(FIND("J",D25)),3,2)))</f>
        <v>83</v>
      </c>
      <c r="G25" s="169">
        <v>4</v>
      </c>
      <c r="H25" s="170">
        <f>IF(AND(VALUE(E25)&gt;0,OR(LEFT(D25,1)="M",LEFT(D25,1)="F")),IF(LEFT(D25,1)="M",Wilks_Men(IF(RIGHT($F$7,4)="(lb)",E25/2.2046,E25)),Wilks_Women(IF(RIGHT($F$7,4)="(lb)",E25/2.2046,E25))),0)</f>
        <v>0.67259997129440308</v>
      </c>
      <c r="I25" s="307">
        <v>28060</v>
      </c>
      <c r="J25" s="128">
        <f ca="1">IF(I25,VLOOKUP(INT((NOW()-I25)/365.25),DATA!$A$2:$B$53,2,TRUE),0)</f>
        <v>1.01</v>
      </c>
      <c r="K25" s="169">
        <v>13</v>
      </c>
      <c r="L25" s="308">
        <v>200</v>
      </c>
      <c r="M25" s="308">
        <v>210</v>
      </c>
      <c r="N25" s="308">
        <v>220</v>
      </c>
      <c r="O25" s="173">
        <f>IF(MAX(BL25:BN25)&gt;0,MAX(ABS(L25)*BL25,ABS(M25)*BM25,ABS(N25)*BN25),"")</f>
        <v>220</v>
      </c>
      <c r="P25" s="174" t="s">
        <v>289</v>
      </c>
      <c r="Q25" s="308">
        <v>130</v>
      </c>
      <c r="R25" s="308">
        <v>135</v>
      </c>
      <c r="S25" s="308">
        <v>140</v>
      </c>
      <c r="T25" s="173">
        <f>IF(MAX(BQ25:BS25)&gt;0,MAX(ABS(Q25)*BQ25,ABS(R25)*BR25,ABS(S25)*BS25),0)</f>
        <v>140</v>
      </c>
      <c r="U25" s="173">
        <f>IF(OR(O25="",T25=""),"",O25+T25)</f>
        <v>360</v>
      </c>
      <c r="V25" s="308">
        <v>245</v>
      </c>
      <c r="W25" s="319">
        <v>255</v>
      </c>
      <c r="X25" s="308">
        <v>265</v>
      </c>
      <c r="Y25" s="176">
        <f>IF(MAX(BV25:BX25)&gt;0,MAX(ABS(V25)*BV25,ABS(W25)*BW25,ABS(X25)*BX25),"")</f>
        <v>265</v>
      </c>
      <c r="Z25" s="173">
        <f ca="1">IF(AE25=$AU$7,IF($AU$7="SQ",O25,IF($AU$7="BP",T25,IF($AU$7="DL",Y25,IF($AU$7="PP",IF(OR(T25="",Y25=""),"",T25+Y25),IF(OR($U25="",$Y25=""),"",$O25+$T25+$Y25))))),"")</f>
        <v>625</v>
      </c>
      <c r="AA25" s="274">
        <f ca="1">IF(AE25="BP",IF(T25&gt;1,T25*H25,""),IF(Z25="","",Z25*H25))</f>
        <v>420.37498205900192</v>
      </c>
      <c r="AB25" s="177">
        <f ca="1">IF(AND(I25&gt;23,I25&lt;40),0,AA25*J25)</f>
        <v>424.57873187959194</v>
      </c>
      <c r="AC25" s="167">
        <f ca="1">OFFSET(Setup!$F$1,MATCH(D25,INDIRECT("Setup!B1:B100"),0)-1,0)</f>
        <v>2</v>
      </c>
      <c r="AD25" s="178" t="e">
        <f ca="1">IF(OR(Z25=0,AU25=0,AH25=0),"",CONCATENATE(AL25,"-",D25,IF(AC25&gt;1,"","-"),IF(AC25&gt;1,"",F25),"-",$AU$7))</f>
        <v>#VALUE!</v>
      </c>
      <c r="AE25" s="169" t="s">
        <v>109</v>
      </c>
      <c r="AH25" s="179">
        <f ca="1">AU25*(IF(OR(D25="",E25=""),0,MATCH(D25,INDIRECT("Setup!B1:B100"),0)*100000000+IF(AC25=1,(MATCH(F25,Lists!$I$16:$I$32,0)),0)*1000000+IF(Z25=0,0,IF(AC25=1,AN25*1000,IF(AC25=2,AA25,AB25))+IF(AC25=1,AP25+AQ25/1000,0))))</f>
        <v>1200000420.3749821</v>
      </c>
      <c r="AI25" s="128" t="e">
        <f ca="1">RANK(AH25,INDIRECT("AH1:AH200"),0)</f>
        <v>#VALUE!</v>
      </c>
      <c r="AJ25" s="128">
        <f ca="1">INT(AH25/1000000)</f>
        <v>1200</v>
      </c>
      <c r="AK25" s="128" t="e">
        <f ca="1">RANK(AJ25,INDIRECT("AJ1:AJ200"),0)</f>
        <v>#VALUE!</v>
      </c>
      <c r="AL25" s="128" t="e">
        <f ca="1">AI25-AK25+1</f>
        <v>#VALUE!</v>
      </c>
      <c r="AN25" s="180">
        <f ca="1">RANK(Z25,INDIRECT("Z1:Z200"),-1)</f>
        <v>19</v>
      </c>
      <c r="AO25" s="180">
        <f>E25</f>
        <v>81.95</v>
      </c>
      <c r="AP25" s="180">
        <f ca="1">RANK(AO25,INDIRECT("AO1:AO200"))</f>
        <v>21</v>
      </c>
      <c r="AQ25" s="180">
        <f ca="1">RANK(BZ25,INDIRECT("BZ:BZ"),-1)</f>
        <v>26</v>
      </c>
      <c r="AU25" s="180">
        <f ca="1">IF(ISERROR(FIND($AU$7,AE25)),0,1)</f>
        <v>1</v>
      </c>
      <c r="AW25" s="180"/>
      <c r="AX25" s="182"/>
      <c r="AY25" s="182"/>
      <c r="AZ25" s="182"/>
      <c r="BA25" s="128">
        <f>HLOOKUP($A25,$BA$1:$BH$2,2,FALSE)</f>
        <v>1</v>
      </c>
      <c r="BB25" s="118">
        <f ca="1">IF(OR(INDIRECT(ADDRESS(ROW(BB25),$BB$4))="",INDIRECT(ADDRESS(ROW(BB25),$BB$4))=0),"",ABS(INDIRECT(ADDRESS(ROW(BB25),$BB$4)))+0.0001*INDIRECT(ADDRESS(ROW(BB25),7)))</f>
        <v>200.00040000000001</v>
      </c>
      <c r="BL25" s="118">
        <v>1</v>
      </c>
      <c r="BM25" s="118">
        <v>1</v>
      </c>
      <c r="BN25" s="118">
        <v>1</v>
      </c>
      <c r="BO25" s="183">
        <v>43240.45826388889</v>
      </c>
      <c r="BQ25" s="118">
        <v>1</v>
      </c>
      <c r="BR25" s="118">
        <v>1</v>
      </c>
      <c r="BS25" s="118">
        <v>1</v>
      </c>
      <c r="BT25" s="183">
        <v>43240.506215277775</v>
      </c>
      <c r="BV25" s="118">
        <v>1</v>
      </c>
      <c r="BW25" s="118">
        <v>1</v>
      </c>
      <c r="BX25" s="118">
        <v>1</v>
      </c>
      <c r="BY25" s="183">
        <v>43240.549386574072</v>
      </c>
      <c r="BZ25" s="183">
        <f ca="1">IF($AU$7="SQ",BO25,IF($AU$7="BP",BT25,BY25))</f>
        <v>43240.549386574072</v>
      </c>
      <c r="CA25" s="309">
        <v>0.55008101851851854</v>
      </c>
    </row>
    <row r="26" spans="1:79" ht="19.5" customHeight="1" x14ac:dyDescent="0.2">
      <c r="A26" s="167" t="s">
        <v>25</v>
      </c>
      <c r="B26" s="168" t="s">
        <v>307</v>
      </c>
      <c r="C26" s="168" t="s">
        <v>183</v>
      </c>
      <c r="D26" s="169" t="s">
        <v>211</v>
      </c>
      <c r="E26" s="169">
        <v>86.05</v>
      </c>
      <c r="F26" s="169">
        <f>IF(LEFT(D26,1)="M",VLOOKUP(IF($E$7="Bwt (kg)",E26,E26/2.2046),Lists!$B$16:$D$24,IF(ISERROR(FIND("J",D26)),3,2)),VLOOKUP(IF($E$7="Bwt (kg)",E26,E26/2.2046),Lists!$B$26:$D$33,IF(ISERROR(FIND("J",D26)),3,2)))</f>
        <v>93</v>
      </c>
      <c r="G26" s="169">
        <v>6</v>
      </c>
      <c r="H26" s="170">
        <f>IF(AND(VALUE(E26)&gt;0,OR(LEFT(D26,1)="M",LEFT(D26,1)="F")),IF(LEFT(D26,1)="M",Wilks_Men(IF(RIGHT($F$7,4)="(lb)",E26/2.2046,E26)),Wilks_Women(IF(RIGHT($F$7,4)="(lb)",E26/2.2046,E26))),0)</f>
        <v>0.65380001068115234</v>
      </c>
      <c r="I26" s="307">
        <v>32895</v>
      </c>
      <c r="J26" s="128">
        <f ca="1">IF(I26,VLOOKUP(INT((NOW()-I26)/365.25),DATA!$A$2:$B$53,2,TRUE),0)</f>
        <v>1</v>
      </c>
      <c r="K26" s="169">
        <v>18</v>
      </c>
      <c r="L26" s="308">
        <v>165</v>
      </c>
      <c r="M26" s="308">
        <v>175</v>
      </c>
      <c r="N26" s="308">
        <v>180</v>
      </c>
      <c r="O26" s="173">
        <f>IF(MAX(BL26:BN26)&gt;0,MAX(ABS(L26)*BL26,ABS(M26)*BM26,ABS(N26)*BN26),"")</f>
        <v>180</v>
      </c>
      <c r="P26" s="174" t="s">
        <v>308</v>
      </c>
      <c r="Q26" s="308">
        <v>110</v>
      </c>
      <c r="R26" s="308">
        <v>117.5</v>
      </c>
      <c r="S26" s="308">
        <v>122.5</v>
      </c>
      <c r="T26" s="173">
        <f>IF(MAX(BQ26:BS26)&gt;0,MAX(ABS(Q26)*BQ26,ABS(R26)*BR26,ABS(S26)*BS26),0)</f>
        <v>122.5</v>
      </c>
      <c r="U26" s="173">
        <f>IF(OR(O26="",T26=""),"",O26+T26)</f>
        <v>302.5</v>
      </c>
      <c r="V26" s="308">
        <v>200</v>
      </c>
      <c r="W26" s="319">
        <v>210</v>
      </c>
      <c r="X26" s="308">
        <v>215</v>
      </c>
      <c r="Y26" s="176">
        <f>IF(MAX(BV26:BX26)&gt;0,MAX(ABS(V26)*BV26,ABS(W26)*BW26,ABS(X26)*BX26),"")</f>
        <v>215</v>
      </c>
      <c r="Z26" s="173">
        <f ca="1">IF(AE26=$AU$7,IF($AU$7="SQ",O26,IF($AU$7="BP",T26,IF($AU$7="DL",Y26,IF($AU$7="PP",IF(OR(T26="",Y26=""),"",T26+Y26),IF(OR($U26="",$Y26=""),"",$O26+$T26+$Y26))))),"")</f>
        <v>517.5</v>
      </c>
      <c r="AA26" s="274">
        <f ca="1">IF(AE26="BP",IF(T26&gt;1,T26*H26,""),IF(Z26="","",Z26*H26))</f>
        <v>338.34150552749634</v>
      </c>
      <c r="AB26" s="177">
        <f ca="1">IF(AND(I26&gt;23,I26&lt;40),0,AA26*J26)</f>
        <v>338.34150552749634</v>
      </c>
      <c r="AC26" s="167">
        <f ca="1">OFFSET(Setup!$F$1,MATCH(D26,INDIRECT("Setup!B1:B100"),0)-1,0)</f>
        <v>2</v>
      </c>
      <c r="AD26" s="178" t="e">
        <f ca="1">IF(OR(Z26=0,AU26=0,AH26=0),"",CONCATENATE(AL26,"-",D26,IF(AC26&gt;1,"","-"),IF(AC26&gt;1,"",F26),"-",$AU$7))</f>
        <v>#VALUE!</v>
      </c>
      <c r="AE26" s="169" t="s">
        <v>109</v>
      </c>
      <c r="AH26" s="179">
        <f ca="1">AU26*(IF(OR(D26="",E26=""),0,MATCH(D26,INDIRECT("Setup!B1:B100"),0)*100000000+IF(AC26=1,(MATCH(F26,Lists!$I$16:$I$32,0)),0)*1000000+IF(Z26=0,0,IF(AC26=1,AN26*1000,IF(AC26=2,AA26,AB26))+IF(AC26=1,AP26+AQ26/1000,0))))</f>
        <v>1200000338.3415055</v>
      </c>
      <c r="AI26" s="128" t="e">
        <f ca="1">RANK(AH26,INDIRECT("AH1:AH200"),0)</f>
        <v>#VALUE!</v>
      </c>
      <c r="AJ26" s="128">
        <f ca="1">INT(AH26/1000000)</f>
        <v>1200</v>
      </c>
      <c r="AK26" s="128" t="e">
        <f ca="1">RANK(AJ26,INDIRECT("AJ1:AJ200"),0)</f>
        <v>#VALUE!</v>
      </c>
      <c r="AL26" s="128" t="e">
        <f ca="1">AI26-AK26+1</f>
        <v>#VALUE!</v>
      </c>
      <c r="AN26" s="180">
        <f ca="1">RANK(Z26,INDIRECT("Z1:Z200"),-1)</f>
        <v>13</v>
      </c>
      <c r="AO26" s="180">
        <f>E26</f>
        <v>86.05</v>
      </c>
      <c r="AP26" s="180">
        <f ca="1">RANK(AO26,INDIRECT("AO1:AO200"))</f>
        <v>15</v>
      </c>
      <c r="AQ26" s="180">
        <f ca="1">RANK(BZ26,INDIRECT("BZ:BZ"),-1)</f>
        <v>30</v>
      </c>
      <c r="AU26" s="180">
        <f ca="1">IF(ISERROR(FIND($AU$7,AE26)),0,1)</f>
        <v>1</v>
      </c>
      <c r="AW26" s="180"/>
      <c r="AX26" s="182"/>
      <c r="AY26" s="182"/>
      <c r="AZ26" s="182"/>
      <c r="BA26" s="128">
        <f>HLOOKUP($A26,$BA$1:$BH$2,2,FALSE)</f>
        <v>2</v>
      </c>
      <c r="BB26" s="118">
        <f ca="1">IF(OR(INDIRECT(ADDRESS(ROW(BB26),$BB$4))="",INDIRECT(ADDRESS(ROW(BB26),$BB$4))=0),"",ABS(INDIRECT(ADDRESS(ROW(BB26),$BB$4)))+0.0001*INDIRECT(ADDRESS(ROW(BB26),7)))</f>
        <v>165.00059999999999</v>
      </c>
      <c r="BL26" s="118">
        <v>1</v>
      </c>
      <c r="BM26" s="118">
        <v>1</v>
      </c>
      <c r="BN26" s="118">
        <v>1</v>
      </c>
      <c r="BO26" s="183">
        <v>43240.57980324074</v>
      </c>
      <c r="BQ26" s="118">
        <v>1</v>
      </c>
      <c r="BR26" s="118">
        <v>1</v>
      </c>
      <c r="BS26" s="118">
        <v>1</v>
      </c>
      <c r="BT26" s="183">
        <v>43240.626446759263</v>
      </c>
      <c r="BV26" s="118">
        <v>1</v>
      </c>
      <c r="BW26" s="118">
        <v>1</v>
      </c>
      <c r="BX26" s="118">
        <v>1</v>
      </c>
      <c r="BY26" s="183">
        <v>43240.657638888886</v>
      </c>
      <c r="BZ26" s="183">
        <f ca="1">IF($AU$7="SQ",BO26,IF($AU$7="BP",BT26,BY26))</f>
        <v>43240.657638888886</v>
      </c>
      <c r="CA26" s="309">
        <v>0.65833333333333333</v>
      </c>
    </row>
    <row r="27" spans="1:79" ht="19.5" customHeight="1" x14ac:dyDescent="0.2">
      <c r="A27" s="167" t="s">
        <v>25</v>
      </c>
      <c r="B27" s="168" t="s">
        <v>302</v>
      </c>
      <c r="C27" s="168" t="s">
        <v>245</v>
      </c>
      <c r="D27" s="169" t="s">
        <v>211</v>
      </c>
      <c r="E27" s="169">
        <v>82.35</v>
      </c>
      <c r="F27" s="169">
        <f>IF(LEFT(D27,1)="M",VLOOKUP(IF($E$7="Bwt (kg)",E27,E27/2.2046),Lists!$B$16:$D$24,IF(ISERROR(FIND("J",D27)),3,2)),VLOOKUP(IF($E$7="Bwt (kg)",E27,E27/2.2046),Lists!$B$26:$D$33,IF(ISERROR(FIND("J",D27)),3,2)))</f>
        <v>83</v>
      </c>
      <c r="G27" s="169">
        <v>3</v>
      </c>
      <c r="H27" s="170">
        <f>IF(AND(VALUE(E27)&gt;0,OR(LEFT(D27,1)="M",LEFT(D27,1)="F")),IF(LEFT(D27,1)="M",Wilks_Men(IF(RIGHT($F$7,4)="(lb)",E27/2.2046,E27)),Wilks_Women(IF(RIGHT($F$7,4)="(lb)",E27/2.2046,E27))),0)</f>
        <v>0.67059999704360962</v>
      </c>
      <c r="I27" s="307">
        <v>35333</v>
      </c>
      <c r="J27" s="128">
        <f ca="1">IF(I27,VLOOKUP(INT((NOW()-I27)/365.25),DATA!$A$2:$B$53,2,TRUE),0)</f>
        <v>1.02</v>
      </c>
      <c r="K27" s="169">
        <v>14</v>
      </c>
      <c r="L27" s="308">
        <v>175</v>
      </c>
      <c r="M27" s="308">
        <v>185</v>
      </c>
      <c r="N27" s="308">
        <v>195</v>
      </c>
      <c r="O27" s="173">
        <f>IF(MAX(BL27:BN27)&gt;0,MAX(ABS(L27)*BL27,ABS(M27)*BM27,ABS(N27)*BN27),"")</f>
        <v>195</v>
      </c>
      <c r="P27" s="174" t="s">
        <v>313</v>
      </c>
      <c r="Q27" s="308">
        <v>100</v>
      </c>
      <c r="R27" s="308">
        <v>107.5</v>
      </c>
      <c r="S27" s="308">
        <v>110</v>
      </c>
      <c r="T27" s="173">
        <f>IF(MAX(BQ27:BS27)&gt;0,MAX(ABS(Q27)*BQ27,ABS(R27)*BR27,ABS(S27)*BS27),0)</f>
        <v>110</v>
      </c>
      <c r="U27" s="173">
        <f>IF(OR(O27="",T27=""),"",O27+T27)</f>
        <v>305</v>
      </c>
      <c r="V27" s="308">
        <v>225</v>
      </c>
      <c r="W27" s="319">
        <v>240</v>
      </c>
      <c r="X27" s="308">
        <v>255</v>
      </c>
      <c r="Y27" s="176">
        <f>IF(MAX(BV27:BX27)&gt;0,MAX(ABS(V27)*BV27,ABS(W27)*BW27,ABS(X27)*BX27),"")</f>
        <v>255</v>
      </c>
      <c r="Z27" s="173">
        <f ca="1">IF(AE27=$AU$7,IF($AU$7="SQ",O27,IF($AU$7="BP",T27,IF($AU$7="DL",Y27,IF($AU$7="PP",IF(OR(T27="",Y27=""),"",T27+Y27),IF(OR($U27="",$Y27=""),"",$O27+$T27+$Y27))))),"")</f>
        <v>560</v>
      </c>
      <c r="AA27" s="274">
        <f ca="1">IF(AE27="BP",IF(T27&gt;1,T27*H27,""),IF(Z27="","",Z27*H27))</f>
        <v>375.53599834442139</v>
      </c>
      <c r="AB27" s="177">
        <f ca="1">IF(AND(I27&gt;23,I27&lt;40),0,AA27*J27)</f>
        <v>383.0467183113098</v>
      </c>
      <c r="AC27" s="167">
        <f ca="1">OFFSET(Setup!$F$1,MATCH(D27,INDIRECT("Setup!B1:B100"),0)-1,0)</f>
        <v>2</v>
      </c>
      <c r="AD27" s="178" t="e">
        <f ca="1">IF(OR(Z27=0,AU27=0,AH27=0),"",CONCATENATE(AL27,"-",D27,IF(AC27&gt;1,"","-"),IF(AC27&gt;1,"",F27),"-",$AU$7))</f>
        <v>#VALUE!</v>
      </c>
      <c r="AE27" s="169" t="s">
        <v>109</v>
      </c>
      <c r="AH27" s="179">
        <f ca="1">AU27*(IF(OR(D27="",E27=""),0,MATCH(D27,INDIRECT("Setup!B1:B100"),0)*100000000+IF(AC27=1,(MATCH(F27,Lists!$I$16:$I$32,0)),0)*1000000+IF(Z27=0,0,IF(AC27=1,AN27*1000,IF(AC27=2,AA27,AB27))+IF(AC27=1,AP27+AQ27/1000,0))))</f>
        <v>1200000375.5359983</v>
      </c>
      <c r="AI27" s="128" t="e">
        <f ca="1">RANK(AH27,INDIRECT("AH1:AH200"),0)</f>
        <v>#VALUE!</v>
      </c>
      <c r="AJ27" s="128">
        <f ca="1">INT(AH27/1000000)</f>
        <v>1200</v>
      </c>
      <c r="AK27" s="128" t="e">
        <f ca="1">RANK(AJ27,INDIRECT("AJ1:AJ200"),0)</f>
        <v>#VALUE!</v>
      </c>
      <c r="AL27" s="128" t="e">
        <f ca="1">AI27-AK27+1</f>
        <v>#VALUE!</v>
      </c>
      <c r="AN27" s="180">
        <f ca="1">RANK(Z27,INDIRECT("Z1:Z200"),-1)</f>
        <v>16</v>
      </c>
      <c r="AO27" s="180">
        <f>E27</f>
        <v>82.35</v>
      </c>
      <c r="AP27" s="180">
        <f ca="1">RANK(AO27,INDIRECT("AO1:AO200"))</f>
        <v>20</v>
      </c>
      <c r="AQ27" s="180">
        <f ca="1">RANK(BZ27,INDIRECT("BZ:BZ"),-1)</f>
        <v>34</v>
      </c>
      <c r="AU27" s="180">
        <f ca="1">IF(ISERROR(FIND($AU$7,AE27)),0,1)</f>
        <v>1</v>
      </c>
      <c r="AW27" s="180"/>
      <c r="AX27" s="182"/>
      <c r="AY27" s="182"/>
      <c r="AZ27" s="182"/>
      <c r="BA27" s="128">
        <f>HLOOKUP($A27,$BA$1:$BH$2,2,FALSE)</f>
        <v>2</v>
      </c>
      <c r="BB27" s="118">
        <f ca="1">IF(OR(INDIRECT(ADDRESS(ROW(BB27),$BB$4))="",INDIRECT(ADDRESS(ROW(BB27),$BB$4))=0),"",ABS(INDIRECT(ADDRESS(ROW(BB27),$BB$4)))+0.0001*INDIRECT(ADDRESS(ROW(BB27),7)))</f>
        <v>175.00030000000001</v>
      </c>
      <c r="BL27" s="118">
        <v>1</v>
      </c>
      <c r="BM27" s="118">
        <v>1</v>
      </c>
      <c r="BN27" s="118">
        <v>1</v>
      </c>
      <c r="BO27" s="183">
        <v>43240.581157407411</v>
      </c>
      <c r="BQ27" s="118">
        <v>1</v>
      </c>
      <c r="BR27" s="118">
        <v>1</v>
      </c>
      <c r="BS27" s="118">
        <v>1</v>
      </c>
      <c r="BT27" s="183">
        <v>43240.625694444447</v>
      </c>
      <c r="BV27" s="118">
        <v>1</v>
      </c>
      <c r="BW27" s="118">
        <v>1</v>
      </c>
      <c r="BX27" s="118">
        <v>1</v>
      </c>
      <c r="BY27" s="183">
        <v>43240.661122685182</v>
      </c>
      <c r="BZ27" s="183">
        <f ca="1">IF($AU$7="SQ",BO27,IF($AU$7="BP",BT27,BY27))</f>
        <v>43240.661122685182</v>
      </c>
      <c r="CA27" s="309">
        <v>0.66181712962962969</v>
      </c>
    </row>
    <row r="28" spans="1:79" ht="19.5" customHeight="1" x14ac:dyDescent="0.2">
      <c r="A28" s="167" t="s">
        <v>25</v>
      </c>
      <c r="B28" s="168" t="s">
        <v>310</v>
      </c>
      <c r="C28" s="168" t="s">
        <v>243</v>
      </c>
      <c r="D28" s="169" t="s">
        <v>211</v>
      </c>
      <c r="E28" s="169">
        <v>90.9</v>
      </c>
      <c r="F28" s="169">
        <f>IF(LEFT(D28,1)="M",VLOOKUP(IF($E$7="Bwt (kg)",E28,E28/2.2046),Lists!$B$16:$D$24,IF(ISERROR(FIND("J",D28)),3,2)),VLOOKUP(IF($E$7="Bwt (kg)",E28,E28/2.2046),Lists!$B$26:$D$33,IF(ISERROR(FIND("J",D28)),3,2)))</f>
        <v>93</v>
      </c>
      <c r="G28" s="169">
        <v>8</v>
      </c>
      <c r="H28" s="170">
        <f>IF(AND(VALUE(E28)&gt;0,OR(LEFT(D28,1)="M",LEFT(D28,1)="F")),IF(LEFT(D28,1)="M",Wilks_Men(IF(RIGHT($F$7,4)="(lb)",E28/2.2046,E28)),Wilks_Women(IF(RIGHT($F$7,4)="(lb)",E28/2.2046,E28))),0)</f>
        <v>0.63520002365112305</v>
      </c>
      <c r="I28" s="307">
        <v>34130</v>
      </c>
      <c r="J28" s="128">
        <f ca="1">IF(I28,VLOOKUP(INT((NOW()-I28)/365.25),DATA!$A$2:$B$53,2,TRUE),0)</f>
        <v>1</v>
      </c>
      <c r="K28" s="169">
        <v>18</v>
      </c>
      <c r="L28" s="308">
        <v>180</v>
      </c>
      <c r="M28" s="308">
        <v>187.5</v>
      </c>
      <c r="N28" s="308">
        <v>192.5</v>
      </c>
      <c r="O28" s="173">
        <f>IF(MAX(BL28:BN28)&gt;0,MAX(ABS(L28)*BL28,ABS(M28)*BM28,ABS(N28)*BN28),"")</f>
        <v>192.5</v>
      </c>
      <c r="P28" s="174" t="s">
        <v>311</v>
      </c>
      <c r="Q28" s="308">
        <v>100</v>
      </c>
      <c r="R28" s="167"/>
      <c r="S28" s="167"/>
      <c r="T28" s="173">
        <f>IF(MAX(BQ28:BS28)&gt;0,MAX(ABS(Q28)*BQ28,ABS(R28)*BR28,ABS(S28)*BS28),0)</f>
        <v>100</v>
      </c>
      <c r="U28" s="173">
        <f>IF(OR(O28="",T28=""),"",O28+T28)</f>
        <v>292.5</v>
      </c>
      <c r="V28" s="308">
        <v>222.5</v>
      </c>
      <c r="W28" s="319">
        <v>230</v>
      </c>
      <c r="X28" s="308">
        <v>240</v>
      </c>
      <c r="Y28" s="176">
        <f>IF(MAX(BV28:BX28)&gt;0,MAX(ABS(V28)*BV28,ABS(W28)*BW28,ABS(X28)*BX28),"")</f>
        <v>240</v>
      </c>
      <c r="Z28" s="173">
        <f ca="1">IF(AE28=$AU$7,IF($AU$7="SQ",O28,IF($AU$7="BP",T28,IF($AU$7="DL",Y28,IF($AU$7="PP",IF(OR(T28="",Y28=""),"",T28+Y28),IF(OR($U28="",$Y28=""),"",$O28+$T28+$Y28))))),"")</f>
        <v>532.5</v>
      </c>
      <c r="AA28" s="274">
        <f ca="1">IF(AE28="BP",IF(T28&gt;1,T28*H28,""),IF(Z28="","",Z28*H28))</f>
        <v>338.24401259422302</v>
      </c>
      <c r="AB28" s="177">
        <f ca="1">IF(AND(I28&gt;23,I28&lt;40),0,AA28*J28)</f>
        <v>338.24401259422302</v>
      </c>
      <c r="AC28" s="167">
        <f ca="1">OFFSET(Setup!$F$1,MATCH(D28,INDIRECT("Setup!B1:B100"),0)-1,0)</f>
        <v>2</v>
      </c>
      <c r="AD28" s="178" t="e">
        <f ca="1">IF(OR(Z28=0,AU28=0,AH28=0),"",CONCATENATE(AL28,"-",D28,IF(AC28&gt;1,"","-"),IF(AC28&gt;1,"",F28),"-",$AU$7))</f>
        <v>#VALUE!</v>
      </c>
      <c r="AE28" s="169" t="s">
        <v>109</v>
      </c>
      <c r="AH28" s="179">
        <f ca="1">AU28*(IF(OR(D28="",E28=""),0,MATCH(D28,INDIRECT("Setup!B1:B100"),0)*100000000+IF(AC28=1,(MATCH(F28,Lists!$I$16:$I$32,0)),0)*1000000+IF(Z28=0,0,IF(AC28=1,AN28*1000,IF(AC28=2,AA28,AB28))+IF(AC28=1,AP28+AQ28/1000,0))))</f>
        <v>1200000338.2440126</v>
      </c>
      <c r="AI28" s="128" t="e">
        <f ca="1">RANK(AH28,INDIRECT("AH1:AH200"),0)</f>
        <v>#VALUE!</v>
      </c>
      <c r="AJ28" s="128">
        <f ca="1">INT(AH28/1000000)</f>
        <v>1200</v>
      </c>
      <c r="AK28" s="128" t="e">
        <f ca="1">RANK(AJ28,INDIRECT("AJ1:AJ200"),0)</f>
        <v>#VALUE!</v>
      </c>
      <c r="AL28" s="128" t="e">
        <f ca="1">AI28-AK28+1</f>
        <v>#VALUE!</v>
      </c>
      <c r="AN28" s="180">
        <f ca="1">RANK(Z28,INDIRECT("Z1:Z200"),-1)</f>
        <v>14</v>
      </c>
      <c r="AO28" s="180">
        <f>E28</f>
        <v>90.9</v>
      </c>
      <c r="AP28" s="180">
        <f ca="1">RANK(AO28,INDIRECT("AO1:AO200"))</f>
        <v>12</v>
      </c>
      <c r="AQ28" s="180">
        <f ca="1">RANK(BZ28,INDIRECT("BZ:BZ"),-1)</f>
        <v>31</v>
      </c>
      <c r="AU28" s="180">
        <f ca="1">IF(ISERROR(FIND($AU$7,AE28)),0,1)</f>
        <v>1</v>
      </c>
      <c r="AW28" s="180"/>
      <c r="AX28" s="182"/>
      <c r="AY28" s="182"/>
      <c r="AZ28" s="182"/>
      <c r="BA28" s="128">
        <f>HLOOKUP($A28,$BA$1:$BH$2,2,FALSE)</f>
        <v>2</v>
      </c>
      <c r="BB28" s="118">
        <f ca="1">IF(OR(INDIRECT(ADDRESS(ROW(BB28),$BB$4))="",INDIRECT(ADDRESS(ROW(BB28),$BB$4))=0),"",ABS(INDIRECT(ADDRESS(ROW(BB28),$BB$4)))+0.0001*INDIRECT(ADDRESS(ROW(BB28),7)))</f>
        <v>180.0008</v>
      </c>
      <c r="BL28" s="118">
        <v>1</v>
      </c>
      <c r="BM28" s="118">
        <v>1</v>
      </c>
      <c r="BN28" s="118">
        <v>1</v>
      </c>
      <c r="BO28" s="183">
        <v>43240.580439814818</v>
      </c>
      <c r="BQ28" s="118">
        <v>1</v>
      </c>
      <c r="BR28" s="118">
        <v>0</v>
      </c>
      <c r="BS28" s="118">
        <v>0</v>
      </c>
      <c r="BT28" s="183">
        <v>43240.61310185185</v>
      </c>
      <c r="BV28" s="118">
        <v>1</v>
      </c>
      <c r="BW28" s="118">
        <v>1</v>
      </c>
      <c r="BX28" s="118">
        <v>1</v>
      </c>
      <c r="BY28" s="183">
        <v>43240.658530092594</v>
      </c>
      <c r="BZ28" s="183">
        <f ca="1">IF($AU$7="SQ",BO28,IF($AU$7="BP",BT28,BY28))</f>
        <v>43240.658530092594</v>
      </c>
      <c r="CA28" s="309">
        <v>0.65922453703703698</v>
      </c>
    </row>
    <row r="29" spans="1:79" ht="19.5" customHeight="1" x14ac:dyDescent="0.2">
      <c r="A29" s="167" t="s">
        <v>25</v>
      </c>
      <c r="B29" s="168" t="s">
        <v>312</v>
      </c>
      <c r="C29" s="168" t="s">
        <v>267</v>
      </c>
      <c r="D29" s="169" t="s">
        <v>211</v>
      </c>
      <c r="E29" s="169">
        <v>125.8</v>
      </c>
      <c r="F29" s="169" t="str">
        <f>IF(LEFT(D29,1)="M",VLOOKUP(IF($E$7="Bwt (kg)",E29,E29/2.2046),Lists!$B$16:$D$24,IF(ISERROR(FIND("J",D29)),3,2)),VLOOKUP(IF($E$7="Bwt (kg)",E29,E29/2.2046),Lists!$B$26:$D$33,IF(ISERROR(FIND("J",D29)),3,2)))</f>
        <v>120+</v>
      </c>
      <c r="G29" s="169">
        <v>9</v>
      </c>
      <c r="H29" s="170">
        <f>IF(AND(VALUE(E29)&gt;0,OR(LEFT(D29,1)="M",LEFT(D29,1)="F")),IF(LEFT(D29,1)="M",Wilks_Men(IF(RIGHT($F$7,4)="(lb)",E29/2.2046,E29)),Wilks_Women(IF(RIGHT($F$7,4)="(lb)",E29/2.2046,E29))),0)</f>
        <v>0.569100022315979</v>
      </c>
      <c r="I29" s="307">
        <v>29127</v>
      </c>
      <c r="J29" s="128">
        <f ca="1">IF(I29,VLOOKUP(INT((NOW()-I29)/365.25),DATA!$A$2:$B$53,2,TRUE),0)</f>
        <v>1</v>
      </c>
      <c r="K29" s="169">
        <v>17</v>
      </c>
      <c r="L29" s="308">
        <v>180</v>
      </c>
      <c r="M29" s="308">
        <v>200</v>
      </c>
      <c r="N29" s="308">
        <v>210</v>
      </c>
      <c r="O29" s="173">
        <f>IF(MAX(BL29:BN29)&gt;0,MAX(ABS(L29)*BL29,ABS(M29)*BM29,ABS(N29)*BN29),"")</f>
        <v>210</v>
      </c>
      <c r="P29" s="174" t="s">
        <v>314</v>
      </c>
      <c r="Q29" s="308">
        <v>130</v>
      </c>
      <c r="R29" s="308">
        <v>142.5</v>
      </c>
      <c r="S29" s="308">
        <v>150</v>
      </c>
      <c r="T29" s="173">
        <f>IF(MAX(BQ29:BS29)&gt;0,MAX(ABS(Q29)*BQ29,ABS(R29)*BR29,ABS(S29)*BS29),0)</f>
        <v>150</v>
      </c>
      <c r="U29" s="173">
        <f>IF(OR(O29="",T29=""),"",O29+T29)</f>
        <v>360</v>
      </c>
      <c r="V29" s="308">
        <v>220</v>
      </c>
      <c r="W29" s="319">
        <v>240</v>
      </c>
      <c r="X29" s="308">
        <v>250</v>
      </c>
      <c r="Y29" s="176">
        <f>IF(MAX(BV29:BX29)&gt;0,MAX(ABS(V29)*BV29,ABS(W29)*BW29,ABS(X29)*BX29),"")</f>
        <v>250</v>
      </c>
      <c r="Z29" s="173">
        <f ca="1">IF(AE29=$AU$7,IF($AU$7="SQ",O29,IF($AU$7="BP",T29,IF($AU$7="DL",Y29,IF($AU$7="PP",IF(OR(T29="",Y29=""),"",T29+Y29),IF(OR($U29="",$Y29=""),"",$O29+$T29+$Y29))))),"")</f>
        <v>610</v>
      </c>
      <c r="AA29" s="274">
        <f ca="1">IF(AE29="BP",IF(T29&gt;1,T29*H29,""),IF(Z29="","",Z29*H29))</f>
        <v>347.15101361274719</v>
      </c>
      <c r="AB29" s="177">
        <f ca="1">IF(AND(I29&gt;23,I29&lt;40),0,AA29*J29)</f>
        <v>347.15101361274719</v>
      </c>
      <c r="AC29" s="167">
        <f ca="1">OFFSET(Setup!$F$1,MATCH(D29,INDIRECT("Setup!B1:B100"),0)-1,0)</f>
        <v>2</v>
      </c>
      <c r="AD29" s="178" t="e">
        <f ca="1">IF(OR(Z29=0,AU29=0,AH29=0),"",CONCATENATE(AL29,"-",D29,IF(AC29&gt;1,"","-"),IF(AC29&gt;1,"",F29),"-",$AU$7))</f>
        <v>#VALUE!</v>
      </c>
      <c r="AE29" s="169" t="s">
        <v>109</v>
      </c>
      <c r="AH29" s="179">
        <f ca="1">AU29*(IF(OR(D29="",E29=""),0,MATCH(D29,INDIRECT("Setup!B1:B100"),0)*100000000+IF(AC29=1,(MATCH(F29,Lists!$I$16:$I$32,0)),0)*1000000+IF(Z29=0,0,IF(AC29=1,AN29*1000,IF(AC29=2,AA29,AB29))+IF(AC29=1,AP29+AQ29/1000,0))))</f>
        <v>1200000347.1510136</v>
      </c>
      <c r="AI29" s="128" t="e">
        <f ca="1">RANK(AH29,INDIRECT("AH1:AH200"),0)</f>
        <v>#VALUE!</v>
      </c>
      <c r="AJ29" s="128">
        <f ca="1">INT(AH29/1000000)</f>
        <v>1200</v>
      </c>
      <c r="AK29" s="128" t="e">
        <f ca="1">RANK(AJ29,INDIRECT("AJ1:AJ200"),0)</f>
        <v>#VALUE!</v>
      </c>
      <c r="AL29" s="128" t="e">
        <f ca="1">AI29-AK29+1</f>
        <v>#VALUE!</v>
      </c>
      <c r="AN29" s="180">
        <f ca="1">RANK(Z29,INDIRECT("Z1:Z200"),-1)</f>
        <v>18</v>
      </c>
      <c r="AO29" s="180">
        <f>E29</f>
        <v>125.8</v>
      </c>
      <c r="AP29" s="180">
        <f ca="1">RANK(AO29,INDIRECT("AO1:AO200"))</f>
        <v>2</v>
      </c>
      <c r="AQ29" s="180">
        <f ca="1">RANK(BZ29,INDIRECT("BZ:BZ"),-1)</f>
        <v>33</v>
      </c>
      <c r="AU29" s="180">
        <f ca="1">IF(ISERROR(FIND($AU$7,AE29)),0,1)</f>
        <v>1</v>
      </c>
      <c r="AW29" s="180"/>
      <c r="AX29" s="182"/>
      <c r="AY29" s="182"/>
      <c r="AZ29" s="182"/>
      <c r="BA29" s="128">
        <f>HLOOKUP($A29,$BA$1:$BH$2,2,FALSE)</f>
        <v>2</v>
      </c>
      <c r="BB29" s="118">
        <f ca="1">IF(OR(INDIRECT(ADDRESS(ROW(BB29),$BB$4))="",INDIRECT(ADDRESS(ROW(BB29),$BB$4))=0),"",ABS(INDIRECT(ADDRESS(ROW(BB29),$BB$4)))+0.0001*INDIRECT(ADDRESS(ROW(BB29),7)))</f>
        <v>180.0009</v>
      </c>
      <c r="BL29" s="118">
        <v>1</v>
      </c>
      <c r="BM29" s="118">
        <v>1</v>
      </c>
      <c r="BN29" s="118">
        <v>1</v>
      </c>
      <c r="BO29" s="183">
        <v>43240.58184027778</v>
      </c>
      <c r="BQ29" s="118">
        <v>1</v>
      </c>
      <c r="BR29" s="118">
        <v>1</v>
      </c>
      <c r="BS29" s="118">
        <v>1</v>
      </c>
      <c r="BT29" s="183">
        <v>43240.628634259258</v>
      </c>
      <c r="BV29" s="118">
        <v>1</v>
      </c>
      <c r="BW29" s="118">
        <v>1</v>
      </c>
      <c r="BX29" s="118">
        <v>1</v>
      </c>
      <c r="BY29" s="183">
        <v>43240.660300925927</v>
      </c>
      <c r="BZ29" s="183">
        <f ca="1">IF($AU$7="SQ",BO29,IF($AU$7="BP",BT29,BY29))</f>
        <v>43240.660300925927</v>
      </c>
      <c r="CA29" s="309">
        <v>0.66099537037037037</v>
      </c>
    </row>
    <row r="30" spans="1:79" ht="19.5" customHeight="1" x14ac:dyDescent="0.2">
      <c r="A30" s="167" t="s">
        <v>25</v>
      </c>
      <c r="B30" s="168" t="s">
        <v>309</v>
      </c>
      <c r="C30" s="168" t="s">
        <v>267</v>
      </c>
      <c r="D30" s="169" t="s">
        <v>211</v>
      </c>
      <c r="E30" s="169">
        <v>98.35</v>
      </c>
      <c r="F30" s="169">
        <f>IF(LEFT(D30,1)="M",VLOOKUP(IF($E$7="Bwt (kg)",E30,E30/2.2046),Lists!$B$16:$D$24,IF(ISERROR(FIND("J",D30)),3,2)),VLOOKUP(IF($E$7="Bwt (kg)",E30,E30/2.2046),Lists!$B$26:$D$33,IF(ISERROR(FIND("J",D30)),3,2)))</f>
        <v>105</v>
      </c>
      <c r="G30" s="169">
        <v>7</v>
      </c>
      <c r="H30" s="170">
        <f>IF(AND(VALUE(E30)&gt;0,OR(LEFT(D30,1)="M",LEFT(D30,1)="F")),IF(LEFT(D30,1)="M",Wilks_Men(IF(RIGHT($F$7,4)="(lb)",E30/2.2046,E30)),Wilks_Women(IF(RIGHT($F$7,4)="(lb)",E30/2.2046,E30))),0)</f>
        <v>0.61269998550415039</v>
      </c>
      <c r="I30" s="307">
        <v>32513</v>
      </c>
      <c r="J30" s="128">
        <f ca="1">IF(I30,VLOOKUP(INT((NOW()-I30)/365.25),DATA!$A$2:$B$53,2,TRUE),0)</f>
        <v>1</v>
      </c>
      <c r="K30" s="169">
        <v>17</v>
      </c>
      <c r="L30" s="308">
        <v>195</v>
      </c>
      <c r="M30" s="308">
        <v>210</v>
      </c>
      <c r="N30" s="308">
        <v>215</v>
      </c>
      <c r="O30" s="173">
        <f>IF(MAX(BL30:BN30)&gt;0,MAX(ABS(L30)*BL30,ABS(M30)*BM30,ABS(N30)*BN30),"")</f>
        <v>215</v>
      </c>
      <c r="P30" s="317" t="s">
        <v>314</v>
      </c>
      <c r="Q30" s="316">
        <v>-130</v>
      </c>
      <c r="R30" s="308">
        <v>130</v>
      </c>
      <c r="S30" s="308">
        <v>140</v>
      </c>
      <c r="T30" s="173">
        <f>IF(MAX(BQ30:BS30)&gt;0,MAX(ABS(Q30)*BQ30,ABS(R30)*BR30,ABS(S30)*BS30),0)</f>
        <v>140</v>
      </c>
      <c r="U30" s="173">
        <f>IF(OR(O30="",T30=""),"",O30+T30)</f>
        <v>355</v>
      </c>
      <c r="V30" s="308">
        <v>220</v>
      </c>
      <c r="W30" s="319">
        <v>235</v>
      </c>
      <c r="X30" s="308">
        <v>245</v>
      </c>
      <c r="Y30" s="176">
        <f>IF(MAX(BV30:BX30)&gt;0,MAX(ABS(V30)*BV30,ABS(W30)*BW30,ABS(X30)*BX30),"")</f>
        <v>245</v>
      </c>
      <c r="Z30" s="173">
        <f ca="1">IF(AE30=$AU$7,IF($AU$7="SQ",O30,IF($AU$7="BP",T30,IF($AU$7="DL",Y30,IF($AU$7="PP",IF(OR(T30="",Y30=""),"",T30+Y30),IF(OR($U30="",$Y30=""),"",$O30+$T30+$Y30))))),"")</f>
        <v>600</v>
      </c>
      <c r="AA30" s="274">
        <f ca="1">IF(AE30="BP",IF(T30&gt;1,T30*H30,""),IF(Z30="","",Z30*H30))</f>
        <v>367.61999130249023</v>
      </c>
      <c r="AB30" s="177">
        <f ca="1">IF(AND(I30&gt;23,I30&lt;40),0,AA30*J30)</f>
        <v>367.61999130249023</v>
      </c>
      <c r="AC30" s="167">
        <f ca="1">OFFSET(Setup!$F$1,MATCH(D30,INDIRECT("Setup!B1:B100"),0)-1,0)</f>
        <v>2</v>
      </c>
      <c r="AD30" s="178" t="e">
        <f ca="1">IF(OR(Z30=0,AU30=0,AH30=0),"",CONCATENATE(AL30,"-",D30,IF(AC30&gt;1,"","-"),IF(AC30&gt;1,"",F30),"-",$AU$7))</f>
        <v>#VALUE!</v>
      </c>
      <c r="AE30" s="169" t="s">
        <v>109</v>
      </c>
      <c r="AH30" s="179">
        <f ca="1">AU30*(IF(OR(D30="",E30=""),0,MATCH(D30,INDIRECT("Setup!B1:B100"),0)*100000000+IF(AC30=1,(MATCH(F30,Lists!$I$16:$I$32,0)),0)*1000000+IF(Z30=0,0,IF(AC30=1,AN30*1000,IF(AC30=2,AA30,AB30))+IF(AC30=1,AP30+AQ30/1000,0))))</f>
        <v>1200000367.6199913</v>
      </c>
      <c r="AI30" s="128" t="e">
        <f ca="1">RANK(AH30,INDIRECT("AH1:AH200"),0)</f>
        <v>#VALUE!</v>
      </c>
      <c r="AJ30" s="128">
        <f ca="1">INT(AH30/1000000)</f>
        <v>1200</v>
      </c>
      <c r="AK30" s="128" t="e">
        <f ca="1">RANK(AJ30,INDIRECT("AJ1:AJ200"),0)</f>
        <v>#VALUE!</v>
      </c>
      <c r="AL30" s="128" t="e">
        <f ca="1">AI30-AK30+1</f>
        <v>#VALUE!</v>
      </c>
      <c r="AN30" s="180">
        <f ca="1">RANK(Z30,INDIRECT("Z1:Z200"),-1)</f>
        <v>17</v>
      </c>
      <c r="AO30" s="180">
        <f>E30</f>
        <v>98.35</v>
      </c>
      <c r="AP30" s="180">
        <f ca="1">RANK(AO30,INDIRECT("AO1:AO200"))</f>
        <v>10</v>
      </c>
      <c r="AQ30" s="180">
        <f ca="1">RANK(BZ30,INDIRECT("BZ:BZ"),-1)</f>
        <v>32</v>
      </c>
      <c r="AU30" s="180">
        <f ca="1">IF(ISERROR(FIND($AU$7,AE30)),0,1)</f>
        <v>1</v>
      </c>
      <c r="AW30" s="180"/>
      <c r="AX30" s="182"/>
      <c r="AY30" s="182"/>
      <c r="AZ30" s="182"/>
      <c r="BA30" s="128">
        <f>HLOOKUP($A30,$BA$1:$BH$2,2,FALSE)</f>
        <v>2</v>
      </c>
      <c r="BB30" s="118">
        <f ca="1">IF(OR(INDIRECT(ADDRESS(ROW(BB30),$BB$4))="",INDIRECT(ADDRESS(ROW(BB30),$BB$4))=0),"",ABS(INDIRECT(ADDRESS(ROW(BB30),$BB$4)))+0.0001*INDIRECT(ADDRESS(ROW(BB30),7)))</f>
        <v>195.00069999999999</v>
      </c>
      <c r="BL30" s="118">
        <v>1</v>
      </c>
      <c r="BM30" s="118">
        <v>1</v>
      </c>
      <c r="BN30" s="118">
        <v>1</v>
      </c>
      <c r="BO30" s="183">
        <v>43240.582858796297</v>
      </c>
      <c r="BQ30" s="118">
        <v>-1</v>
      </c>
      <c r="BR30" s="118">
        <v>1</v>
      </c>
      <c r="BS30" s="118">
        <v>1</v>
      </c>
      <c r="BT30" s="183">
        <v>43240.62736111111</v>
      </c>
      <c r="BV30" s="118">
        <v>1</v>
      </c>
      <c r="BW30" s="118">
        <v>1</v>
      </c>
      <c r="BX30" s="118">
        <v>1</v>
      </c>
      <c r="BY30" s="183">
        <v>43240.659386574072</v>
      </c>
      <c r="BZ30" s="183">
        <f ca="1">IF($AU$7="SQ",BO30,IF($AU$7="BP",BT30,BY30))</f>
        <v>43240.659386574072</v>
      </c>
      <c r="CA30" s="309">
        <v>0.66008101851851853</v>
      </c>
    </row>
    <row r="31" spans="1:79" ht="19.5" customHeight="1" x14ac:dyDescent="0.2">
      <c r="A31" s="167" t="s">
        <v>25</v>
      </c>
      <c r="B31" s="168" t="s">
        <v>303</v>
      </c>
      <c r="C31" s="168" t="s">
        <v>245</v>
      </c>
      <c r="D31" s="169" t="s">
        <v>211</v>
      </c>
      <c r="E31" s="169">
        <v>116.7</v>
      </c>
      <c r="F31" s="169">
        <f>IF(LEFT(D31,1)="M",VLOOKUP(IF($E$7="Bwt (kg)",E31,E31/2.2046),Lists!$B$16:$D$24,IF(ISERROR(FIND("J",D31)),3,2)),VLOOKUP(IF($E$7="Bwt (kg)",E31,E31/2.2046),Lists!$B$26:$D$33,IF(ISERROR(FIND("J",D31)),3,2)))</f>
        <v>120</v>
      </c>
      <c r="G31" s="169">
        <v>4</v>
      </c>
      <c r="H31" s="170">
        <f>IF(AND(VALUE(E31)&gt;0,OR(LEFT(D31,1)="M",LEFT(D31,1)="F")),IF(LEFT(D31,1)="M",Wilks_Men(IF(RIGHT($F$7,4)="(lb)",E31/2.2046,E31)),Wilks_Women(IF(RIGHT($F$7,4)="(lb)",E31/2.2046,E31))),0)</f>
        <v>0.5788000226020813</v>
      </c>
      <c r="I31" s="307">
        <v>30182</v>
      </c>
      <c r="J31" s="128">
        <f ca="1">IF(I31,VLOOKUP(INT((NOW()-I31)/365.25),DATA!$A$2:$B$53,2,TRUE),0)</f>
        <v>1</v>
      </c>
      <c r="K31" s="169">
        <v>19</v>
      </c>
      <c r="L31" s="308">
        <v>210</v>
      </c>
      <c r="M31" s="308">
        <v>225</v>
      </c>
      <c r="N31" s="308">
        <v>230</v>
      </c>
      <c r="O31" s="173">
        <f>IF(MAX(BL31:BN31)&gt;0,MAX(ABS(L31)*BL31,ABS(M31)*BM31,ABS(N31)*BN31),"")</f>
        <v>230</v>
      </c>
      <c r="P31" s="174" t="s">
        <v>300</v>
      </c>
      <c r="Q31" s="308">
        <v>145</v>
      </c>
      <c r="R31" s="308">
        <v>155</v>
      </c>
      <c r="S31" s="308">
        <v>160</v>
      </c>
      <c r="T31" s="173">
        <f>IF(MAX(BQ31:BS31)&gt;0,MAX(ABS(Q31)*BQ31,ABS(R31)*BR31,ABS(S31)*BS31),0)</f>
        <v>160</v>
      </c>
      <c r="U31" s="173">
        <f>IF(OR(O31="",T31=""),"",O31+T31)</f>
        <v>390</v>
      </c>
      <c r="V31" s="308">
        <v>255</v>
      </c>
      <c r="W31" s="319">
        <v>275</v>
      </c>
      <c r="X31" s="316">
        <v>-290</v>
      </c>
      <c r="Y31" s="176">
        <f>IF(MAX(BV31:BX31)&gt;0,MAX(ABS(V31)*BV31,ABS(W31)*BW31,ABS(X31)*BX31),"")</f>
        <v>275</v>
      </c>
      <c r="Z31" s="173">
        <f ca="1">IF(AE31=$AU$7,IF($AU$7="SQ",O31,IF($AU$7="BP",T31,IF($AU$7="DL",Y31,IF($AU$7="PP",IF(OR(T31="",Y31=""),"",T31+Y31),IF(OR($U31="",$Y31=""),"",$O31+$T31+$Y31))))),"")</f>
        <v>665</v>
      </c>
      <c r="AA31" s="274">
        <f ca="1">IF(AE31="BP",IF(T31&gt;1,T31*H31,""),IF(Z31="","",Z31*H31))</f>
        <v>384.90201503038406</v>
      </c>
      <c r="AB31" s="177">
        <f ca="1">IF(AND(I31&gt;23,I31&lt;40),0,AA31*J31)</f>
        <v>384.90201503038406</v>
      </c>
      <c r="AC31" s="167">
        <f ca="1">OFFSET(Setup!$F$1,MATCH(D31,INDIRECT("Setup!B1:B100"),0)-1,0)</f>
        <v>2</v>
      </c>
      <c r="AD31" s="178" t="e">
        <f ca="1">IF(OR(Z31=0,AU31=0,AH31=0),"",CONCATENATE(AL31,"-",D31,IF(AC31&gt;1,"","-"),IF(AC31&gt;1,"",F31),"-",$AU$7))</f>
        <v>#VALUE!</v>
      </c>
      <c r="AE31" s="169" t="s">
        <v>109</v>
      </c>
      <c r="AH31" s="179">
        <f ca="1">AU31*(IF(OR(D31="",E31=""),0,MATCH(D31,INDIRECT("Setup!B1:B100"),0)*100000000+IF(AC31=1,(MATCH(F31,Lists!$I$16:$I$32,0)),0)*1000000+IF(Z31=0,0,IF(AC31=1,AN31*1000,IF(AC31=2,AA31,AB31))+IF(AC31=1,AP31+AQ31/1000,0))))</f>
        <v>1200000384.902015</v>
      </c>
      <c r="AI31" s="128" t="e">
        <f ca="1">RANK(AH31,INDIRECT("AH1:AH200"),0)</f>
        <v>#VALUE!</v>
      </c>
      <c r="AJ31" s="128">
        <f ca="1">INT(AH31/1000000)</f>
        <v>1200</v>
      </c>
      <c r="AK31" s="128" t="e">
        <f ca="1">RANK(AJ31,INDIRECT("AJ1:AJ200"),0)</f>
        <v>#VALUE!</v>
      </c>
      <c r="AL31" s="128" t="e">
        <f ca="1">AI31-AK31+1</f>
        <v>#VALUE!</v>
      </c>
      <c r="AN31" s="180">
        <f ca="1">RANK(Z31,INDIRECT("Z1:Z200"),-1)</f>
        <v>21</v>
      </c>
      <c r="AO31" s="180">
        <f>E31</f>
        <v>116.7</v>
      </c>
      <c r="AP31" s="180">
        <f ca="1">RANK(AO31,INDIRECT("AO1:AO200"))</f>
        <v>7</v>
      </c>
      <c r="AQ31" s="180">
        <f ca="1">RANK(BZ31,INDIRECT("BZ:BZ"),-1)</f>
        <v>28</v>
      </c>
      <c r="AU31" s="180">
        <f ca="1">IF(ISERROR(FIND($AU$7,AE31)),0,1)</f>
        <v>1</v>
      </c>
      <c r="AW31" s="180"/>
      <c r="AX31" s="182"/>
      <c r="AY31" s="182"/>
      <c r="AZ31" s="182"/>
      <c r="BA31" s="128">
        <f>HLOOKUP($A31,$BA$1:$BH$2,2,FALSE)</f>
        <v>2</v>
      </c>
      <c r="BB31" s="118">
        <f ca="1">IF(OR(INDIRECT(ADDRESS(ROW(BB31),$BB$4))="",INDIRECT(ADDRESS(ROW(BB31),$BB$4))=0),"",ABS(INDIRECT(ADDRESS(ROW(BB31),$BB$4)))+0.0001*INDIRECT(ADDRESS(ROW(BB31),7)))</f>
        <v>210.00040000000001</v>
      </c>
      <c r="BL31" s="118">
        <v>1</v>
      </c>
      <c r="BM31" s="118">
        <v>1</v>
      </c>
      <c r="BN31" s="118">
        <v>1</v>
      </c>
      <c r="BO31" s="183">
        <v>43240.583622685182</v>
      </c>
      <c r="BQ31" s="118">
        <v>1</v>
      </c>
      <c r="BR31" s="118">
        <v>1</v>
      </c>
      <c r="BS31" s="118">
        <v>1</v>
      </c>
      <c r="BT31" s="183">
        <v>43240.62939814815</v>
      </c>
      <c r="BV31" s="118">
        <v>1</v>
      </c>
      <c r="BW31" s="118">
        <v>1</v>
      </c>
      <c r="BX31" s="118">
        <v>-1</v>
      </c>
      <c r="BY31" s="183">
        <v>43240.655462962961</v>
      </c>
      <c r="BZ31" s="183">
        <f ca="1">IF($AU$7="SQ",BO31,IF($AU$7="BP",BT31,BY31))</f>
        <v>43240.655462962961</v>
      </c>
      <c r="CA31" s="309">
        <v>0.6648263888888889</v>
      </c>
    </row>
    <row r="32" spans="1:79" ht="19.5" customHeight="1" x14ac:dyDescent="0.2">
      <c r="A32" s="167" t="s">
        <v>25</v>
      </c>
      <c r="B32" s="168" t="s">
        <v>299</v>
      </c>
      <c r="C32" s="168" t="s">
        <v>200</v>
      </c>
      <c r="D32" s="169" t="s">
        <v>211</v>
      </c>
      <c r="E32" s="169">
        <v>125.8</v>
      </c>
      <c r="F32" s="169" t="str">
        <f>IF(LEFT(D32,1)="M",VLOOKUP(IF($E$7="Bwt (kg)",E32,E32/2.2046),Lists!$B$16:$D$24,IF(ISERROR(FIND("J",D32)),3,2)),VLOOKUP(IF($E$7="Bwt (kg)",E32,E32/2.2046),Lists!$B$26:$D$33,IF(ISERROR(FIND("J",D32)),3,2)))</f>
        <v>120+</v>
      </c>
      <c r="G32" s="169">
        <v>1</v>
      </c>
      <c r="H32" s="170">
        <f>IF(AND(VALUE(E32)&gt;0,OR(LEFT(D32,1)="M",LEFT(D32,1)="F")),IF(LEFT(D32,1)="M",Wilks_Men(IF(RIGHT($F$7,4)="(lb)",E32/2.2046,E32)),Wilks_Women(IF(RIGHT($F$7,4)="(lb)",E32/2.2046,E32))),0)</f>
        <v>0.569100022315979</v>
      </c>
      <c r="I32" s="307">
        <v>28146</v>
      </c>
      <c r="J32" s="128">
        <f ca="1">IF(I32,VLOOKUP(INT((NOW()-I32)/365.25),DATA!$A$2:$B$53,2,TRUE),0)</f>
        <v>1.01</v>
      </c>
      <c r="K32" s="169">
        <v>16</v>
      </c>
      <c r="L32" s="308">
        <v>225</v>
      </c>
      <c r="M32" s="308">
        <v>240</v>
      </c>
      <c r="N32" s="308">
        <v>250</v>
      </c>
      <c r="O32" s="173">
        <f>IF(MAX(BL32:BN32)&gt;0,MAX(ABS(L32)*BL32,ABS(M32)*BM32,ABS(N32)*BN32),"")</f>
        <v>250</v>
      </c>
      <c r="P32" s="174" t="s">
        <v>300</v>
      </c>
      <c r="Q32" s="308">
        <v>145</v>
      </c>
      <c r="R32" s="308">
        <v>155</v>
      </c>
      <c r="S32" s="316">
        <v>-162.5</v>
      </c>
      <c r="T32" s="173">
        <f>IF(MAX(BQ32:BS32)&gt;0,MAX(ABS(Q32)*BQ32,ABS(R32)*BR32,ABS(S32)*BS32),0)</f>
        <v>155</v>
      </c>
      <c r="U32" s="173">
        <f>IF(OR(O32="",T32=""),"",O32+T32)</f>
        <v>405</v>
      </c>
      <c r="V32" s="308">
        <v>265</v>
      </c>
      <c r="W32" s="319">
        <v>280</v>
      </c>
      <c r="X32" s="316">
        <v>-285</v>
      </c>
      <c r="Y32" s="176">
        <f>IF(MAX(BV32:BX32)&gt;0,MAX(ABS(V32)*BV32,ABS(W32)*BW32,ABS(X32)*BX32),"")</f>
        <v>280</v>
      </c>
      <c r="Z32" s="173">
        <f ca="1">IF(AE32=$AU$7,IF($AU$7="SQ",O32,IF($AU$7="BP",T32,IF($AU$7="DL",Y32,IF($AU$7="PP",IF(OR(T32="",Y32=""),"",T32+Y32),IF(OR($U32="",$Y32=""),"",$O32+$T32+$Y32))))),"")</f>
        <v>685</v>
      </c>
      <c r="AA32" s="274">
        <f ca="1">IF(AE32="BP",IF(T32&gt;1,T32*H32,""),IF(Z32="","",Z32*H32))</f>
        <v>389.83351528644562</v>
      </c>
      <c r="AB32" s="177">
        <f ca="1">IF(AND(I32&gt;23,I32&lt;40),0,AA32*J32)</f>
        <v>393.73185043931005</v>
      </c>
      <c r="AC32" s="167">
        <f ca="1">OFFSET(Setup!$F$1,MATCH(D32,INDIRECT("Setup!B1:B100"),0)-1,0)</f>
        <v>2</v>
      </c>
      <c r="AD32" s="178" t="e">
        <f ca="1">IF(OR(Z32=0,AU32=0,AH32=0),"",CONCATENATE(AL32,"-",D32,IF(AC32&gt;1,"","-"),IF(AC32&gt;1,"",F32),"-",$AU$7))</f>
        <v>#VALUE!</v>
      </c>
      <c r="AE32" s="169" t="s">
        <v>109</v>
      </c>
      <c r="AH32" s="179">
        <f ca="1">AU32*(IF(OR(D32="",E32=""),0,MATCH(D32,INDIRECT("Setup!B1:B100"),0)*100000000+IF(AC32=1,(MATCH(F32,Lists!$I$16:$I$32,0)),0)*1000000+IF(Z32=0,0,IF(AC32=1,AN32*1000,IF(AC32=2,AA32,AB32))+IF(AC32=1,AP32+AQ32/1000,0))))</f>
        <v>1200000389.8335152</v>
      </c>
      <c r="AI32" s="128" t="e">
        <f ca="1">RANK(AH32,INDIRECT("AH1:AH200"),0)</f>
        <v>#VALUE!</v>
      </c>
      <c r="AJ32" s="128">
        <f ca="1">INT(AH32/1000000)</f>
        <v>1200</v>
      </c>
      <c r="AK32" s="128" t="e">
        <f ca="1">RANK(AJ32,INDIRECT("AJ1:AJ200"),0)</f>
        <v>#VALUE!</v>
      </c>
      <c r="AL32" s="128" t="e">
        <f ca="1">AI32-AK32+1</f>
        <v>#VALUE!</v>
      </c>
      <c r="AN32" s="180">
        <f ca="1">RANK(Z32,INDIRECT("Z1:Z200"),-1)</f>
        <v>22</v>
      </c>
      <c r="AO32" s="180">
        <f>E32</f>
        <v>125.8</v>
      </c>
      <c r="AP32" s="180">
        <f ca="1">RANK(AO32,INDIRECT("AO1:AO200"))</f>
        <v>2</v>
      </c>
      <c r="AQ32" s="180">
        <f ca="1">RANK(BZ32,INDIRECT("BZ:BZ"),-1)</f>
        <v>29</v>
      </c>
      <c r="AU32" s="180">
        <f ca="1">IF(ISERROR(FIND($AU$7,AE32)),0,1)</f>
        <v>1</v>
      </c>
      <c r="AW32" s="180"/>
      <c r="AX32" s="182"/>
      <c r="AY32" s="182"/>
      <c r="AZ32" s="182"/>
      <c r="BA32" s="128">
        <f>HLOOKUP($A32,$BA$1:$BH$2,2,FALSE)</f>
        <v>2</v>
      </c>
      <c r="BB32" s="118">
        <f ca="1">IF(OR(INDIRECT(ADDRESS(ROW(BB32),$BB$4))="",INDIRECT(ADDRESS(ROW(BB32),$BB$4))=0),"",ABS(INDIRECT(ADDRESS(ROW(BB32),$BB$4)))+0.0001*INDIRECT(ADDRESS(ROW(BB32),7)))</f>
        <v>225.0001</v>
      </c>
      <c r="BL32" s="118">
        <v>1</v>
      </c>
      <c r="BM32" s="118">
        <v>1</v>
      </c>
      <c r="BN32" s="118">
        <v>1</v>
      </c>
      <c r="BO32" s="183">
        <v>43240.584374999999</v>
      </c>
      <c r="BQ32" s="118">
        <v>1</v>
      </c>
      <c r="BR32" s="118">
        <v>1</v>
      </c>
      <c r="BS32" s="118">
        <v>-1</v>
      </c>
      <c r="BT32" s="183">
        <v>43240.623206018521</v>
      </c>
      <c r="BV32" s="118">
        <v>1</v>
      </c>
      <c r="BW32" s="118">
        <v>1</v>
      </c>
      <c r="BX32" s="118">
        <v>-1</v>
      </c>
      <c r="BY32" s="183">
        <v>43240.656145833331</v>
      </c>
      <c r="BZ32" s="183">
        <f ca="1">IF($AU$7="SQ",BO32,IF($AU$7="BP",BT32,BY32))</f>
        <v>43240.656145833331</v>
      </c>
      <c r="CA32" s="309">
        <v>0.6640625</v>
      </c>
    </row>
    <row r="33" spans="1:79" ht="19.5" customHeight="1" x14ac:dyDescent="0.2">
      <c r="A33" s="167" t="s">
        <v>25</v>
      </c>
      <c r="B33" s="168" t="s">
        <v>301</v>
      </c>
      <c r="C33" s="168" t="s">
        <v>245</v>
      </c>
      <c r="D33" s="169" t="s">
        <v>211</v>
      </c>
      <c r="E33" s="169">
        <v>123.2</v>
      </c>
      <c r="F33" s="169" t="str">
        <f>IF(LEFT(D33,1)="M",VLOOKUP(IF($E$7="Bwt (kg)",E33,E33/2.2046),Lists!$B$16:$D$24,IF(ISERROR(FIND("J",D33)),3,2)),VLOOKUP(IF($E$7="Bwt (kg)",E33,E33/2.2046),Lists!$B$26:$D$33,IF(ISERROR(FIND("J",D33)),3,2)))</f>
        <v>120+</v>
      </c>
      <c r="G33" s="169">
        <v>2</v>
      </c>
      <c r="H33" s="170">
        <f>IF(AND(VALUE(E33)&gt;0,OR(LEFT(D33,1)="M",LEFT(D33,1)="F")),IF(LEFT(D33,1)="M",Wilks_Men(IF(RIGHT($F$7,4)="(lb)",E33/2.2046,E33)),Wilks_Women(IF(RIGHT($F$7,4)="(lb)",E33/2.2046,E33))),0)</f>
        <v>0.57160001993179321</v>
      </c>
      <c r="I33" s="307">
        <v>29848</v>
      </c>
      <c r="J33" s="128">
        <f ca="1">IF(I33,VLOOKUP(INT((NOW()-I33)/365.25),DATA!$A$2:$B$53,2,TRUE),0)</f>
        <v>1</v>
      </c>
      <c r="K33" s="169">
        <v>19</v>
      </c>
      <c r="L33" s="308">
        <v>230</v>
      </c>
      <c r="M33" s="308">
        <v>250</v>
      </c>
      <c r="N33" s="316">
        <v>-260</v>
      </c>
      <c r="O33" s="173">
        <f>IF(MAX(BL33:BN33)&gt;0,MAX(ABS(L33)*BL33,ABS(M33)*BM33,ABS(N33)*BN33),"")</f>
        <v>250</v>
      </c>
      <c r="P33" s="174" t="s">
        <v>300</v>
      </c>
      <c r="Q33" s="308">
        <v>135</v>
      </c>
      <c r="R33" s="308">
        <v>142.5</v>
      </c>
      <c r="S33" s="316">
        <v>-150</v>
      </c>
      <c r="T33" s="173">
        <f>IF(MAX(BQ33:BS33)&gt;0,MAX(ABS(Q33)*BQ33,ABS(R33)*BR33,ABS(S33)*BS33),0)</f>
        <v>142.5</v>
      </c>
      <c r="U33" s="173">
        <f>IF(OR(O33="",T33=""),"",O33+T33)</f>
        <v>392.5</v>
      </c>
      <c r="V33" s="308">
        <v>240</v>
      </c>
      <c r="W33" s="320">
        <v>-260</v>
      </c>
      <c r="X33" s="316">
        <v>-260</v>
      </c>
      <c r="Y33" s="176">
        <f>IF(MAX(BV33:BX33)&gt;0,MAX(ABS(V33)*BV33,ABS(W33)*BW33,ABS(X33)*BX33),"")</f>
        <v>240</v>
      </c>
      <c r="Z33" s="173">
        <f ca="1">IF(AE33=$AU$7,IF($AU$7="SQ",O33,IF($AU$7="BP",T33,IF($AU$7="DL",Y33,IF($AU$7="PP",IF(OR(T33="",Y33=""),"",T33+Y33),IF(OR($U33="",$Y33=""),"",$O33+$T33+$Y33))))),"")</f>
        <v>632.5</v>
      </c>
      <c r="AA33" s="274">
        <f ca="1">IF(AE33="BP",IF(T33&gt;1,T33*H33,""),IF(Z33="","",Z33*H33))</f>
        <v>361.53701260685921</v>
      </c>
      <c r="AB33" s="177">
        <f ca="1">IF(AND(I33&gt;23,I33&lt;40),0,AA33*J33)</f>
        <v>361.53701260685921</v>
      </c>
      <c r="AC33" s="167">
        <f ca="1">OFFSET(Setup!$F$1,MATCH(D33,INDIRECT("Setup!B1:B100"),0)-1,0)</f>
        <v>2</v>
      </c>
      <c r="AD33" s="178" t="e">
        <f ca="1">IF(OR(Z33=0,AU33=0,AH33=0),"",CONCATENATE(AL33,"-",D33,IF(AC33&gt;1,"","-"),IF(AC33&gt;1,"",F33),"-",$AU$7))</f>
        <v>#VALUE!</v>
      </c>
      <c r="AE33" s="169" t="s">
        <v>109</v>
      </c>
      <c r="AH33" s="179">
        <f ca="1">AU33*(IF(OR(D33="",E33=""),0,MATCH(D33,INDIRECT("Setup!B1:B100"),0)*100000000+IF(AC33=1,(MATCH(F33,Lists!$I$16:$I$32,0)),0)*1000000+IF(Z33=0,0,IF(AC33=1,AN33*1000,IF(AC33=2,AA33,AB33))+IF(AC33=1,AP33+AQ33/1000,0))))</f>
        <v>1200000361.5370126</v>
      </c>
      <c r="AI33" s="128" t="e">
        <f ca="1">RANK(AH33,INDIRECT("AH1:AH200"),0)</f>
        <v>#VALUE!</v>
      </c>
      <c r="AJ33" s="128">
        <f ca="1">INT(AH33/1000000)</f>
        <v>1200</v>
      </c>
      <c r="AK33" s="128" t="e">
        <f ca="1">RANK(AJ33,INDIRECT("AJ1:AJ200"),0)</f>
        <v>#VALUE!</v>
      </c>
      <c r="AL33" s="128" t="e">
        <f ca="1">AI33-AK33+1</f>
        <v>#VALUE!</v>
      </c>
      <c r="AN33" s="180">
        <f ca="1">RANK(Z33,INDIRECT("Z1:Z200"),-1)</f>
        <v>20</v>
      </c>
      <c r="AO33" s="180">
        <f>E33</f>
        <v>123.2</v>
      </c>
      <c r="AP33" s="180">
        <f ca="1">RANK(AO33,INDIRECT("AO1:AO200"))</f>
        <v>6</v>
      </c>
      <c r="AQ33" s="180">
        <f ca="1">RANK(BZ33,INDIRECT("BZ:BZ"),-1)</f>
        <v>27</v>
      </c>
      <c r="AU33" s="180">
        <f ca="1">IF(ISERROR(FIND($AU$7,AE33)),0,1)</f>
        <v>1</v>
      </c>
      <c r="AW33" s="180"/>
      <c r="AX33" s="182"/>
      <c r="AY33" s="182"/>
      <c r="AZ33" s="182"/>
      <c r="BA33" s="128">
        <f>HLOOKUP($A33,$BA$1:$BH$2,2,FALSE)</f>
        <v>2</v>
      </c>
      <c r="BB33" s="118">
        <f ca="1">IF(OR(INDIRECT(ADDRESS(ROW(BB33),$BB$4))="",INDIRECT(ADDRESS(ROW(BB33),$BB$4))=0),"",ABS(INDIRECT(ADDRESS(ROW(BB33),$BB$4)))+0.0001*INDIRECT(ADDRESS(ROW(BB33),7)))</f>
        <v>230.00020000000001</v>
      </c>
      <c r="BL33" s="118">
        <v>1</v>
      </c>
      <c r="BM33" s="118">
        <v>1</v>
      </c>
      <c r="BN33" s="118">
        <v>-1</v>
      </c>
      <c r="BO33" s="183">
        <v>43240.577731481484</v>
      </c>
      <c r="BQ33" s="118">
        <v>1</v>
      </c>
      <c r="BR33" s="118">
        <v>1</v>
      </c>
      <c r="BS33" s="118">
        <v>-1</v>
      </c>
      <c r="BT33" s="183">
        <v>43240.621793981481</v>
      </c>
      <c r="BV33" s="118">
        <v>1</v>
      </c>
      <c r="BW33" s="118">
        <v>-1</v>
      </c>
      <c r="BX33" s="118">
        <v>-1</v>
      </c>
      <c r="BY33" s="183">
        <v>43240.648738425924</v>
      </c>
      <c r="BZ33" s="183">
        <f ca="1">IF($AU$7="SQ",BO33,IF($AU$7="BP",BT33,BY33))</f>
        <v>43240.648738425924</v>
      </c>
      <c r="CA33" s="309">
        <v>0.66297453703703701</v>
      </c>
    </row>
    <row r="34" spans="1:79" ht="19.5" customHeight="1" x14ac:dyDescent="0.2">
      <c r="A34" s="167" t="s">
        <v>25</v>
      </c>
      <c r="B34" s="168" t="s">
        <v>304</v>
      </c>
      <c r="C34" s="168" t="s">
        <v>183</v>
      </c>
      <c r="D34" s="169" t="s">
        <v>211</v>
      </c>
      <c r="E34" s="169">
        <v>128.80000000000001</v>
      </c>
      <c r="F34" s="169" t="str">
        <f>IF(LEFT(D34,1)="M",VLOOKUP(IF($E$7="Bwt (kg)",E34,E34/2.2046),Lists!$B$16:$D$24,IF(ISERROR(FIND("J",D34)),3,2)),VLOOKUP(IF($E$7="Bwt (kg)",E34,E34/2.2046),Lists!$B$26:$D$33,IF(ISERROR(FIND("J",D34)),3,2)))</f>
        <v>120+</v>
      </c>
      <c r="G34" s="169">
        <v>5</v>
      </c>
      <c r="H34" s="170">
        <f>IF(AND(VALUE(E34)&gt;0,OR(LEFT(D34,1)="M",LEFT(D34,1)="F")),IF(LEFT(D34,1)="M",Wilks_Men(IF(RIGHT($F$7,4)="(lb)",E34/2.2046,E34)),Wilks_Women(IF(RIGHT($F$7,4)="(lb)",E34/2.2046,E34))),0)</f>
        <v>0.56650000810623169</v>
      </c>
      <c r="I34" s="307">
        <v>32451</v>
      </c>
      <c r="J34" s="128">
        <f ca="1">IF(I34,VLOOKUP(INT((NOW()-I34)/365.25),DATA!$A$2:$B$53,2,TRUE),0)</f>
        <v>1</v>
      </c>
      <c r="K34" s="169" t="s">
        <v>305</v>
      </c>
      <c r="L34" s="308">
        <v>240</v>
      </c>
      <c r="M34" s="308">
        <v>250</v>
      </c>
      <c r="N34" s="308">
        <v>255</v>
      </c>
      <c r="O34" s="173">
        <f>IF(MAX(BL34:BN34)&gt;0,MAX(ABS(L34)*BL34,ABS(M34)*BM34,ABS(N34)*BN34),"")</f>
        <v>255</v>
      </c>
      <c r="P34" s="174" t="s">
        <v>306</v>
      </c>
      <c r="Q34" s="308">
        <v>160</v>
      </c>
      <c r="R34" s="308">
        <v>165</v>
      </c>
      <c r="S34" s="316">
        <v>-170</v>
      </c>
      <c r="T34" s="173">
        <f>IF(MAX(BQ34:BS34)&gt;0,MAX(ABS(Q34)*BQ34,ABS(R34)*BR34,ABS(S34)*BS34),0)</f>
        <v>165</v>
      </c>
      <c r="U34" s="173">
        <f>IF(OR(O34="",T34=""),"",O34+T34)</f>
        <v>420</v>
      </c>
      <c r="V34" s="308">
        <v>270</v>
      </c>
      <c r="W34" s="319">
        <v>280</v>
      </c>
      <c r="X34" s="308">
        <v>290</v>
      </c>
      <c r="Y34" s="176">
        <f>IF(MAX(BV34:BX34)&gt;0,MAX(ABS(V34)*BV34,ABS(W34)*BW34,ABS(X34)*BX34),"")</f>
        <v>290</v>
      </c>
      <c r="Z34" s="173">
        <f ca="1">IF(AE34=$AU$7,IF($AU$7="SQ",O34,IF($AU$7="BP",T34,IF($AU$7="DL",Y34,IF($AU$7="PP",IF(OR(T34="",Y34=""),"",T34+Y34),IF(OR($U34="",$Y34=""),"",$O34+$T34+$Y34))))),"")</f>
        <v>710</v>
      </c>
      <c r="AA34" s="274">
        <f ca="1">IF(AE34="BP",IF(T34&gt;1,T34*H34,""),IF(Z34="","",Z34*H34))</f>
        <v>402.2150057554245</v>
      </c>
      <c r="AB34" s="177">
        <f ca="1">IF(AND(I34&gt;23,I34&lt;40),0,AA34*J34)</f>
        <v>402.2150057554245</v>
      </c>
      <c r="AC34" s="167">
        <f ca="1">OFFSET(Setup!$F$1,MATCH(D34,INDIRECT("Setup!B1:B100"),0)-1,0)</f>
        <v>2</v>
      </c>
      <c r="AD34" s="178" t="e">
        <f ca="1">IF(OR(Z34=0,AU34=0,AH34=0),"",CONCATENATE(AL34,"-",D34,IF(AC34&gt;1,"","-"),IF(AC34&gt;1,"",F34),"-",$AU$7))</f>
        <v>#VALUE!</v>
      </c>
      <c r="AE34" s="169" t="s">
        <v>109</v>
      </c>
      <c r="AH34" s="179">
        <f ca="1">AU34*(IF(OR(D34="",E34=""),0,MATCH(D34,INDIRECT("Setup!B1:B100"),0)*100000000+IF(AC34=1,(MATCH(F34,Lists!$I$16:$I$32,0)),0)*1000000+IF(Z34=0,0,IF(AC34=1,AN34*1000,IF(AC34=2,AA34,AB34))+IF(AC34=1,AP34+AQ34/1000,0))))</f>
        <v>1200000402.2150059</v>
      </c>
      <c r="AI34" s="128" t="e">
        <f ca="1">RANK(AH34,INDIRECT("AH1:AH200"),0)</f>
        <v>#VALUE!</v>
      </c>
      <c r="AJ34" s="128">
        <f ca="1">INT(AH34/1000000)</f>
        <v>1200</v>
      </c>
      <c r="AK34" s="128" t="e">
        <f ca="1">RANK(AJ34,INDIRECT("AJ1:AJ200"),0)</f>
        <v>#VALUE!</v>
      </c>
      <c r="AL34" s="128" t="e">
        <f ca="1">AI34-AK34+1</f>
        <v>#VALUE!</v>
      </c>
      <c r="AN34" s="180">
        <f ca="1">RANK(Z34,INDIRECT("Z1:Z200"),-1)</f>
        <v>23</v>
      </c>
      <c r="AO34" s="180">
        <f>E34</f>
        <v>128.80000000000001</v>
      </c>
      <c r="AP34" s="180">
        <f ca="1">RANK(AO34,INDIRECT("AO1:AO200"))</f>
        <v>1</v>
      </c>
      <c r="AQ34" s="180">
        <f ca="1">RANK(BZ34,INDIRECT("BZ:BZ"),-1)</f>
        <v>35</v>
      </c>
      <c r="AU34" s="180">
        <f ca="1">IF(ISERROR(FIND($AU$7,AE34)),0,1)</f>
        <v>1</v>
      </c>
      <c r="AW34" s="180"/>
      <c r="AX34" s="182"/>
      <c r="AY34" s="182"/>
      <c r="AZ34" s="182"/>
      <c r="BA34" s="128">
        <f>HLOOKUP($A34,$BA$1:$BH$2,2,FALSE)</f>
        <v>2</v>
      </c>
      <c r="BB34" s="118">
        <f ca="1">IF(OR(INDIRECT(ADDRESS(ROW(BB34),$BB$4))="",INDIRECT(ADDRESS(ROW(BB34),$BB$4))=0),"",ABS(INDIRECT(ADDRESS(ROW(BB34),$BB$4)))+0.0001*INDIRECT(ADDRESS(ROW(BB34),7)))</f>
        <v>240.00049999999999</v>
      </c>
      <c r="BL34" s="118">
        <v>1</v>
      </c>
      <c r="BM34" s="118">
        <v>1</v>
      </c>
      <c r="BN34" s="118">
        <v>1</v>
      </c>
      <c r="BO34" s="183">
        <v>43240.585370370369</v>
      </c>
      <c r="BQ34" s="118">
        <v>1</v>
      </c>
      <c r="BR34" s="118">
        <v>1</v>
      </c>
      <c r="BS34" s="118">
        <v>-1</v>
      </c>
      <c r="BT34" s="183">
        <v>43240.624826388892</v>
      </c>
      <c r="BV34" s="118">
        <v>1</v>
      </c>
      <c r="BW34" s="118">
        <v>1</v>
      </c>
      <c r="BX34" s="118">
        <v>1</v>
      </c>
      <c r="BY34" s="183">
        <v>43240.664826388886</v>
      </c>
      <c r="BZ34" s="183">
        <f ca="1">IF($AU$7="SQ",BO34,IF($AU$7="BP",BT34,BY34))</f>
        <v>43240.664826388886</v>
      </c>
      <c r="CA34" s="309">
        <v>0.66552083333333334</v>
      </c>
    </row>
    <row r="35" spans="1:79" ht="19.5" customHeight="1" x14ac:dyDescent="0.2">
      <c r="A35" s="167" t="s">
        <v>43</v>
      </c>
      <c r="B35" s="168" t="s">
        <v>323</v>
      </c>
      <c r="C35" s="168" t="s">
        <v>183</v>
      </c>
      <c r="D35" s="169" t="s">
        <v>212</v>
      </c>
      <c r="E35" s="169">
        <v>54.7</v>
      </c>
      <c r="F35" s="169">
        <f>IF(LEFT(D35,1)="M",VLOOKUP(IF($E$7="Bwt (kg)",E35,E35/2.2046),Lists!$B$16:$D$24,IF(ISERROR(FIND("J",D35)),3,2)),VLOOKUP(IF($E$7="Bwt (kg)",E35,E35/2.2046),Lists!$B$26:$D$33,IF(ISERROR(FIND("J",D35)),3,2)))</f>
        <v>57</v>
      </c>
      <c r="G35" s="169">
        <v>6</v>
      </c>
      <c r="H35" s="170">
        <f>IF(AND(VALUE(E35)&gt;0,OR(LEFT(D35,1)="M",LEFT(D35,1)="F")),IF(LEFT(D35,1)="M",Wilks_Men(IF(RIGHT($F$7,4)="(lb)",E35/2.2046,E35)),Wilks_Women(IF(RIGHT($F$7,4)="(lb)",E35/2.2046,E35))),0)</f>
        <v>1.1985000371932983</v>
      </c>
      <c r="I35" s="307">
        <v>24253</v>
      </c>
      <c r="J35" s="128">
        <f ca="1">IF(I35,VLOOKUP(INT((NOW()-I35)/365.25),DATA!$A$2:$B$53,2,TRUE),0)</f>
        <v>1.147</v>
      </c>
      <c r="K35" s="169"/>
      <c r="L35" s="172"/>
      <c r="M35" s="172"/>
      <c r="N35" s="172"/>
      <c r="O35" s="173" t="str">
        <f>IF(MAX(BL35:BN35)&gt;0,MAX(ABS(L35)*BL35,ABS(M35)*BM35,ABS(N35)*BN35),"")</f>
        <v/>
      </c>
      <c r="P35" s="317" t="s">
        <v>318</v>
      </c>
      <c r="Q35" s="308">
        <v>40</v>
      </c>
      <c r="R35" s="316">
        <v>-42.5</v>
      </c>
      <c r="S35" s="316">
        <v>-45</v>
      </c>
      <c r="T35" s="173">
        <f>IF(MAX(BQ35:BS35)&gt;0,MAX(ABS(Q35)*BQ35,ABS(R35)*BR35,ABS(S35)*BS35),0)</f>
        <v>40</v>
      </c>
      <c r="U35" s="173" t="str">
        <f>IF(OR(O35="",T35=""),"",O35+T35)</f>
        <v/>
      </c>
      <c r="V35" s="167"/>
      <c r="W35" s="175"/>
      <c r="X35" s="167"/>
      <c r="Y35" s="176" t="str">
        <f>IF(MAX(BV35:BX35)&gt;0,MAX(ABS(V35)*BV35,ABS(W35)*BW35,ABS(X35)*BX35),"")</f>
        <v/>
      </c>
      <c r="Z35" s="173" t="str">
        <f ca="1">IF(AE35=$AU$7,IF($AU$7="SQ",O35,IF($AU$7="BP",T35,IF($AU$7="DL",Y35,IF($AU$7="PP",IF(OR(T35="",Y35=""),"",T35+Y35),IF(OR($U35="",$Y35=""),"",$O35+$T35+$Y35))))),"")</f>
        <v/>
      </c>
      <c r="AA35" s="274">
        <f>IF(AE35="BP",IF(T35&gt;1,T35*H35,""),IF(Z35="","",Z35*H35))</f>
        <v>47.940001487731934</v>
      </c>
      <c r="AB35" s="177">
        <f ca="1">IF(AND(I35&gt;23,I35&lt;40),0,AA35*J35)</f>
        <v>54.98718170642853</v>
      </c>
      <c r="AC35" s="167">
        <f ca="1">OFFSET(Setup!$F$1,MATCH(D35,INDIRECT("Setup!B1:B100"),0)-1,0)</f>
        <v>2</v>
      </c>
      <c r="AD35" s="178" t="str">
        <f ca="1">IF(OR(Z35=0,AU35=0,AH35=0),"",CONCATENATE(AL35,"-",D35,IF(AC35&gt;1,"","-"),IF(AC35&gt;1,"",F35),"-",$AU$7))</f>
        <v/>
      </c>
      <c r="AE35" s="169" t="s">
        <v>117</v>
      </c>
      <c r="AH35" s="179">
        <f ca="1">AU35*(IF(OR(D35="",E35=""),0,MATCH(D35,INDIRECT("Setup!B1:B100"),0)*100000000+IF(AC35=1,(MATCH(F35,Lists!$I$16:$I$32,0)),0)*1000000+IF(Z35=0,0,IF(AC35=1,AN35*1000,IF(AC35=2,AA35,AB35))+IF(AC35=1,AP35+AQ35/1000,0))))</f>
        <v>0</v>
      </c>
      <c r="AI35" s="128" t="e">
        <f ca="1">RANK(AH35,INDIRECT("AH1:AH200"),0)</f>
        <v>#VALUE!</v>
      </c>
      <c r="AJ35" s="128">
        <f ca="1">INT(AH35/1000000)</f>
        <v>0</v>
      </c>
      <c r="AK35" s="128" t="e">
        <f ca="1">RANK(AJ35,INDIRECT("AJ1:AJ200"),0)</f>
        <v>#VALUE!</v>
      </c>
      <c r="AL35" s="128" t="e">
        <f ca="1">AI35-AK35+1</f>
        <v>#VALUE!</v>
      </c>
      <c r="AN35" s="180" t="e">
        <f ca="1">RANK(Z35,INDIRECT("Z1:Z200"),-1)</f>
        <v>#VALUE!</v>
      </c>
      <c r="AO35" s="180">
        <f>E35</f>
        <v>54.7</v>
      </c>
      <c r="AP35" s="180">
        <f ca="1">RANK(AO35,INDIRECT("AO1:AO200"))</f>
        <v>33</v>
      </c>
      <c r="AQ35" s="180">
        <f ca="1">RANK(BZ35,INDIRECT("BZ:BZ"),-1)</f>
        <v>1</v>
      </c>
      <c r="AU35" s="180">
        <f ca="1">IF(ISERROR(FIND($AU$7,AE35)),0,1)</f>
        <v>0</v>
      </c>
      <c r="AW35" s="180"/>
      <c r="AX35" s="182"/>
      <c r="AY35" s="182"/>
      <c r="AZ35" s="182"/>
      <c r="BA35" s="128">
        <f>HLOOKUP($A35,$BA$1:$BH$2,2,FALSE)</f>
        <v>3</v>
      </c>
      <c r="BB35" s="118" t="str">
        <f ca="1">IF(OR(INDIRECT(ADDRESS(ROW(BB35),$BB$4))="",INDIRECT(ADDRESS(ROW(BB35),$BB$4))=0),"",ABS(INDIRECT(ADDRESS(ROW(BB35),$BB$4)))+0.0001*INDIRECT(ADDRESS(ROW(BB35),7)))</f>
        <v/>
      </c>
      <c r="BL35" s="118">
        <v>0</v>
      </c>
      <c r="BM35" s="118">
        <v>0</v>
      </c>
      <c r="BN35" s="118">
        <v>0</v>
      </c>
      <c r="BQ35" s="118">
        <v>1</v>
      </c>
      <c r="BR35" s="118">
        <v>-1</v>
      </c>
      <c r="BS35" s="118">
        <v>-1</v>
      </c>
      <c r="BT35" s="183">
        <v>43240.593680555554</v>
      </c>
      <c r="BV35" s="118">
        <v>0</v>
      </c>
      <c r="BW35" s="118">
        <v>0</v>
      </c>
      <c r="BX35" s="118">
        <v>0</v>
      </c>
      <c r="BY35" s="183">
        <f>IF(BX35=1,3,IF(BW35=1,2,IF(BV35=1,1,0)))</f>
        <v>0</v>
      </c>
      <c r="BZ35" s="183">
        <f ca="1">IF($AU$7="SQ",BO35,IF($AU$7="BP",BT35,BY35))</f>
        <v>0</v>
      </c>
      <c r="CA35" s="309">
        <v>0.60704861111111108</v>
      </c>
    </row>
    <row r="36" spans="1:79" ht="19.5" customHeight="1" x14ac:dyDescent="0.2">
      <c r="A36" s="167" t="s">
        <v>43</v>
      </c>
      <c r="B36" s="168" t="s">
        <v>322</v>
      </c>
      <c r="C36" s="168" t="s">
        <v>251</v>
      </c>
      <c r="D36" s="169" t="s">
        <v>212</v>
      </c>
      <c r="E36" s="169">
        <v>56.2</v>
      </c>
      <c r="F36" s="169">
        <f>IF(LEFT(D36,1)="M",VLOOKUP(IF($E$7="Bwt (kg)",E36,E36/2.2046),Lists!$B$16:$D$24,IF(ISERROR(FIND("J",D36)),3,2)),VLOOKUP(IF($E$7="Bwt (kg)",E36,E36/2.2046),Lists!$B$26:$D$33,IF(ISERROR(FIND("J",D36)),3,2)))</f>
        <v>57</v>
      </c>
      <c r="G36" s="169">
        <v>5</v>
      </c>
      <c r="H36" s="170">
        <f>IF(AND(VALUE(E36)&gt;0,OR(LEFT(D36,1)="M",LEFT(D36,1)="F")),IF(LEFT(D36,1)="M",Wilks_Men(IF(RIGHT($F$7,4)="(lb)",E36/2.2046,E36)),Wilks_Women(IF(RIGHT($F$7,4)="(lb)",E36/2.2046,E36))),0)</f>
        <v>1.17330002784729</v>
      </c>
      <c r="I36" s="307">
        <v>29073</v>
      </c>
      <c r="J36" s="128">
        <f ca="1">IF(I36,VLOOKUP(INT((NOW()-I36)/365.25),DATA!$A$2:$B$53,2,TRUE),0)</f>
        <v>1</v>
      </c>
      <c r="K36" s="169"/>
      <c r="L36" s="172"/>
      <c r="M36" s="172"/>
      <c r="N36" s="172"/>
      <c r="O36" s="173" t="str">
        <f>IF(MAX(BL36:BN36)&gt;0,MAX(ABS(L36)*BL36,ABS(M36)*BM36,ABS(N36)*BN36),"")</f>
        <v/>
      </c>
      <c r="P36" s="317" t="s">
        <v>297</v>
      </c>
      <c r="Q36" s="308">
        <v>70</v>
      </c>
      <c r="R36" s="316">
        <v>-75</v>
      </c>
      <c r="S36" s="316">
        <v>-75</v>
      </c>
      <c r="T36" s="173">
        <f>IF(MAX(BQ36:BS36)&gt;0,MAX(ABS(Q36)*BQ36,ABS(R36)*BR36,ABS(S36)*BS36),0)</f>
        <v>70</v>
      </c>
      <c r="U36" s="173" t="str">
        <f>IF(OR(O36="",T36=""),"",O36+T36)</f>
        <v/>
      </c>
      <c r="V36" s="167"/>
      <c r="W36" s="175"/>
      <c r="X36" s="167"/>
      <c r="Y36" s="176" t="str">
        <f>IF(MAX(BV36:BX36)&gt;0,MAX(ABS(V36)*BV36,ABS(W36)*BW36,ABS(X36)*BX36),"")</f>
        <v/>
      </c>
      <c r="Z36" s="173" t="str">
        <f ca="1">IF(AE36=$AU$7,IF($AU$7="SQ",O36,IF($AU$7="BP",T36,IF($AU$7="DL",Y36,IF($AU$7="PP",IF(OR(T36="",Y36=""),"",T36+Y36),IF(OR($U36="",$Y36=""),"",$O36+$T36+$Y36))))),"")</f>
        <v/>
      </c>
      <c r="AA36" s="274">
        <f>IF(AE36="BP",IF(T36&gt;1,T36*H36,""),IF(Z36="","",Z36*H36))</f>
        <v>82.131001949310303</v>
      </c>
      <c r="AB36" s="177">
        <f ca="1">IF(AND(I36&gt;23,I36&lt;40),0,AA36*J36)</f>
        <v>82.131001949310303</v>
      </c>
      <c r="AC36" s="167">
        <f ca="1">OFFSET(Setup!$F$1,MATCH(D36,INDIRECT("Setup!B1:B100"),0)-1,0)</f>
        <v>2</v>
      </c>
      <c r="AD36" s="178" t="str">
        <f ca="1">IF(OR(Z36=0,AU36=0,AH36=0),"",CONCATENATE(AL36,"-",D36,IF(AC36&gt;1,"","-"),IF(AC36&gt;1,"",F36),"-",$AU$7))</f>
        <v/>
      </c>
      <c r="AE36" s="169" t="s">
        <v>117</v>
      </c>
      <c r="AH36" s="179">
        <f ca="1">AU36*(IF(OR(D36="",E36=""),0,MATCH(D36,INDIRECT("Setup!B1:B100"),0)*100000000+IF(AC36=1,(MATCH(F36,Lists!$I$16:$I$32,0)),0)*1000000+IF(Z36=0,0,IF(AC36=1,AN36*1000,IF(AC36=2,AA36,AB36))+IF(AC36=1,AP36+AQ36/1000,0))))</f>
        <v>0</v>
      </c>
      <c r="AI36" s="128" t="e">
        <f ca="1">RANK(AH36,INDIRECT("AH1:AH200"),0)</f>
        <v>#VALUE!</v>
      </c>
      <c r="AJ36" s="128">
        <f ca="1">INT(AH36/1000000)</f>
        <v>0</v>
      </c>
      <c r="AK36" s="128" t="e">
        <f ca="1">RANK(AJ36,INDIRECT("AJ1:AJ200"),0)</f>
        <v>#VALUE!</v>
      </c>
      <c r="AL36" s="128" t="e">
        <f ca="1">AI36-AK36+1</f>
        <v>#VALUE!</v>
      </c>
      <c r="AN36" s="180" t="e">
        <f ca="1">RANK(Z36,INDIRECT("Z1:Z200"),-1)</f>
        <v>#VALUE!</v>
      </c>
      <c r="AO36" s="180">
        <f>E36</f>
        <v>56.2</v>
      </c>
      <c r="AP36" s="180">
        <f ca="1">RANK(AO36,INDIRECT("AO1:AO200"))</f>
        <v>32</v>
      </c>
      <c r="AQ36" s="180">
        <f ca="1">RANK(BZ36,INDIRECT("BZ:BZ"),-1)</f>
        <v>1</v>
      </c>
      <c r="AU36" s="180">
        <f ca="1">IF(ISERROR(FIND($AU$7,AE36)),0,1)</f>
        <v>0</v>
      </c>
      <c r="AW36" s="180"/>
      <c r="AX36" s="182"/>
      <c r="AY36" s="182"/>
      <c r="AZ36" s="182"/>
      <c r="BA36" s="128">
        <f>HLOOKUP($A36,$BA$1:$BH$2,2,FALSE)</f>
        <v>3</v>
      </c>
      <c r="BB36" s="118" t="str">
        <f ca="1">IF(OR(INDIRECT(ADDRESS(ROW(BB36),$BB$4))="",INDIRECT(ADDRESS(ROW(BB36),$BB$4))=0),"",ABS(INDIRECT(ADDRESS(ROW(BB36),$BB$4)))+0.0001*INDIRECT(ADDRESS(ROW(BB36),7)))</f>
        <v/>
      </c>
      <c r="BL36" s="118">
        <v>0</v>
      </c>
      <c r="BM36" s="118">
        <v>0</v>
      </c>
      <c r="BN36" s="118">
        <v>0</v>
      </c>
      <c r="BQ36" s="118">
        <v>1</v>
      </c>
      <c r="BR36" s="118">
        <v>-1</v>
      </c>
      <c r="BS36" s="118">
        <v>-1</v>
      </c>
      <c r="BT36" s="183">
        <v>43240.594421296293</v>
      </c>
      <c r="BV36" s="118">
        <v>0</v>
      </c>
      <c r="BW36" s="118">
        <v>0</v>
      </c>
      <c r="BX36" s="118">
        <v>0</v>
      </c>
      <c r="BY36" s="183">
        <f>IF(BX36=1,3,IF(BW36=1,2,IF(BV36=1,1,0)))</f>
        <v>0</v>
      </c>
      <c r="BZ36" s="183">
        <f ca="1">IF($AU$7="SQ",BO36,IF($AU$7="BP",BT36,BY36))</f>
        <v>0</v>
      </c>
      <c r="CA36" s="309">
        <v>0.6077893518518519</v>
      </c>
    </row>
    <row r="37" spans="1:79" ht="19.5" customHeight="1" x14ac:dyDescent="0.2">
      <c r="A37" s="167" t="s">
        <v>43</v>
      </c>
      <c r="B37" s="168" t="s">
        <v>317</v>
      </c>
      <c r="C37" s="168" t="s">
        <v>200</v>
      </c>
      <c r="D37" s="169" t="s">
        <v>209</v>
      </c>
      <c r="E37" s="169">
        <v>81.2</v>
      </c>
      <c r="F37" s="169">
        <f>IF(LEFT(D37,1)="M",VLOOKUP(IF($E$7="Bwt (kg)",E37,E37/2.2046),Lists!$B$16:$D$24,IF(ISERROR(FIND("J",D37)),3,2)),VLOOKUP(IF($E$7="Bwt (kg)",E37,E37/2.2046),Lists!$B$26:$D$33,IF(ISERROR(FIND("J",D37)),3,2)))</f>
        <v>83</v>
      </c>
      <c r="G37" s="169">
        <v>2</v>
      </c>
      <c r="H37" s="170">
        <f>IF(AND(VALUE(E37)&gt;0,OR(LEFT(D37,1)="M",LEFT(D37,1)="F")),IF(LEFT(D37,1)="M",Wilks_Men(IF(RIGHT($F$7,4)="(lb)",E37/2.2046,E37)),Wilks_Women(IF(RIGHT($F$7,4)="(lb)",E37/2.2046,E37))),0)</f>
        <v>0.67640000581741333</v>
      </c>
      <c r="I37" s="307">
        <v>16251</v>
      </c>
      <c r="J37" s="128">
        <f ca="1">IF(I37,VLOOKUP(INT((NOW()-I37)/365.25),DATA!$A$2:$B$53,2,TRUE),0)</f>
        <v>1.756</v>
      </c>
      <c r="K37" s="169"/>
      <c r="L37" s="172"/>
      <c r="M37" s="172"/>
      <c r="N37" s="172"/>
      <c r="O37" s="173" t="str">
        <f>IF(MAX(BL37:BN37)&gt;0,MAX(ABS(L37)*BL37,ABS(M37)*BM37,ABS(N37)*BN37),"")</f>
        <v/>
      </c>
      <c r="P37" s="317" t="s">
        <v>291</v>
      </c>
      <c r="Q37" s="308">
        <v>85</v>
      </c>
      <c r="R37" s="308">
        <v>90</v>
      </c>
      <c r="S37" s="316">
        <v>-92.5</v>
      </c>
      <c r="T37" s="173">
        <f>IF(MAX(BQ37:BS37)&gt;0,MAX(ABS(Q37)*BQ37,ABS(R37)*BR37,ABS(S37)*BS37),0)</f>
        <v>90</v>
      </c>
      <c r="U37" s="173" t="str">
        <f>IF(OR(O37="",T37=""),"",O37+T37)</f>
        <v/>
      </c>
      <c r="V37" s="167"/>
      <c r="W37" s="175"/>
      <c r="X37" s="167"/>
      <c r="Y37" s="176" t="str">
        <f>IF(MAX(BV37:BX37)&gt;0,MAX(ABS(V37)*BV37,ABS(W37)*BW37,ABS(X37)*BX37),"")</f>
        <v/>
      </c>
      <c r="Z37" s="173" t="str">
        <f ca="1">IF(AE37=$AU$7,IF($AU$7="SQ",O37,IF($AU$7="BP",T37,IF($AU$7="DL",Y37,IF($AU$7="PP",IF(OR(T37="",Y37=""),"",T37+Y37),IF(OR($U37="",$Y37=""),"",$O37+$T37+$Y37))))),"")</f>
        <v/>
      </c>
      <c r="AA37" s="274">
        <f>IF(AE37="BP",IF(T37&gt;1,T37*H37,""),IF(Z37="","",Z37*H37))</f>
        <v>60.8760005235672</v>
      </c>
      <c r="AB37" s="177">
        <f ca="1">IF(AND(I37&gt;23,I37&lt;40),0,AA37*J37)</f>
        <v>106.898256919384</v>
      </c>
      <c r="AC37" s="167">
        <f ca="1">OFFSET(Setup!$F$1,MATCH(D37,INDIRECT("Setup!B1:B100"),0)-1,0)</f>
        <v>2</v>
      </c>
      <c r="AD37" s="178" t="str">
        <f ca="1">IF(OR(Z37=0,AU37=0,AH37=0),"",CONCATENATE(AL37,"-",D37,IF(AC37&gt;1,"","-"),IF(AC37&gt;1,"",F37),"-",$AU$7))</f>
        <v/>
      </c>
      <c r="AE37" s="169" t="s">
        <v>117</v>
      </c>
      <c r="AH37" s="179">
        <f ca="1">AU37*(IF(OR(D37="",E37=""),0,MATCH(D37,INDIRECT("Setup!B1:B100"),0)*100000000+IF(AC37=1,(MATCH(F37,Lists!$I$16:$I$32,0)),0)*1000000+IF(Z37=0,0,IF(AC37=1,AN37*1000,IF(AC37=2,AA37,AB37))+IF(AC37=1,AP37+AQ37/1000,0))))</f>
        <v>0</v>
      </c>
      <c r="AI37" s="128" t="e">
        <f ca="1">RANK(AH37,INDIRECT("AH1:AH200"),0)</f>
        <v>#VALUE!</v>
      </c>
      <c r="AJ37" s="128">
        <f ca="1">INT(AH37/1000000)</f>
        <v>0</v>
      </c>
      <c r="AK37" s="128" t="e">
        <f ca="1">RANK(AJ37,INDIRECT("AJ1:AJ200"),0)</f>
        <v>#VALUE!</v>
      </c>
      <c r="AL37" s="128" t="e">
        <f ca="1">AI37-AK37+1</f>
        <v>#VALUE!</v>
      </c>
      <c r="AN37" s="180" t="e">
        <f ca="1">RANK(Z37,INDIRECT("Z1:Z200"),-1)</f>
        <v>#VALUE!</v>
      </c>
      <c r="AO37" s="180">
        <f>E37</f>
        <v>81.2</v>
      </c>
      <c r="AP37" s="180">
        <f ca="1">RANK(AO37,INDIRECT("AO1:AO200"))</f>
        <v>22</v>
      </c>
      <c r="AQ37" s="180">
        <f ca="1">RANK(BZ37,INDIRECT("BZ:BZ"),-1)</f>
        <v>1</v>
      </c>
      <c r="AU37" s="180">
        <f ca="1">IF(ISERROR(FIND($AU$7,AE37)),0,1)</f>
        <v>0</v>
      </c>
      <c r="AW37" s="180"/>
      <c r="AX37" s="182"/>
      <c r="AY37" s="182"/>
      <c r="AZ37" s="182"/>
      <c r="BA37" s="128">
        <f>HLOOKUP($A37,$BA$1:$BH$2,2,FALSE)</f>
        <v>3</v>
      </c>
      <c r="BB37" s="118" t="str">
        <f ca="1">IF(OR(INDIRECT(ADDRESS(ROW(BB37),$BB$4))="",INDIRECT(ADDRESS(ROW(BB37),$BB$4))=0),"",ABS(INDIRECT(ADDRESS(ROW(BB37),$BB$4)))+0.0001*INDIRECT(ADDRESS(ROW(BB37),7)))</f>
        <v/>
      </c>
      <c r="BL37" s="118">
        <v>0</v>
      </c>
      <c r="BM37" s="118">
        <v>0</v>
      </c>
      <c r="BN37" s="118">
        <v>0</v>
      </c>
      <c r="BQ37" s="118">
        <v>1</v>
      </c>
      <c r="BR37" s="118">
        <v>1</v>
      </c>
      <c r="BS37" s="118">
        <v>-1</v>
      </c>
      <c r="BT37" s="183">
        <v>43240.602546296293</v>
      </c>
      <c r="BV37" s="118">
        <v>0</v>
      </c>
      <c r="BW37" s="118">
        <v>0</v>
      </c>
      <c r="BX37" s="118">
        <v>0</v>
      </c>
      <c r="BY37" s="183">
        <f>IF(BX37=1,3,IF(BW37=1,2,IF(BV37=1,1,0)))</f>
        <v>0</v>
      </c>
      <c r="BZ37" s="183">
        <f ca="1">IF($AU$7="SQ",BO37,IF($AU$7="BP",BT37,BY37))</f>
        <v>0</v>
      </c>
      <c r="CA37" s="309">
        <v>0.60946759259259264</v>
      </c>
    </row>
    <row r="38" spans="1:79" ht="19.5" customHeight="1" x14ac:dyDescent="0.2">
      <c r="A38" s="167" t="s">
        <v>43</v>
      </c>
      <c r="B38" s="168" t="s">
        <v>321</v>
      </c>
      <c r="C38" s="168" t="s">
        <v>245</v>
      </c>
      <c r="D38" s="169" t="s">
        <v>249</v>
      </c>
      <c r="E38" s="169">
        <v>83.4</v>
      </c>
      <c r="F38" s="169">
        <f>IF(LEFT(D38,1)="M",VLOOKUP(IF($E$7="Bwt (kg)",E38,E38/2.2046),Lists!$B$16:$D$24,IF(ISERROR(FIND("J",D38)),3,2)),VLOOKUP(IF($E$7="Bwt (kg)",E38,E38/2.2046),Lists!$B$26:$D$33,IF(ISERROR(FIND("J",D38)),3,2)))</f>
        <v>84</v>
      </c>
      <c r="G38" s="169">
        <v>4</v>
      </c>
      <c r="H38" s="170">
        <f>IF(AND(VALUE(E38)&gt;0,OR(LEFT(D38,1)="M",LEFT(D38,1)="F")),IF(LEFT(D38,1)="M",Wilks_Men(IF(RIGHT($F$7,4)="(lb)",E38/2.2046,E38)),Wilks_Women(IF(RIGHT($F$7,4)="(lb)",E38/2.2046,E38))),0)</f>
        <v>0.89499998092651367</v>
      </c>
      <c r="I38" s="307">
        <v>24672</v>
      </c>
      <c r="J38" s="128">
        <f ca="1">IF(I38,VLOOKUP(INT((NOW()-I38)/365.25),DATA!$A$2:$B$53,2,TRUE),0)</f>
        <v>1.1299999999999999</v>
      </c>
      <c r="K38" s="169"/>
      <c r="L38" s="172"/>
      <c r="M38" s="172"/>
      <c r="N38" s="172"/>
      <c r="O38" s="173" t="str">
        <f>IF(MAX(BL38:BN38)&gt;0,MAX(ABS(L38)*BL38,ABS(M38)*BM38,ABS(N38)*BN38),"")</f>
        <v/>
      </c>
      <c r="P38" s="174" t="s">
        <v>275</v>
      </c>
      <c r="Q38" s="316">
        <v>-85</v>
      </c>
      <c r="R38" s="316">
        <v>-87.5</v>
      </c>
      <c r="S38" s="316">
        <v>-87.5</v>
      </c>
      <c r="T38" s="173">
        <f>IF(MAX(BQ38:BS38)&gt;0,MAX(ABS(Q38)*BQ38,ABS(R38)*BR38,ABS(S38)*BS38),0)</f>
        <v>0</v>
      </c>
      <c r="U38" s="173" t="str">
        <f>IF(OR(O38="",T38=""),"",O38+T38)</f>
        <v/>
      </c>
      <c r="V38" s="167"/>
      <c r="W38" s="175"/>
      <c r="X38" s="167"/>
      <c r="Y38" s="176" t="str">
        <f>IF(MAX(BV38:BX38)&gt;0,MAX(ABS(V38)*BV38,ABS(W38)*BW38,ABS(X38)*BX38),"")</f>
        <v/>
      </c>
      <c r="Z38" s="173" t="str">
        <f ca="1">IF(AE38=$AU$7,IF($AU$7="SQ",O38,IF($AU$7="BP",T38,IF($AU$7="DL",Y38,IF($AU$7="PP",IF(OR(T38="",Y38=""),"",T38+Y38),IF(OR($U38="",$Y38=""),"",$O38+$T38+$Y38))))),"")</f>
        <v/>
      </c>
      <c r="AA38" s="274" t="str">
        <f>IF(AE38="BP",IF(T38&gt;1,T38*H38,""),IF(Z38="","",Z38*H38))</f>
        <v/>
      </c>
      <c r="AB38" s="177" t="e">
        <f ca="1">IF(AND(I38&gt;23,I38&lt;40),0,AA38*J38)</f>
        <v>#VALUE!</v>
      </c>
      <c r="AC38" s="167">
        <f ca="1">OFFSET(Setup!$F$1,MATCH(D38,INDIRECT("Setup!B1:B100"),0)-1,0)</f>
        <v>2</v>
      </c>
      <c r="AD38" s="178" t="e">
        <f ca="1">IF(OR(Z38=0,AU38=0,AH38=0),"",CONCATENATE(AL38,"-",D38,IF(AC38&gt;1,"","-"),IF(AC38&gt;1,"",F38),"-",$AU$7))</f>
        <v>#VALUE!</v>
      </c>
      <c r="AE38" s="169" t="s">
        <v>117</v>
      </c>
      <c r="AH38" s="179" t="e">
        <f ca="1">AU38*(IF(OR(D38="",E38=""),0,MATCH(D38,INDIRECT("Setup!B1:B100"),0)*100000000+IF(AC38=1,(MATCH(F38,Lists!$I$16:$I$32,0)),0)*1000000+IF(Z38=0,0,IF(AC38=1,AN38*1000,IF(AC38=2,AA38,AB38))+IF(AC38=1,AP38+AQ38/1000,0))))</f>
        <v>#VALUE!</v>
      </c>
      <c r="AI38" s="128" t="e">
        <f ca="1">RANK(AH38,INDIRECT("AH1:AH200"),0)</f>
        <v>#VALUE!</v>
      </c>
      <c r="AJ38" s="128" t="e">
        <f ca="1">INT(AH38/1000000)</f>
        <v>#VALUE!</v>
      </c>
      <c r="AK38" s="128" t="e">
        <f ca="1">RANK(AJ38,INDIRECT("AJ1:AJ200"),0)</f>
        <v>#VALUE!</v>
      </c>
      <c r="AL38" s="128" t="e">
        <f ca="1">AI38-AK38+1</f>
        <v>#VALUE!</v>
      </c>
      <c r="AN38" s="180" t="e">
        <f ca="1">RANK(Z38,INDIRECT("Z1:Z200"),-1)</f>
        <v>#VALUE!</v>
      </c>
      <c r="AO38" s="180">
        <f>E38</f>
        <v>83.4</v>
      </c>
      <c r="AP38" s="180">
        <f ca="1">RANK(AO38,INDIRECT("AO1:AO200"))</f>
        <v>19</v>
      </c>
      <c r="AQ38" s="180">
        <f ca="1">RANK(BZ38,INDIRECT("BZ:BZ"),-1)</f>
        <v>1</v>
      </c>
      <c r="AU38" s="180">
        <f ca="1">IF(ISERROR(FIND($AU$7,AE38)),0,1)</f>
        <v>0</v>
      </c>
      <c r="AW38" s="180"/>
      <c r="AX38" s="182"/>
      <c r="AY38" s="182"/>
      <c r="AZ38" s="182"/>
      <c r="BA38" s="128">
        <f>HLOOKUP($A38,$BA$1:$BH$2,2,FALSE)</f>
        <v>3</v>
      </c>
      <c r="BB38" s="118" t="str">
        <f ca="1">IF(OR(INDIRECT(ADDRESS(ROW(BB38),$BB$4))="",INDIRECT(ADDRESS(ROW(BB38),$BB$4))=0),"",ABS(INDIRECT(ADDRESS(ROW(BB38),$BB$4)))+0.0001*INDIRECT(ADDRESS(ROW(BB38),7)))</f>
        <v/>
      </c>
      <c r="BL38" s="118">
        <v>0</v>
      </c>
      <c r="BM38" s="118">
        <v>0</v>
      </c>
      <c r="BN38" s="118">
        <v>0</v>
      </c>
      <c r="BQ38" s="118">
        <v>-1</v>
      </c>
      <c r="BR38" s="118">
        <v>-1</v>
      </c>
      <c r="BS38" s="118">
        <v>-1</v>
      </c>
      <c r="BV38" s="118">
        <v>0</v>
      </c>
      <c r="BW38" s="118">
        <v>0</v>
      </c>
      <c r="BX38" s="118">
        <v>0</v>
      </c>
      <c r="BY38" s="183">
        <f>IF(BX38=1,3,IF(BW38=1,2,IF(BV38=1,1,0)))</f>
        <v>0</v>
      </c>
      <c r="BZ38" s="183">
        <f ca="1">IF($AU$7="SQ",BO38,IF($AU$7="BP",BT38,BY38))</f>
        <v>0</v>
      </c>
      <c r="CA38" s="309">
        <v>0.60875000000000001</v>
      </c>
    </row>
    <row r="39" spans="1:79" ht="19.5" customHeight="1" x14ac:dyDescent="0.2">
      <c r="A39" s="167" t="s">
        <v>43</v>
      </c>
      <c r="B39" s="168" t="s">
        <v>319</v>
      </c>
      <c r="C39" s="168" t="s">
        <v>245</v>
      </c>
      <c r="D39" s="169" t="s">
        <v>249</v>
      </c>
      <c r="E39" s="169">
        <v>83.5</v>
      </c>
      <c r="F39" s="169">
        <f>IF(LEFT(D39,1)="M",VLOOKUP(IF($E$7="Bwt (kg)",E39,E39/2.2046),Lists!$B$16:$D$24,IF(ISERROR(FIND("J",D39)),3,2)),VLOOKUP(IF($E$7="Bwt (kg)",E39,E39/2.2046),Lists!$B$26:$D$33,IF(ISERROR(FIND("J",D39)),3,2)))</f>
        <v>84</v>
      </c>
      <c r="G39" s="169">
        <v>3</v>
      </c>
      <c r="H39" s="170">
        <f>IF(AND(VALUE(E39)&gt;0,OR(LEFT(D39,1)="M",LEFT(D39,1)="F")),IF(LEFT(D39,1)="M",Wilks_Men(IF(RIGHT($F$7,4)="(lb)",E39/2.2046,E39)),Wilks_Women(IF(RIGHT($F$7,4)="(lb)",E39/2.2046,E39))),0)</f>
        <v>0.89440000057220459</v>
      </c>
      <c r="I39" s="307">
        <v>26361</v>
      </c>
      <c r="J39" s="128">
        <f ca="1">IF(I39,VLOOKUP(INT((NOW()-I39)/365.25),DATA!$A$2:$B$53,2,TRUE),0)</f>
        <v>1.0680000000000001</v>
      </c>
      <c r="K39" s="169"/>
      <c r="L39" s="172"/>
      <c r="M39" s="172"/>
      <c r="N39" s="172"/>
      <c r="O39" s="173" t="str">
        <f>IF(MAX(BL39:BN39)&gt;0,MAX(ABS(L39)*BL39,ABS(M39)*BM39,ABS(N39)*BN39),"")</f>
        <v/>
      </c>
      <c r="P39" s="174" t="s">
        <v>320</v>
      </c>
      <c r="Q39" s="308">
        <v>87.5</v>
      </c>
      <c r="R39" s="308">
        <v>92.5</v>
      </c>
      <c r="S39" s="308">
        <v>97.5</v>
      </c>
      <c r="T39" s="173">
        <f>IF(MAX(BQ39:BS39)&gt;0,MAX(ABS(Q39)*BQ39,ABS(R39)*BR39,ABS(S39)*BS39),0)</f>
        <v>97.5</v>
      </c>
      <c r="U39" s="173" t="str">
        <f>IF(OR(O39="",T39=""),"",O39+T39)</f>
        <v/>
      </c>
      <c r="V39" s="167"/>
      <c r="W39" s="175"/>
      <c r="X39" s="167"/>
      <c r="Y39" s="176" t="str">
        <f>IF(MAX(BV39:BX39)&gt;0,MAX(ABS(V39)*BV39,ABS(W39)*BW39,ABS(X39)*BX39),"")</f>
        <v/>
      </c>
      <c r="Z39" s="173" t="str">
        <f ca="1">IF(AE39=$AU$7,IF($AU$7="SQ",O39,IF($AU$7="BP",T39,IF($AU$7="DL",Y39,IF($AU$7="PP",IF(OR(T39="",Y39=""),"",T39+Y39),IF(OR($U39="",$Y39=""),"",$O39+$T39+$Y39))))),"")</f>
        <v/>
      </c>
      <c r="AA39" s="274">
        <f>IF(AE39="BP",IF(T39&gt;1,T39*H39,""),IF(Z39="","",Z39*H39))</f>
        <v>87.204000055789948</v>
      </c>
      <c r="AB39" s="177">
        <f ca="1">IF(AND(I39&gt;23,I39&lt;40),0,AA39*J39)</f>
        <v>93.133872059583666</v>
      </c>
      <c r="AC39" s="167">
        <f ca="1">OFFSET(Setup!$F$1,MATCH(D39,INDIRECT("Setup!B1:B100"),0)-1,0)</f>
        <v>2</v>
      </c>
      <c r="AD39" s="178" t="str">
        <f ca="1">IF(OR(Z39=0,AU39=0,AH39=0),"",CONCATENATE(AL39,"-",D39,IF(AC39&gt;1,"","-"),IF(AC39&gt;1,"",F39),"-",$AU$7))</f>
        <v/>
      </c>
      <c r="AE39" s="169" t="s">
        <v>117</v>
      </c>
      <c r="AH39" s="179">
        <f ca="1">AU39*(IF(OR(D39="",E39=""),0,MATCH(D39,INDIRECT("Setup!B1:B100"),0)*100000000+IF(AC39=1,(MATCH(F39,Lists!$I$16:$I$32,0)),0)*1000000+IF(Z39=0,0,IF(AC39=1,AN39*1000,IF(AC39=2,AA39,AB39))+IF(AC39=1,AP39+AQ39/1000,0))))</f>
        <v>0</v>
      </c>
      <c r="AI39" s="128" t="e">
        <f ca="1">RANK(AH39,INDIRECT("AH1:AH200"),0)</f>
        <v>#VALUE!</v>
      </c>
      <c r="AJ39" s="128">
        <f ca="1">INT(AH39/1000000)</f>
        <v>0</v>
      </c>
      <c r="AK39" s="128" t="e">
        <f ca="1">RANK(AJ39,INDIRECT("AJ1:AJ200"),0)</f>
        <v>#VALUE!</v>
      </c>
      <c r="AL39" s="128" t="e">
        <f ca="1">AI39-AK39+1</f>
        <v>#VALUE!</v>
      </c>
      <c r="AN39" s="180" t="e">
        <f ca="1">RANK(Z39,INDIRECT("Z1:Z200"),-1)</f>
        <v>#VALUE!</v>
      </c>
      <c r="AO39" s="180">
        <f>E39</f>
        <v>83.5</v>
      </c>
      <c r="AP39" s="180">
        <f ca="1">RANK(AO39,INDIRECT("AO1:AO200"))</f>
        <v>17</v>
      </c>
      <c r="AQ39" s="180">
        <f ca="1">RANK(BZ39,INDIRECT("BZ:BZ"),-1)</f>
        <v>1</v>
      </c>
      <c r="AU39" s="180">
        <f ca="1">IF(ISERROR(FIND($AU$7,AE39)),0,1)</f>
        <v>0</v>
      </c>
      <c r="AW39" s="180"/>
      <c r="AX39" s="182"/>
      <c r="AY39" s="182"/>
      <c r="AZ39" s="182"/>
      <c r="BA39" s="128">
        <f>HLOOKUP($A39,$BA$1:$BH$2,2,FALSE)</f>
        <v>3</v>
      </c>
      <c r="BB39" s="118" t="str">
        <f ca="1">IF(OR(INDIRECT(ADDRESS(ROW(BB39),$BB$4))="",INDIRECT(ADDRESS(ROW(BB39),$BB$4))=0),"",ABS(INDIRECT(ADDRESS(ROW(BB39),$BB$4)))+0.0001*INDIRECT(ADDRESS(ROW(BB39),7)))</f>
        <v/>
      </c>
      <c r="BL39" s="118">
        <v>0</v>
      </c>
      <c r="BM39" s="118">
        <v>0</v>
      </c>
      <c r="BN39" s="118">
        <v>0</v>
      </c>
      <c r="BQ39" s="118">
        <v>1</v>
      </c>
      <c r="BR39" s="118">
        <v>1</v>
      </c>
      <c r="BS39" s="118">
        <v>1</v>
      </c>
      <c r="BT39" s="183">
        <v>43240.609548611108</v>
      </c>
      <c r="BV39" s="118">
        <v>0</v>
      </c>
      <c r="BW39" s="118">
        <v>0</v>
      </c>
      <c r="BX39" s="118">
        <v>0</v>
      </c>
      <c r="BY39" s="183">
        <f>IF(BX39=1,3,IF(BW39=1,2,IF(BV39=1,1,0)))</f>
        <v>0</v>
      </c>
      <c r="BZ39" s="183">
        <f ca="1">IF($AU$7="SQ",BO39,IF($AU$7="BP",BT39,BY39))</f>
        <v>0</v>
      </c>
      <c r="CA39" s="309">
        <v>0.61024305555555558</v>
      </c>
    </row>
    <row r="40" spans="1:79" ht="19.5" customHeight="1" x14ac:dyDescent="0.2">
      <c r="A40" s="167" t="s">
        <v>43</v>
      </c>
      <c r="B40" s="168" t="s">
        <v>315</v>
      </c>
      <c r="C40" s="168" t="s">
        <v>183</v>
      </c>
      <c r="D40" s="169" t="s">
        <v>212</v>
      </c>
      <c r="E40" s="169">
        <v>83.45</v>
      </c>
      <c r="F40" s="169">
        <f>IF(LEFT(D40,1)="M",VLOOKUP(IF($E$7="Bwt (kg)",E40,E40/2.2046),Lists!$B$16:$D$24,IF(ISERROR(FIND("J",D40)),3,2)),VLOOKUP(IF($E$7="Bwt (kg)",E40,E40/2.2046),Lists!$B$26:$D$33,IF(ISERROR(FIND("J",D40)),3,2)))</f>
        <v>84</v>
      </c>
      <c r="G40" s="169">
        <v>1</v>
      </c>
      <c r="H40" s="170">
        <f>IF(AND(VALUE(E40)&gt;0,OR(LEFT(D40,1)="M",LEFT(D40,1)="F")),IF(LEFT(D40,1)="M",Wilks_Men(IF(RIGHT($F$7,4)="(lb)",E40/2.2046,E40)),Wilks_Women(IF(RIGHT($F$7,4)="(lb)",E40/2.2046,E40))),0)</f>
        <v>0.89469999074935913</v>
      </c>
      <c r="I40" s="307">
        <v>29773</v>
      </c>
      <c r="J40" s="128">
        <f ca="1">IF(I40,VLOOKUP(INT((NOW()-I40)/365.25),DATA!$A$2:$B$53,2,TRUE),0)</f>
        <v>1</v>
      </c>
      <c r="K40" s="169"/>
      <c r="L40" s="172"/>
      <c r="M40" s="172"/>
      <c r="N40" s="172"/>
      <c r="O40" s="173" t="str">
        <f>IF(MAX(BL40:BN40)&gt;0,MAX(ABS(L40)*BL40,ABS(M40)*BM40,ABS(N40)*BN40),"")</f>
        <v/>
      </c>
      <c r="P40" s="174" t="s">
        <v>316</v>
      </c>
      <c r="Q40" s="308">
        <v>92.5</v>
      </c>
      <c r="R40" s="308">
        <v>97.5</v>
      </c>
      <c r="S40" s="316">
        <v>-100</v>
      </c>
      <c r="T40" s="173">
        <f>IF(MAX(BQ40:BS40)&gt;0,MAX(ABS(Q40)*BQ40,ABS(R40)*BR40,ABS(S40)*BS40),0)</f>
        <v>97.5</v>
      </c>
      <c r="U40" s="173" t="str">
        <f>IF(OR(O40="",T40=""),"",O40+T40)</f>
        <v/>
      </c>
      <c r="V40" s="167"/>
      <c r="W40" s="175"/>
      <c r="X40" s="167"/>
      <c r="Y40" s="176" t="str">
        <f>IF(MAX(BV40:BX40)&gt;0,MAX(ABS(V40)*BV40,ABS(W40)*BW40,ABS(X40)*BX40),"")</f>
        <v/>
      </c>
      <c r="Z40" s="173" t="str">
        <f ca="1">IF(AE40=$AU$7,IF($AU$7="SQ",O40,IF($AU$7="BP",T40,IF($AU$7="DL",Y40,IF($AU$7="PP",IF(OR(T40="",Y40=""),"",T40+Y40),IF(OR($U40="",$Y40=""),"",$O40+$T40+$Y40))))),"")</f>
        <v/>
      </c>
      <c r="AA40" s="274">
        <f>IF(AE40="BP",IF(T40&gt;1,T40*H40,""),IF(Z40="","",Z40*H40))</f>
        <v>87.233249098062515</v>
      </c>
      <c r="AB40" s="177">
        <f ca="1">IF(AND(I40&gt;23,I40&lt;40),0,AA40*J40)</f>
        <v>87.233249098062515</v>
      </c>
      <c r="AC40" s="167">
        <f ca="1">OFFSET(Setup!$F$1,MATCH(D40,INDIRECT("Setup!B1:B100"),0)-1,0)</f>
        <v>2</v>
      </c>
      <c r="AD40" s="178" t="str">
        <f ca="1">IF(OR(Z40=0,AU40=0,AH40=0),"",CONCATENATE(AL40,"-",D40,IF(AC40&gt;1,"","-"),IF(AC40&gt;1,"",F40),"-",$AU$7))</f>
        <v/>
      </c>
      <c r="AE40" s="169" t="s">
        <v>117</v>
      </c>
      <c r="AH40" s="179">
        <f ca="1">AU40*(IF(OR(D40="",E40=""),0,MATCH(D40,INDIRECT("Setup!B1:B100"),0)*100000000+IF(AC40=1,(MATCH(F40,Lists!$I$16:$I$32,0)),0)*1000000+IF(Z40=0,0,IF(AC40=1,AN40*1000,IF(AC40=2,AA40,AB40))+IF(AC40=1,AP40+AQ40/1000,0))))</f>
        <v>0</v>
      </c>
      <c r="AI40" s="128" t="e">
        <f ca="1">RANK(AH40,INDIRECT("AH1:AH200"),0)</f>
        <v>#VALUE!</v>
      </c>
      <c r="AJ40" s="128">
        <f ca="1">INT(AH40/1000000)</f>
        <v>0</v>
      </c>
      <c r="AK40" s="128" t="e">
        <f ca="1">RANK(AJ40,INDIRECT("AJ1:AJ200"),0)</f>
        <v>#VALUE!</v>
      </c>
      <c r="AL40" s="128" t="e">
        <f ca="1">AI40-AK40+1</f>
        <v>#VALUE!</v>
      </c>
      <c r="AN40" s="180" t="e">
        <f ca="1">RANK(Z40,INDIRECT("Z1:Z200"),-1)</f>
        <v>#VALUE!</v>
      </c>
      <c r="AO40" s="180">
        <f>E40</f>
        <v>83.45</v>
      </c>
      <c r="AP40" s="180">
        <f ca="1">RANK(AO40,INDIRECT("AO1:AO200"))</f>
        <v>18</v>
      </c>
      <c r="AQ40" s="180">
        <f ca="1">RANK(BZ40,INDIRECT("BZ:BZ"),-1)</f>
        <v>1</v>
      </c>
      <c r="AU40" s="180">
        <f ca="1">IF(ISERROR(FIND($AU$7,AE40)),0,1)</f>
        <v>0</v>
      </c>
      <c r="AW40" s="180"/>
      <c r="AX40" s="182"/>
      <c r="AY40" s="182"/>
      <c r="AZ40" s="182"/>
      <c r="BA40" s="128">
        <f>HLOOKUP($A40,$BA$1:$BH$2,2,FALSE)</f>
        <v>3</v>
      </c>
      <c r="BB40" s="118" t="str">
        <f ca="1">IF(OR(INDIRECT(ADDRESS(ROW(BB40),$BB$4))="",INDIRECT(ADDRESS(ROW(BB40),$BB$4))=0),"",ABS(INDIRECT(ADDRESS(ROW(BB40),$BB$4)))+0.0001*INDIRECT(ADDRESS(ROW(BB40),7)))</f>
        <v/>
      </c>
      <c r="BL40" s="118">
        <v>0</v>
      </c>
      <c r="BM40" s="118">
        <v>0</v>
      </c>
      <c r="BN40" s="118">
        <v>0</v>
      </c>
      <c r="BQ40" s="118">
        <v>1</v>
      </c>
      <c r="BR40" s="118">
        <v>1</v>
      </c>
      <c r="BS40" s="118">
        <v>-1</v>
      </c>
      <c r="BT40" s="183">
        <v>43240.603946759256</v>
      </c>
      <c r="BV40" s="118">
        <v>0</v>
      </c>
      <c r="BW40" s="118">
        <v>0</v>
      </c>
      <c r="BX40" s="118">
        <v>0</v>
      </c>
      <c r="BY40" s="183">
        <f>IF(BX40=1,3,IF(BW40=1,2,IF(BV40=1,1,0)))</f>
        <v>0</v>
      </c>
      <c r="BZ40" s="183">
        <f ca="1">IF($AU$7="SQ",BO40,IF($AU$7="BP",BT40,BY40))</f>
        <v>0</v>
      </c>
      <c r="CA40" s="309">
        <v>0.61087962962962961</v>
      </c>
    </row>
    <row r="41" spans="1:79" ht="19.5" customHeight="1" x14ac:dyDescent="0.2">
      <c r="A41" s="167" t="s">
        <v>43</v>
      </c>
      <c r="B41" s="168" t="s">
        <v>281</v>
      </c>
      <c r="C41" s="168" t="s">
        <v>245</v>
      </c>
      <c r="D41" s="169" t="s">
        <v>249</v>
      </c>
      <c r="E41" s="169">
        <v>123.6</v>
      </c>
      <c r="F41" s="169" t="str">
        <f>IF(LEFT(D41,1)="M",VLOOKUP(IF($E$7="Bwt (kg)",E41,E41/2.2046),Lists!$B$16:$D$24,IF(ISERROR(FIND("J",D41)),3,2)),VLOOKUP(IF($E$7="Bwt (kg)",E41,E41/2.2046),Lists!$B$26:$D$33,IF(ISERROR(FIND("J",D41)),3,2)))</f>
        <v>84+</v>
      </c>
      <c r="G41" s="169">
        <v>7</v>
      </c>
      <c r="H41" s="170">
        <f>IF(AND(VALUE(E41)&gt;0,OR(LEFT(D41,1)="M",LEFT(D41,1)="F")),IF(LEFT(D41,1)="M",Wilks_Men(IF(RIGHT($F$7,4)="(lb)",E41/2.2046,E41)),Wilks_Women(IF(RIGHT($F$7,4)="(lb)",E41/2.2046,E41))),0)</f>
        <v>0.79549998044967651</v>
      </c>
      <c r="I41" s="307">
        <v>33375</v>
      </c>
      <c r="J41" s="128">
        <f ca="1">IF(I41,VLOOKUP(INT((NOW()-I41)/365.25),DATA!$A$2:$B$53,2,TRUE),0)</f>
        <v>1</v>
      </c>
      <c r="K41" s="169"/>
      <c r="L41" s="172"/>
      <c r="M41" s="172"/>
      <c r="N41" s="172"/>
      <c r="O41" s="173" t="str">
        <f>IF(MAX(BL41:BN41)&gt;0,MAX(ABS(L41)*BL41,ABS(M41)*BM41,ABS(N41)*BN41),"")</f>
        <v/>
      </c>
      <c r="P41" s="174" t="s">
        <v>282</v>
      </c>
      <c r="Q41" s="316">
        <v>-110</v>
      </c>
      <c r="R41" s="308">
        <v>110</v>
      </c>
      <c r="S41" s="167"/>
      <c r="T41" s="173">
        <f>IF(MAX(BQ41:BS41)&gt;0,MAX(ABS(Q41)*BQ41,ABS(R41)*BR41,ABS(S41)*BS41),0)</f>
        <v>110</v>
      </c>
      <c r="U41" s="173" t="str">
        <f>IF(OR(O41="",T41=""),"",O41+T41)</f>
        <v/>
      </c>
      <c r="V41" s="167"/>
      <c r="W41" s="175"/>
      <c r="X41" s="167"/>
      <c r="Y41" s="176" t="str">
        <f>IF(MAX(BV41:BX41)&gt;0,MAX(ABS(V41)*BV41,ABS(W41)*BW41,ABS(X41)*BX41),"")</f>
        <v/>
      </c>
      <c r="Z41" s="173" t="str">
        <f ca="1">IF(AE41=$AU$7,IF($AU$7="SQ",O41,IF($AU$7="BP",T41,IF($AU$7="DL",Y41,IF($AU$7="PP",IF(OR(T41="",Y41=""),"",T41+Y41),IF(OR($U41="",$Y41=""),"",$O41+$T41+$Y41))))),"")</f>
        <v/>
      </c>
      <c r="AA41" s="274">
        <f>IF(AE41="BP",IF(T41&gt;1,T41*H41,""),IF(Z41="","",Z41*H41))</f>
        <v>87.504997849464417</v>
      </c>
      <c r="AB41" s="177">
        <f ca="1">IF(AND(I41&gt;23,I41&lt;40),0,AA41*J41)</f>
        <v>87.504997849464417</v>
      </c>
      <c r="AC41" s="167">
        <f ca="1">OFFSET(Setup!$F$1,MATCH(D41,INDIRECT("Setup!B1:B100"),0)-1,0)</f>
        <v>2</v>
      </c>
      <c r="AD41" s="178" t="str">
        <f ca="1">IF(OR(Z41=0,AU41=0,AH41=0),"",CONCATENATE(AL41,"-",D41,IF(AC41&gt;1,"","-"),IF(AC41&gt;1,"",F41),"-",$AU$7))</f>
        <v/>
      </c>
      <c r="AE41" s="169" t="s">
        <v>117</v>
      </c>
      <c r="AH41" s="179">
        <f ca="1">AU41*(IF(OR(D41="",E41=""),0,MATCH(D41,INDIRECT("Setup!B1:B100"),0)*100000000+IF(AC41=1,(MATCH(F41,Lists!$I$16:$I$32,0)),0)*1000000+IF(Z41=0,0,IF(AC41=1,AN41*1000,IF(AC41=2,AA41,AB41))+IF(AC41=1,AP41+AQ41/1000,0))))</f>
        <v>0</v>
      </c>
      <c r="AI41" s="128" t="e">
        <f ca="1">RANK(AH41,INDIRECT("AH1:AH200"),0)</f>
        <v>#VALUE!</v>
      </c>
      <c r="AJ41" s="128">
        <f ca="1">INT(AH41/1000000)</f>
        <v>0</v>
      </c>
      <c r="AK41" s="128" t="e">
        <f ca="1">RANK(AJ41,INDIRECT("AJ1:AJ200"),0)</f>
        <v>#VALUE!</v>
      </c>
      <c r="AL41" s="128" t="e">
        <f ca="1">AI41-AK41+1</f>
        <v>#VALUE!</v>
      </c>
      <c r="AN41" s="180" t="e">
        <f ca="1">RANK(Z41,INDIRECT("Z1:Z200"),-1)</f>
        <v>#VALUE!</v>
      </c>
      <c r="AO41" s="180">
        <f>E41</f>
        <v>123.6</v>
      </c>
      <c r="AP41" s="180">
        <f ca="1">RANK(AO41,INDIRECT("AO1:AO200"))</f>
        <v>4</v>
      </c>
      <c r="AQ41" s="180">
        <f ca="1">RANK(BZ41,INDIRECT("BZ:BZ"),-1)</f>
        <v>1</v>
      </c>
      <c r="AU41" s="180">
        <f ca="1">IF(ISERROR(FIND($AU$7,AE41)),0,1)</f>
        <v>0</v>
      </c>
      <c r="AW41" s="180"/>
      <c r="AX41" s="182"/>
      <c r="AY41" s="182"/>
      <c r="AZ41" s="182"/>
      <c r="BA41" s="128">
        <f>HLOOKUP($A41,$BA$1:$BH$2,2,FALSE)</f>
        <v>3</v>
      </c>
      <c r="BB41" s="118" t="str">
        <f ca="1">IF(OR(INDIRECT(ADDRESS(ROW(BB41),$BB$4))="",INDIRECT(ADDRESS(ROW(BB41),$BB$4))=0),"",ABS(INDIRECT(ADDRESS(ROW(BB41),$BB$4)))+0.0001*INDIRECT(ADDRESS(ROW(BB41),7)))</f>
        <v/>
      </c>
      <c r="BL41" s="118">
        <v>0</v>
      </c>
      <c r="BM41" s="118">
        <v>0</v>
      </c>
      <c r="BN41" s="118">
        <v>0</v>
      </c>
      <c r="BQ41" s="118">
        <v>-1</v>
      </c>
      <c r="BR41" s="118">
        <v>1</v>
      </c>
      <c r="BS41" s="118">
        <v>0</v>
      </c>
      <c r="BT41" s="183">
        <v>43240.604791666665</v>
      </c>
      <c r="BV41" s="118">
        <v>0</v>
      </c>
      <c r="BW41" s="118">
        <v>0</v>
      </c>
      <c r="BX41" s="118">
        <v>0</v>
      </c>
      <c r="BY41" s="183">
        <f>IF(BX41=1,3,IF(BW41=1,2,IF(BV41=1,1,0)))</f>
        <v>0</v>
      </c>
      <c r="BZ41" s="183">
        <f ca="1">IF($AU$7="SQ",BO41,IF($AU$7="BP",BT41,BY41))</f>
        <v>0</v>
      </c>
      <c r="CA41" s="309">
        <v>0.60548611111111106</v>
      </c>
    </row>
    <row r="42" spans="1:79" ht="19.5" customHeight="1" x14ac:dyDescent="0.2">
      <c r="A42" s="167" t="s">
        <v>43</v>
      </c>
      <c r="B42" s="168" t="s">
        <v>324</v>
      </c>
      <c r="C42" s="168" t="s">
        <v>200</v>
      </c>
      <c r="D42" s="169" t="s">
        <v>211</v>
      </c>
      <c r="E42" s="169">
        <v>111.55</v>
      </c>
      <c r="F42" s="169">
        <f>IF(LEFT(D42,1)="M",VLOOKUP(IF($E$7="Bwt (kg)",E42,E42/2.2046),Lists!$B$16:$D$24,IF(ISERROR(FIND("J",D42)),3,2)),VLOOKUP(IF($E$7="Bwt (kg)",E42,E42/2.2046),Lists!$B$26:$D$33,IF(ISERROR(FIND("J",D42)),3,2)))</f>
        <v>120</v>
      </c>
      <c r="G42" s="169">
        <v>8</v>
      </c>
      <c r="H42" s="170">
        <f>IF(AND(VALUE(E42)&gt;0,OR(LEFT(D42,1)="M",LEFT(D42,1)="F")),IF(LEFT(D42,1)="M",Wilks_Men(IF(RIGHT($F$7,4)="(lb)",E42/2.2046,E42)),Wilks_Women(IF(RIGHT($F$7,4)="(lb)",E42/2.2046,E42))),0)</f>
        <v>0.58600002527236938</v>
      </c>
      <c r="I42" s="307">
        <v>22826</v>
      </c>
      <c r="J42" s="128">
        <f ca="1">IF(I42,VLOOKUP(INT((NOW()-I42)/365.25),DATA!$A$2:$B$53,2,TRUE),0)</f>
        <v>1.2250000000000001</v>
      </c>
      <c r="K42" s="169"/>
      <c r="L42" s="172"/>
      <c r="M42" s="172"/>
      <c r="N42" s="172"/>
      <c r="O42" s="173" t="str">
        <f>IF(MAX(BL42:BN42)&gt;0,MAX(ABS(L42)*BL42,ABS(M42)*BM42,ABS(N42)*BN42),"")</f>
        <v/>
      </c>
      <c r="P42" s="174" t="s">
        <v>325</v>
      </c>
      <c r="Q42" s="308">
        <v>137.5</v>
      </c>
      <c r="R42" s="308">
        <v>145</v>
      </c>
      <c r="S42" s="308">
        <v>150</v>
      </c>
      <c r="T42" s="173">
        <f>IF(MAX(BQ42:BS42)&gt;0,MAX(ABS(Q42)*BQ42,ABS(R42)*BR42,ABS(S42)*BS42),0)</f>
        <v>150</v>
      </c>
      <c r="U42" s="173" t="str">
        <f>IF(OR(O42="",T42=""),"",O42+T42)</f>
        <v/>
      </c>
      <c r="V42" s="167"/>
      <c r="W42" s="175"/>
      <c r="X42" s="167"/>
      <c r="Y42" s="176" t="str">
        <f>IF(MAX(BV42:BX42)&gt;0,MAX(ABS(V42)*BV42,ABS(W42)*BW42,ABS(X42)*BX42),"")</f>
        <v/>
      </c>
      <c r="Z42" s="173" t="str">
        <f ca="1">IF(AE42=$AU$7,IF($AU$7="SQ",O42,IF($AU$7="BP",T42,IF($AU$7="DL",Y42,IF($AU$7="PP",IF(OR(T42="",Y42=""),"",T42+Y42),IF(OR($U42="",$Y42=""),"",$O42+$T42+$Y42))))),"")</f>
        <v/>
      </c>
      <c r="AA42" s="274">
        <f>IF(AE42="BP",IF(T42&gt;1,T42*H42,""),IF(Z42="","",Z42*H42))</f>
        <v>87.900003790855408</v>
      </c>
      <c r="AB42" s="177">
        <f ca="1">IF(AND(I42&gt;23,I42&lt;40),0,AA42*J42)</f>
        <v>107.67750464379789</v>
      </c>
      <c r="AC42" s="167">
        <f ca="1">OFFSET(Setup!$F$1,MATCH(D42,INDIRECT("Setup!B1:B100"),0)-1,0)</f>
        <v>2</v>
      </c>
      <c r="AD42" s="178" t="str">
        <f ca="1">IF(OR(Z42=0,AU42=0,AH42=0),"",CONCATENATE(AL42,"-",D42,IF(AC42&gt;1,"","-"),IF(AC42&gt;1,"",F42),"-",$AU$7))</f>
        <v/>
      </c>
      <c r="AE42" s="169" t="s">
        <v>117</v>
      </c>
      <c r="AH42" s="179">
        <f ca="1">AU42*(IF(OR(D42="",E42=""),0,MATCH(D42,INDIRECT("Setup!B1:B100"),0)*100000000+IF(AC42=1,(MATCH(F42,Lists!$I$16:$I$32,0)),0)*1000000+IF(Z42=0,0,IF(AC42=1,AN42*1000,IF(AC42=2,AA42,AB42))+IF(AC42=1,AP42+AQ42/1000,0))))</f>
        <v>0</v>
      </c>
      <c r="AI42" s="128" t="e">
        <f ca="1">RANK(AH42,INDIRECT("AH1:AH200"),0)</f>
        <v>#VALUE!</v>
      </c>
      <c r="AJ42" s="128">
        <f ca="1">INT(AH42/1000000)</f>
        <v>0</v>
      </c>
      <c r="AK42" s="128" t="e">
        <f ca="1">RANK(AJ42,INDIRECT("AJ1:AJ200"),0)</f>
        <v>#VALUE!</v>
      </c>
      <c r="AL42" s="128" t="e">
        <f ca="1">AI42-AK42+1</f>
        <v>#VALUE!</v>
      </c>
      <c r="AN42" s="180" t="e">
        <f ca="1">RANK(Z42,INDIRECT("Z1:Z200"),-1)</f>
        <v>#VALUE!</v>
      </c>
      <c r="AO42" s="180">
        <f>E42</f>
        <v>111.55</v>
      </c>
      <c r="AP42" s="180">
        <f ca="1">RANK(AO42,INDIRECT("AO1:AO200"))</f>
        <v>8</v>
      </c>
      <c r="AQ42" s="180">
        <f ca="1">RANK(BZ42,INDIRECT("BZ:BZ"),-1)</f>
        <v>1</v>
      </c>
      <c r="AU42" s="180">
        <f ca="1">IF(ISERROR(FIND($AU$7,AE42)),0,1)</f>
        <v>0</v>
      </c>
      <c r="AW42" s="180"/>
      <c r="AX42" s="182"/>
      <c r="AY42" s="182"/>
      <c r="AZ42" s="182"/>
      <c r="BA42" s="128">
        <f>HLOOKUP($A42,$BA$1:$BH$2,2,FALSE)</f>
        <v>3</v>
      </c>
      <c r="BB42" s="118" t="str">
        <f ca="1">IF(OR(INDIRECT(ADDRESS(ROW(BB42),$BB$4))="",INDIRECT(ADDRESS(ROW(BB42),$BB$4))=0),"",ABS(INDIRECT(ADDRESS(ROW(BB42),$BB$4)))+0.0001*INDIRECT(ADDRESS(ROW(BB42),7)))</f>
        <v/>
      </c>
      <c r="BL42" s="118">
        <v>0</v>
      </c>
      <c r="BM42" s="118">
        <v>0</v>
      </c>
      <c r="BN42" s="118">
        <v>0</v>
      </c>
      <c r="BQ42" s="118">
        <v>1</v>
      </c>
      <c r="BR42" s="118">
        <v>1</v>
      </c>
      <c r="BS42" s="118">
        <v>1</v>
      </c>
      <c r="BT42" s="183">
        <v>43240.611006944448</v>
      </c>
      <c r="BV42" s="118">
        <v>0</v>
      </c>
      <c r="BW42" s="118">
        <v>0</v>
      </c>
      <c r="BX42" s="118">
        <v>0</v>
      </c>
      <c r="BY42" s="183">
        <f>IF(BX42=1,3,IF(BW42=1,2,IF(BV42=1,1,0)))</f>
        <v>0</v>
      </c>
      <c r="BZ42" s="183">
        <f ca="1">IF($AU$7="SQ",BO42,IF($AU$7="BP",BT42,BY42))</f>
        <v>0</v>
      </c>
      <c r="CA42" s="309">
        <v>0.61170138888888892</v>
      </c>
    </row>
  </sheetData>
  <sheetProtection sheet="1" objects="1" scenarios="1"/>
  <sortState ref="A9:XFD42">
    <sortCondition ref="BA9"/>
    <sortCondition ref="BB9"/>
  </sortState>
  <mergeCells count="8">
    <mergeCell ref="A1:G1"/>
    <mergeCell ref="A5:B5"/>
    <mergeCell ref="A3:B3"/>
    <mergeCell ref="A4:B4"/>
    <mergeCell ref="A2:B2"/>
    <mergeCell ref="C2:E3"/>
    <mergeCell ref="F2:G3"/>
    <mergeCell ref="C4:E4"/>
  </mergeCells>
  <phoneticPr fontId="0" type="noConversion"/>
  <conditionalFormatting sqref="L8 Q8 V8">
    <cfRule type="expression" dxfId="119" priority="364" stopIfTrue="1">
      <formula>AND(BL8=0,COLUMN(L8)=$BD$4,ROW(L8)=$AY$5)</formula>
    </cfRule>
    <cfRule type="expression" dxfId="118" priority="365" stopIfTrue="1">
      <formula>OR(AND(BL8=1,COLUMN(L8)&lt;=$BD$4,ROW(L8)=$AY$5),AND(BL8=1,COLUMN(L8)=$BD$4,ROW(L8)&lt;=$AY$5))</formula>
    </cfRule>
  </conditionalFormatting>
  <conditionalFormatting sqref="M8:N8 R8:S8 W8:X8">
    <cfRule type="expression" dxfId="117" priority="366" stopIfTrue="1">
      <formula>AND(BM8=0,COLUMN(M8)=$BD$4,ROW(M8)=$AY$5)</formula>
    </cfRule>
    <cfRule type="expression" dxfId="116" priority="367" stopIfTrue="1">
      <formula>OR(AND(BM8=1,COLUMN(M8)&lt;=$BD$4,ROW(M8)=$AY$5),AND(BM8=1,COLUMN(M8)=$BD$4,ROW(M8)&lt;=$AY$5))</formula>
    </cfRule>
    <cfRule type="expression" dxfId="115" priority="368" stopIfTrue="1">
      <formula>AND(M8="",BL8&lt;&gt;0,$CA8&lt;&gt;0,$CA8&lt;$CA$5)</formula>
    </cfRule>
  </conditionalFormatting>
  <conditionalFormatting sqref="Z8">
    <cfRule type="expression" dxfId="114" priority="354" stopIfTrue="1">
      <formula>AND(ROW(Z8)=$AY$5)</formula>
    </cfRule>
    <cfRule type="expression" dxfId="113" priority="355" stopIfTrue="1">
      <formula>AND(AC8=1)</formula>
    </cfRule>
  </conditionalFormatting>
  <conditionalFormatting sqref="AB8">
    <cfRule type="expression" dxfId="112" priority="357" stopIfTrue="1">
      <formula>AND($AC8=3)</formula>
    </cfRule>
  </conditionalFormatting>
  <conditionalFormatting sqref="A4">
    <cfRule type="expression" dxfId="111" priority="362" stopIfTrue="1">
      <formula>ISNA(A4)</formula>
    </cfRule>
  </conditionalFormatting>
  <conditionalFormatting sqref="A8">
    <cfRule type="expression" dxfId="110" priority="358" stopIfTrue="1">
      <formula>AND(A8=RIGHT($A$7,1))</formula>
    </cfRule>
  </conditionalFormatting>
  <conditionalFormatting sqref="L7:N7 Q7:S7 V7:X7">
    <cfRule type="expression" dxfId="109" priority="360" stopIfTrue="1">
      <formula>AND(COLUMN(L7)=$BD$4)</formula>
    </cfRule>
  </conditionalFormatting>
  <conditionalFormatting sqref="K8 C8:G8 O8 T8:U8 Y8">
    <cfRule type="expression" dxfId="108" priority="361" stopIfTrue="1">
      <formula>AND(ROW(C8)=$AY$5)</formula>
    </cfRule>
  </conditionalFormatting>
  <conditionalFormatting sqref="B8">
    <cfRule type="cellIs" dxfId="107" priority="378" stopIfTrue="1" operator="equal">
      <formula>$A$1</formula>
    </cfRule>
    <cfRule type="expression" dxfId="106" priority="379" stopIfTrue="1">
      <formula>AND(ROW(B8)=$AG$7)</formula>
    </cfRule>
  </conditionalFormatting>
  <conditionalFormatting sqref="AD8">
    <cfRule type="expression" dxfId="105" priority="408" stopIfTrue="1">
      <formula>AND(AJ8=$AM$5)</formula>
    </cfRule>
  </conditionalFormatting>
  <conditionalFormatting sqref="AA8">
    <cfRule type="expression" dxfId="104" priority="129" stopIfTrue="1">
      <formula>AND($AC8=2)</formula>
    </cfRule>
  </conditionalFormatting>
  <conditionalFormatting sqref="L40:L42 Q40:Q42 V40:V42">
    <cfRule type="expression" dxfId="103" priority="77" stopIfTrue="1">
      <formula>AND(BL40=0,COLUMN(L40)=$BD$4,ROW(L40)=$AY$5)</formula>
    </cfRule>
    <cfRule type="expression" dxfId="102" priority="78" stopIfTrue="1">
      <formula>OR(AND(BL40=1,COLUMN(L40)&lt;=$BD$4,ROW(L40)=$AY$5),AND(BL40=1,COLUMN(L40)=$BD$4,ROW(L40)&lt;=$AY$5))</formula>
    </cfRule>
  </conditionalFormatting>
  <conditionalFormatting sqref="M40:N42 R40:S42 W40:X42">
    <cfRule type="expression" dxfId="101" priority="79" stopIfTrue="1">
      <formula>AND(BM40=0,COLUMN(M40)=$BD$4,ROW(M40)=$AY$5)</formula>
    </cfRule>
    <cfRule type="expression" dxfId="100" priority="80" stopIfTrue="1">
      <formula>OR(AND(BM40=1,COLUMN(M40)&lt;=$BD$4,ROW(M40)=$AY$5),AND(BM40=1,COLUMN(M40)=$BD$4,ROW(M40)&lt;=$AY$5))</formula>
    </cfRule>
    <cfRule type="expression" dxfId="99" priority="81" stopIfTrue="1">
      <formula>AND(M40="",BL40&lt;&gt;0,$CA40&lt;&gt;0,$CA40&lt;$CA$5)</formula>
    </cfRule>
  </conditionalFormatting>
  <conditionalFormatting sqref="Z40:Z42">
    <cfRule type="expression" dxfId="98" priority="72" stopIfTrue="1">
      <formula>AND(ROW(Z40)=$AY$5)</formula>
    </cfRule>
    <cfRule type="expression" dxfId="97" priority="73" stopIfTrue="1">
      <formula>AND(AC40=1)</formula>
    </cfRule>
  </conditionalFormatting>
  <conditionalFormatting sqref="AB40:AB42">
    <cfRule type="expression" dxfId="96" priority="74" stopIfTrue="1">
      <formula>AND($AC40=3)</formula>
    </cfRule>
  </conditionalFormatting>
  <conditionalFormatting sqref="A40:A42">
    <cfRule type="expression" dxfId="95" priority="75" stopIfTrue="1">
      <formula>AND(A40=RIGHT($A$7,1))</formula>
    </cfRule>
  </conditionalFormatting>
  <conditionalFormatting sqref="K40:K42 C40:G42 O40:O42 T40:U42 Y40:Y42">
    <cfRule type="expression" dxfId="94" priority="76" stopIfTrue="1">
      <formula>AND(ROW(C40)=$AY$5)</formula>
    </cfRule>
  </conditionalFormatting>
  <conditionalFormatting sqref="B40:B42">
    <cfRule type="cellIs" dxfId="93" priority="82" stopIfTrue="1" operator="equal">
      <formula>$A$1</formula>
    </cfRule>
    <cfRule type="expression" dxfId="92" priority="83" stopIfTrue="1">
      <formula>AND(ROW(B40)=$AG$7)</formula>
    </cfRule>
  </conditionalFormatting>
  <conditionalFormatting sqref="AD40:AD42">
    <cfRule type="expression" dxfId="91" priority="84" stopIfTrue="1">
      <formula>AND(AJ40=$AM$5)</formula>
    </cfRule>
  </conditionalFormatting>
  <conditionalFormatting sqref="AA40:AA42">
    <cfRule type="expression" dxfId="90" priority="71" stopIfTrue="1">
      <formula>AND($AC40=2)</formula>
    </cfRule>
  </conditionalFormatting>
  <conditionalFormatting sqref="L38:L39 Q38:Q39 V38:V39">
    <cfRule type="expression" dxfId="89" priority="63" stopIfTrue="1">
      <formula>AND(BL38=0,COLUMN(L38)=$BD$4,ROW(L38)=$AY$5)</formula>
    </cfRule>
    <cfRule type="expression" dxfId="88" priority="64" stopIfTrue="1">
      <formula>OR(AND(BL38=1,COLUMN(L38)&lt;=$BD$4,ROW(L38)=$AY$5),AND(BL38=1,COLUMN(L38)=$BD$4,ROW(L38)&lt;=$AY$5))</formula>
    </cfRule>
  </conditionalFormatting>
  <conditionalFormatting sqref="M38:N39 R38:S39 W38:X39">
    <cfRule type="expression" dxfId="87" priority="65" stopIfTrue="1">
      <formula>AND(BM38=0,COLUMN(M38)=$BD$4,ROW(M38)=$AY$5)</formula>
    </cfRule>
    <cfRule type="expression" dxfId="86" priority="66" stopIfTrue="1">
      <formula>OR(AND(BM38=1,COLUMN(M38)&lt;=$BD$4,ROW(M38)=$AY$5),AND(BM38=1,COLUMN(M38)=$BD$4,ROW(M38)&lt;=$AY$5))</formula>
    </cfRule>
    <cfRule type="expression" dxfId="85" priority="67" stopIfTrue="1">
      <formula>AND(M38="",BL38&lt;&gt;0,$CA38&lt;&gt;0,$CA38&lt;$CA$5)</formula>
    </cfRule>
  </conditionalFormatting>
  <conditionalFormatting sqref="Z38:Z39">
    <cfRule type="expression" dxfId="84" priority="58" stopIfTrue="1">
      <formula>AND(ROW(Z38)=$AY$5)</formula>
    </cfRule>
    <cfRule type="expression" dxfId="83" priority="59" stopIfTrue="1">
      <formula>AND(AC38=1)</formula>
    </cfRule>
  </conditionalFormatting>
  <conditionalFormatting sqref="AB38:AB39">
    <cfRule type="expression" dxfId="82" priority="60" stopIfTrue="1">
      <formula>AND($AC38=3)</formula>
    </cfRule>
  </conditionalFormatting>
  <conditionalFormatting sqref="A38:A39">
    <cfRule type="expression" dxfId="81" priority="61" stopIfTrue="1">
      <formula>AND(A38=RIGHT($A$7,1))</formula>
    </cfRule>
  </conditionalFormatting>
  <conditionalFormatting sqref="K38:K39 C38:G39 O38:O39 T38:U39 Y38:Y39">
    <cfRule type="expression" dxfId="80" priority="62" stopIfTrue="1">
      <formula>AND(ROW(C38)=$AY$5)</formula>
    </cfRule>
  </conditionalFormatting>
  <conditionalFormatting sqref="B38:B39">
    <cfRule type="cellIs" dxfId="79" priority="68" stopIfTrue="1" operator="equal">
      <formula>$A$1</formula>
    </cfRule>
    <cfRule type="expression" dxfId="78" priority="69" stopIfTrue="1">
      <formula>AND(ROW(B38)=$AG$7)</formula>
    </cfRule>
  </conditionalFormatting>
  <conditionalFormatting sqref="AD38:AD39">
    <cfRule type="expression" dxfId="77" priority="70" stopIfTrue="1">
      <formula>AND(AJ38=$AM$5)</formula>
    </cfRule>
  </conditionalFormatting>
  <conditionalFormatting sqref="AA38:AA39">
    <cfRule type="expression" dxfId="76" priority="57" stopIfTrue="1">
      <formula>AND($AC38=2)</formula>
    </cfRule>
  </conditionalFormatting>
  <conditionalFormatting sqref="L33:L37 Q33:Q37 V33:V37">
    <cfRule type="expression" dxfId="75" priority="49" stopIfTrue="1">
      <formula>AND(BL33=0,COLUMN(L33)=$BD$4,ROW(L33)=$AY$5)</formula>
    </cfRule>
    <cfRule type="expression" dxfId="74" priority="50" stopIfTrue="1">
      <formula>OR(AND(BL33=1,COLUMN(L33)&lt;=$BD$4,ROW(L33)=$AY$5),AND(BL33=1,COLUMN(L33)=$BD$4,ROW(L33)&lt;=$AY$5))</formula>
    </cfRule>
  </conditionalFormatting>
  <conditionalFormatting sqref="M33:N37 R33:S37 W33:X37">
    <cfRule type="expression" dxfId="73" priority="51" stopIfTrue="1">
      <formula>AND(BM33=0,COLUMN(M33)=$BD$4,ROW(M33)=$AY$5)</formula>
    </cfRule>
    <cfRule type="expression" dxfId="72" priority="52" stopIfTrue="1">
      <formula>OR(AND(BM33=1,COLUMN(M33)&lt;=$BD$4,ROW(M33)=$AY$5),AND(BM33=1,COLUMN(M33)=$BD$4,ROW(M33)&lt;=$AY$5))</formula>
    </cfRule>
    <cfRule type="expression" dxfId="71" priority="53" stopIfTrue="1">
      <formula>AND(M33="",BL33&lt;&gt;0,$CA33&lt;&gt;0,$CA33&lt;$CA$5)</formula>
    </cfRule>
  </conditionalFormatting>
  <conditionalFormatting sqref="Z33:Z37">
    <cfRule type="expression" dxfId="70" priority="44" stopIfTrue="1">
      <formula>AND(ROW(Z33)=$AY$5)</formula>
    </cfRule>
    <cfRule type="expression" dxfId="69" priority="45" stopIfTrue="1">
      <formula>AND(AC33=1)</formula>
    </cfRule>
  </conditionalFormatting>
  <conditionalFormatting sqref="AB33:AB37">
    <cfRule type="expression" dxfId="68" priority="46" stopIfTrue="1">
      <formula>AND($AC33=3)</formula>
    </cfRule>
  </conditionalFormatting>
  <conditionalFormatting sqref="A33:A37">
    <cfRule type="expression" dxfId="67" priority="47" stopIfTrue="1">
      <formula>AND(A33=RIGHT($A$7,1))</formula>
    </cfRule>
  </conditionalFormatting>
  <conditionalFormatting sqref="K33:K37 C33:G37 O33:O37 T33:U37 Y33:Y37">
    <cfRule type="expression" dxfId="66" priority="48" stopIfTrue="1">
      <formula>AND(ROW(C33)=$AY$5)</formula>
    </cfRule>
  </conditionalFormatting>
  <conditionalFormatting sqref="B33:B37">
    <cfRule type="cellIs" dxfId="65" priority="54" stopIfTrue="1" operator="equal">
      <formula>$A$1</formula>
    </cfRule>
    <cfRule type="expression" dxfId="64" priority="55" stopIfTrue="1">
      <formula>AND(ROW(B33)=$AG$7)</formula>
    </cfRule>
  </conditionalFormatting>
  <conditionalFormatting sqref="AD33:AD37">
    <cfRule type="expression" dxfId="63" priority="56" stopIfTrue="1">
      <formula>AND(AJ33=$AM$5)</formula>
    </cfRule>
  </conditionalFormatting>
  <conditionalFormatting sqref="AA33:AA37">
    <cfRule type="expression" dxfId="62" priority="43" stopIfTrue="1">
      <formula>AND($AC33=2)</formula>
    </cfRule>
  </conditionalFormatting>
  <conditionalFormatting sqref="L26:L32 Q26:Q32 V26:V32">
    <cfRule type="expression" dxfId="61" priority="35" stopIfTrue="1">
      <formula>AND(BL26=0,COLUMN(L26)=$BD$4,ROW(L26)=$AY$5)</formula>
    </cfRule>
    <cfRule type="expression" dxfId="60" priority="36" stopIfTrue="1">
      <formula>OR(AND(BL26=1,COLUMN(L26)&lt;=$BD$4,ROW(L26)=$AY$5),AND(BL26=1,COLUMN(L26)=$BD$4,ROW(L26)&lt;=$AY$5))</formula>
    </cfRule>
  </conditionalFormatting>
  <conditionalFormatting sqref="M26:N32 R26:S32 W26:X32">
    <cfRule type="expression" dxfId="59" priority="37" stopIfTrue="1">
      <formula>AND(BM26=0,COLUMN(M26)=$BD$4,ROW(M26)=$AY$5)</formula>
    </cfRule>
    <cfRule type="expression" dxfId="58" priority="38" stopIfTrue="1">
      <formula>OR(AND(BM26=1,COLUMN(M26)&lt;=$BD$4,ROW(M26)=$AY$5),AND(BM26=1,COLUMN(M26)=$BD$4,ROW(M26)&lt;=$AY$5))</formula>
    </cfRule>
    <cfRule type="expression" dxfId="57" priority="39" stopIfTrue="1">
      <formula>AND(M26="",BL26&lt;&gt;0,$CA26&lt;&gt;0,$CA26&lt;$CA$5)</formula>
    </cfRule>
  </conditionalFormatting>
  <conditionalFormatting sqref="Z26:Z32">
    <cfRule type="expression" dxfId="56" priority="30" stopIfTrue="1">
      <formula>AND(ROW(Z26)=$AY$5)</formula>
    </cfRule>
    <cfRule type="expression" dxfId="55" priority="31" stopIfTrue="1">
      <formula>AND(AC26=1)</formula>
    </cfRule>
  </conditionalFormatting>
  <conditionalFormatting sqref="AB26:AB32">
    <cfRule type="expression" dxfId="54" priority="32" stopIfTrue="1">
      <formula>AND($AC26=3)</formula>
    </cfRule>
  </conditionalFormatting>
  <conditionalFormatting sqref="A26:A32">
    <cfRule type="expression" dxfId="53" priority="33" stopIfTrue="1">
      <formula>AND(A26=RIGHT($A$7,1))</formula>
    </cfRule>
  </conditionalFormatting>
  <conditionalFormatting sqref="K26:K32 C26:G32 O26:O32 T26:U32 Y26:Y32">
    <cfRule type="expression" dxfId="52" priority="34" stopIfTrue="1">
      <formula>AND(ROW(C26)=$AY$5)</formula>
    </cfRule>
  </conditionalFormatting>
  <conditionalFormatting sqref="B26:B32">
    <cfRule type="cellIs" dxfId="51" priority="40" stopIfTrue="1" operator="equal">
      <formula>$A$1</formula>
    </cfRule>
    <cfRule type="expression" dxfId="50" priority="41" stopIfTrue="1">
      <formula>AND(ROW(B26)=$AG$7)</formula>
    </cfRule>
  </conditionalFormatting>
  <conditionalFormatting sqref="AD26:AD32">
    <cfRule type="expression" dxfId="49" priority="42" stopIfTrue="1">
      <formula>AND(AJ26=$AM$5)</formula>
    </cfRule>
  </conditionalFormatting>
  <conditionalFormatting sqref="AA26:AA32">
    <cfRule type="expression" dxfId="48" priority="29" stopIfTrue="1">
      <formula>AND($AC26=2)</formula>
    </cfRule>
  </conditionalFormatting>
  <conditionalFormatting sqref="L17:L25 Q17:Q25 V17:V25">
    <cfRule type="expression" dxfId="47" priority="21" stopIfTrue="1">
      <formula>AND(BL17=0,COLUMN(L17)=$BD$4,ROW(L17)=$AY$5)</formula>
    </cfRule>
    <cfRule type="expression" dxfId="46" priority="22" stopIfTrue="1">
      <formula>OR(AND(BL17=1,COLUMN(L17)&lt;=$BD$4,ROW(L17)=$AY$5),AND(BL17=1,COLUMN(L17)=$BD$4,ROW(L17)&lt;=$AY$5))</formula>
    </cfRule>
  </conditionalFormatting>
  <conditionalFormatting sqref="M17:N25 R17:S25 W17:X25">
    <cfRule type="expression" dxfId="45" priority="23" stopIfTrue="1">
      <formula>AND(BM17=0,COLUMN(M17)=$BD$4,ROW(M17)=$AY$5)</formula>
    </cfRule>
    <cfRule type="expression" dxfId="44" priority="24" stopIfTrue="1">
      <formula>OR(AND(BM17=1,COLUMN(M17)&lt;=$BD$4,ROW(M17)=$AY$5),AND(BM17=1,COLUMN(M17)=$BD$4,ROW(M17)&lt;=$AY$5))</formula>
    </cfRule>
    <cfRule type="expression" dxfId="43" priority="25" stopIfTrue="1">
      <formula>AND(M17="",BL17&lt;&gt;0,$CA17&lt;&gt;0,$CA17&lt;$CA$5)</formula>
    </cfRule>
  </conditionalFormatting>
  <conditionalFormatting sqref="Z17:Z25">
    <cfRule type="expression" dxfId="42" priority="16" stopIfTrue="1">
      <formula>AND(ROW(Z17)=$AY$5)</formula>
    </cfRule>
    <cfRule type="expression" dxfId="41" priority="17" stopIfTrue="1">
      <formula>AND(AC17=1)</formula>
    </cfRule>
  </conditionalFormatting>
  <conditionalFormatting sqref="AB17:AB25">
    <cfRule type="expression" dxfId="40" priority="18" stopIfTrue="1">
      <formula>AND($AC17=3)</formula>
    </cfRule>
  </conditionalFormatting>
  <conditionalFormatting sqref="A17:A25">
    <cfRule type="expression" dxfId="39" priority="19" stopIfTrue="1">
      <formula>AND(A17=RIGHT($A$7,1))</formula>
    </cfRule>
  </conditionalFormatting>
  <conditionalFormatting sqref="K17:K25 C17:G25 O17:O25 T17:U25 Y17:Y25">
    <cfRule type="expression" dxfId="38" priority="20" stopIfTrue="1">
      <formula>AND(ROW(C17)=$AY$5)</formula>
    </cfRule>
  </conditionalFormatting>
  <conditionalFormatting sqref="B17:B25">
    <cfRule type="cellIs" dxfId="37" priority="26" stopIfTrue="1" operator="equal">
      <formula>$A$1</formula>
    </cfRule>
    <cfRule type="expression" dxfId="36" priority="27" stopIfTrue="1">
      <formula>AND(ROW(B17)=$AG$7)</formula>
    </cfRule>
  </conditionalFormatting>
  <conditionalFormatting sqref="AD17:AD25">
    <cfRule type="expression" dxfId="35" priority="28" stopIfTrue="1">
      <formula>AND(AJ17=$AM$5)</formula>
    </cfRule>
  </conditionalFormatting>
  <conditionalFormatting sqref="AA17:AA25">
    <cfRule type="expression" dxfId="34" priority="15" stopIfTrue="1">
      <formula>AND($AC17=2)</formula>
    </cfRule>
  </conditionalFormatting>
  <conditionalFormatting sqref="L9:L16 Q9:Q16 V9:V16">
    <cfRule type="expression" dxfId="33" priority="7" stopIfTrue="1">
      <formula>AND(BL9=0,COLUMN(L9)=$BD$4,ROW(L9)=$AY$5)</formula>
    </cfRule>
    <cfRule type="expression" dxfId="32" priority="8" stopIfTrue="1">
      <formula>OR(AND(BL9=1,COLUMN(L9)&lt;=$BD$4,ROW(L9)=$AY$5),AND(BL9=1,COLUMN(L9)=$BD$4,ROW(L9)&lt;=$AY$5))</formula>
    </cfRule>
  </conditionalFormatting>
  <conditionalFormatting sqref="M9:N16 R9:S16 W9:X16">
    <cfRule type="expression" dxfId="31" priority="9" stopIfTrue="1">
      <formula>AND(BM9=0,COLUMN(M9)=$BD$4,ROW(M9)=$AY$5)</formula>
    </cfRule>
    <cfRule type="expression" dxfId="30" priority="10" stopIfTrue="1">
      <formula>OR(AND(BM9=1,COLUMN(M9)&lt;=$BD$4,ROW(M9)=$AY$5),AND(BM9=1,COLUMN(M9)=$BD$4,ROW(M9)&lt;=$AY$5))</formula>
    </cfRule>
    <cfRule type="expression" dxfId="29" priority="11" stopIfTrue="1">
      <formula>AND(M9="",BL9&lt;&gt;0,$CA9&lt;&gt;0,$CA9&lt;$CA$5)</formula>
    </cfRule>
  </conditionalFormatting>
  <conditionalFormatting sqref="Z9:Z16">
    <cfRule type="expression" dxfId="28" priority="2" stopIfTrue="1">
      <formula>AND(ROW(Z9)=$AY$5)</formula>
    </cfRule>
    <cfRule type="expression" dxfId="27" priority="3" stopIfTrue="1">
      <formula>AND(AC9=1)</formula>
    </cfRule>
  </conditionalFormatting>
  <conditionalFormatting sqref="AB9:AB16">
    <cfRule type="expression" dxfId="26" priority="4" stopIfTrue="1">
      <formula>AND($AC9=3)</formula>
    </cfRule>
  </conditionalFormatting>
  <conditionalFormatting sqref="A9:A16">
    <cfRule type="expression" dxfId="25" priority="5" stopIfTrue="1">
      <formula>AND(A9=RIGHT($A$7,1))</formula>
    </cfRule>
  </conditionalFormatting>
  <conditionalFormatting sqref="K9:K16 C9:G16 O9:O16 T9:U16 Y9:Y16">
    <cfRule type="expression" dxfId="24" priority="6" stopIfTrue="1">
      <formula>AND(ROW(C9)=$AY$5)</formula>
    </cfRule>
  </conditionalFormatting>
  <conditionalFormatting sqref="B9:B16">
    <cfRule type="cellIs" dxfId="23" priority="12" stopIfTrue="1" operator="equal">
      <formula>$A$1</formula>
    </cfRule>
    <cfRule type="expression" dxfId="22" priority="13" stopIfTrue="1">
      <formula>AND(ROW(B9)=$AG$7)</formula>
    </cfRule>
  </conditionalFormatting>
  <conditionalFormatting sqref="AD9:AD16">
    <cfRule type="expression" dxfId="21" priority="14" stopIfTrue="1">
      <formula>AND(AJ9=$AM$5)</formula>
    </cfRule>
  </conditionalFormatting>
  <conditionalFormatting sqref="AA9:AA16">
    <cfRule type="expression" dxfId="20" priority="1" stopIfTrue="1">
      <formula>AND($AC9=2)</formula>
    </cfRule>
  </conditionalFormatting>
  <dataValidations count="14">
    <dataValidation type="list" allowBlank="1" showInputMessage="1" showErrorMessage="1" sqref="G5" xr:uid="{00000000-0002-0000-0300-000000000000}">
      <formula1>"Auto, Man"</formula1>
    </dataValidation>
    <dataValidation type="list" allowBlank="1" showInputMessage="1" showErrorMessage="1" sqref="C4" xr:uid="{00000000-0002-0000-0300-000001000000}">
      <formula1>INDIRECT($AS$1)</formula1>
    </dataValidation>
    <dataValidation type="list" allowBlank="1" showInputMessage="1" showErrorMessage="1" sqref="A7" xr:uid="{00000000-0002-0000-0300-000002000000}">
      <formula1>"Grp A, Grp B, Grp C, Grp D, Grp E, Grp F,Grp G, Grp H"</formula1>
    </dataValidation>
    <dataValidation type="list" allowBlank="1" showInputMessage="1" showErrorMessage="1" sqref="Z7" xr:uid="{00000000-0002-0000-0300-000003000000}">
      <formula1>$AT$2:$AT$6</formula1>
    </dataValidation>
    <dataValidation type="list" allowBlank="1" showInputMessage="1" showErrorMessage="1" sqref="A1" xr:uid="{00000000-0002-0000-0300-000004000000}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V8:V42 Q8:Q42 L8:L42" xr:uid="{00000000-0002-0000-0300-000005000000}">
      <formula1>AND(MOD(L8,IF($F$2="Lb",5,2.5))=0)</formula1>
    </dataValidation>
    <dataValidation type="list" errorStyle="information" allowBlank="1" showInputMessage="1" showErrorMessage="1" sqref="AC8:AC42" xr:uid="{00000000-0002-0000-0300-000006000000}">
      <formula1>"1,2,3"</formula1>
    </dataValidation>
    <dataValidation type="list" allowBlank="1" showInputMessage="1" showErrorMessage="1" sqref="D8:D42" xr:uid="{00000000-0002-0000-0300-000007000000}">
      <formula1>INDIRECT($AS$3)</formula1>
    </dataValidation>
    <dataValidation type="list" allowBlank="1" showInputMessage="1" showErrorMessage="1" sqref="C8:C42" xr:uid="{00000000-0002-0000-0300-000008000000}">
      <formula1>INDIRECT($AS$4)</formula1>
    </dataValidation>
    <dataValidation type="list" allowBlank="1" showInputMessage="1" showErrorMessage="1" sqref="D5" xr:uid="{00000000-0002-0000-0300-00000C000000}">
      <formula1>"-,A,B,C,D,E,F,G,H"</formula1>
    </dataValidation>
    <dataValidation type="list" allowBlank="1" showInputMessage="1" showErrorMessage="1" sqref="E5" xr:uid="{00000000-0002-0000-0300-00000D000000}">
      <formula1>"-,SQ,BP,DL"</formula1>
    </dataValidation>
    <dataValidation type="list" allowBlank="1" showInputMessage="1" showErrorMessage="1" sqref="AC43:AC65518" xr:uid="{00000000-0002-0000-0300-000009000000}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42 R8:S42 M8:N42" xr:uid="{00000000-0002-0000-0300-00000A000000}">
      <formula1>AND(M8&gt;L8,M8&gt;=ABS(L8),MOD(M8,IF($F$2="Lb",5,2.5))=0)</formula1>
    </dataValidation>
    <dataValidation type="list" allowBlank="1" showInputMessage="1" showErrorMessage="1" sqref="A8:A65518" xr:uid="{00000000-0002-0000-0300-00000B000000}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pageSetUpPr fitToPage="1"/>
  </sheetPr>
  <dimension ref="A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04" customWidth="1"/>
    <col min="2" max="2" width="7.7109375" style="253" customWidth="1"/>
    <col min="3" max="3" width="6.85546875" style="253" customWidth="1"/>
    <col min="4" max="4" width="23.42578125" style="253" bestFit="1" customWidth="1"/>
    <col min="5" max="5" width="24.7109375" style="253" bestFit="1" customWidth="1"/>
    <col min="6" max="6" width="8.5703125" style="200" customWidth="1"/>
    <col min="7" max="7" width="9.140625" style="204"/>
    <col min="8" max="16" width="8.7109375" style="200" customWidth="1"/>
    <col min="17" max="17" width="8.7109375" style="208" customWidth="1"/>
    <col min="18" max="18" width="8.7109375" style="200" hidden="1" customWidth="1"/>
    <col min="19" max="26" width="9.140625" style="204" hidden="1" customWidth="1"/>
    <col min="27" max="27" width="1.7109375" style="204" customWidth="1"/>
    <col min="28" max="16384" width="9.140625" style="204"/>
  </cols>
  <sheetData>
    <row r="1" spans="1:18" s="199" customFormat="1" ht="9" customHeight="1" x14ac:dyDescent="0.2">
      <c r="B1" s="251"/>
      <c r="C1" s="242"/>
      <c r="D1" s="242"/>
      <c r="E1" s="300"/>
      <c r="F1" s="312"/>
      <c r="G1" s="196"/>
      <c r="H1" s="195"/>
      <c r="I1" s="197"/>
      <c r="J1" s="197"/>
      <c r="K1" s="197"/>
      <c r="L1" s="197"/>
      <c r="M1" s="197"/>
      <c r="N1" s="197"/>
      <c r="O1" s="195"/>
      <c r="P1" s="195"/>
      <c r="Q1" s="198"/>
    </row>
    <row r="2" spans="1:18" ht="9" customHeight="1" x14ac:dyDescent="0.75">
      <c r="B2" s="404"/>
      <c r="C2" s="404"/>
      <c r="D2" s="404"/>
      <c r="E2" s="404"/>
      <c r="F2" s="404"/>
      <c r="G2" s="404"/>
      <c r="H2" s="405" t="str">
        <f ca="1">IF(Lifting!C2="","",CONCATENATE(ABS(Lifting!C2)," kg"))</f>
        <v>75 kg</v>
      </c>
      <c r="I2" s="405"/>
      <c r="J2" s="405"/>
      <c r="K2" s="196"/>
      <c r="O2" s="201"/>
      <c r="P2" s="202"/>
      <c r="Q2" s="203"/>
      <c r="R2" s="202"/>
    </row>
    <row r="3" spans="1:18" ht="15" customHeight="1" x14ac:dyDescent="0.75">
      <c r="B3" s="404"/>
      <c r="C3" s="404"/>
      <c r="D3" s="404"/>
      <c r="E3" s="404"/>
      <c r="F3" s="404"/>
      <c r="G3" s="404"/>
      <c r="H3" s="405"/>
      <c r="I3" s="405"/>
      <c r="J3" s="405"/>
      <c r="K3" s="196"/>
      <c r="O3" s="202"/>
      <c r="P3" s="202"/>
      <c r="Q3" s="203"/>
      <c r="R3" s="202"/>
    </row>
    <row r="4" spans="1:18" ht="9" customHeight="1" x14ac:dyDescent="0.75">
      <c r="B4" s="404"/>
      <c r="C4" s="404"/>
      <c r="D4" s="404"/>
      <c r="E4" s="404"/>
      <c r="F4" s="404"/>
      <c r="G4" s="404"/>
      <c r="H4" s="405"/>
      <c r="I4" s="405"/>
      <c r="J4" s="405"/>
      <c r="K4" s="196"/>
      <c r="O4" s="202"/>
      <c r="P4" s="202"/>
      <c r="Q4" s="203"/>
      <c r="R4" s="202"/>
    </row>
    <row r="5" spans="1:18" ht="15" customHeight="1" x14ac:dyDescent="0.75">
      <c r="B5" s="406"/>
      <c r="C5" s="406"/>
      <c r="D5" s="406"/>
      <c r="E5" s="406"/>
      <c r="F5" s="406"/>
      <c r="G5" s="406"/>
      <c r="H5" s="405"/>
      <c r="I5" s="405"/>
      <c r="J5" s="405"/>
      <c r="O5" s="202"/>
      <c r="P5" s="202"/>
      <c r="Q5" s="203"/>
      <c r="R5" s="202"/>
    </row>
    <row r="6" spans="1:18" ht="15" customHeight="1" x14ac:dyDescent="0.2">
      <c r="B6" s="406"/>
      <c r="C6" s="406"/>
      <c r="D6" s="406"/>
      <c r="E6" s="406"/>
      <c r="F6" s="406"/>
      <c r="G6" s="406"/>
      <c r="H6" s="407" t="str">
        <f ca="1">IF(Lifting!G4="","",CONCATENATE("Höjd: ",Lifting!G4))</f>
        <v>Höjd: 14</v>
      </c>
      <c r="I6" s="407"/>
      <c r="J6" s="407"/>
      <c r="K6" s="205"/>
      <c r="O6" s="206"/>
      <c r="P6" s="206"/>
      <c r="Q6" s="207"/>
      <c r="R6" s="199"/>
    </row>
    <row r="7" spans="1:18" ht="15" customHeight="1" x14ac:dyDescent="0.2">
      <c r="B7" s="408"/>
      <c r="C7" s="408"/>
      <c r="D7" s="408"/>
      <c r="E7" s="408"/>
      <c r="F7" s="408"/>
      <c r="G7" s="408"/>
      <c r="H7" s="407"/>
      <c r="I7" s="407"/>
      <c r="J7" s="407"/>
      <c r="R7" s="204"/>
    </row>
    <row r="8" spans="1:18" ht="3" customHeight="1" x14ac:dyDescent="0.25">
      <c r="B8" s="244"/>
      <c r="C8" s="252"/>
      <c r="D8" s="244"/>
      <c r="E8" s="301"/>
      <c r="F8" s="313"/>
      <c r="G8" s="209"/>
      <c r="H8" s="407"/>
      <c r="I8" s="407"/>
      <c r="J8" s="407"/>
      <c r="K8" s="210"/>
      <c r="L8" s="210"/>
      <c r="M8" s="210"/>
      <c r="N8" s="210"/>
      <c r="R8" s="204"/>
    </row>
    <row r="9" spans="1:18" ht="9" customHeight="1" x14ac:dyDescent="0.2">
      <c r="B9" s="243"/>
      <c r="C9" s="252"/>
      <c r="D9" s="243"/>
      <c r="E9" s="301"/>
      <c r="F9" s="313"/>
      <c r="G9" s="211"/>
      <c r="H9" s="211"/>
      <c r="I9" s="211"/>
      <c r="J9" s="211"/>
      <c r="K9" s="212"/>
      <c r="L9" s="212"/>
      <c r="M9" s="212"/>
      <c r="R9" s="204"/>
    </row>
    <row r="10" spans="1:18" ht="15.75" x14ac:dyDescent="0.25">
      <c r="B10" s="284" t="s">
        <v>161</v>
      </c>
      <c r="C10" s="285" t="s">
        <v>188</v>
      </c>
      <c r="D10" s="285" t="s">
        <v>189</v>
      </c>
      <c r="E10" s="306" t="s">
        <v>190</v>
      </c>
      <c r="F10" s="286" t="s">
        <v>256</v>
      </c>
      <c r="G10" s="286" t="s">
        <v>257</v>
      </c>
      <c r="H10" s="286" t="s">
        <v>258</v>
      </c>
      <c r="I10" s="286" t="s">
        <v>259</v>
      </c>
      <c r="J10" s="286" t="s">
        <v>260</v>
      </c>
      <c r="K10" s="286" t="s">
        <v>261</v>
      </c>
      <c r="L10" s="286" t="s">
        <v>262</v>
      </c>
      <c r="M10" s="286" t="s">
        <v>263</v>
      </c>
      <c r="N10" s="286" t="s">
        <v>264</v>
      </c>
      <c r="O10" s="287" t="s">
        <v>265</v>
      </c>
      <c r="P10" s="287" t="s">
        <v>191</v>
      </c>
      <c r="Q10" s="288" t="s">
        <v>186</v>
      </c>
      <c r="R10" s="204"/>
    </row>
    <row r="11" spans="1:18" ht="15.75" x14ac:dyDescent="0.25">
      <c r="A11" s="283">
        <v>9</v>
      </c>
      <c r="B11" s="289" t="str">
        <f ca="1">INDIRECT("Lifting!A"&amp;$A11)</f>
        <v>A</v>
      </c>
      <c r="C11" s="289">
        <f ca="1">INDIRECT("Lifting!G"&amp;$A11)</f>
        <v>4</v>
      </c>
      <c r="D11" s="289" t="str">
        <f ca="1">INDIRECT("Lifting!B"&amp;$A11)</f>
        <v>Mathilda Andersson</v>
      </c>
      <c r="E11" s="305" t="str">
        <f ca="1">OFFSET(Setup!$P$1,MATCH(INDIRECT("Lifting!C"&amp;$A11),Setup!O:O,0)-1,0)</f>
        <v>Vagnhallen SK</v>
      </c>
      <c r="F11" s="314">
        <f ca="1">INDIRECT("Lifting!E"&amp;$A11)</f>
        <v>94</v>
      </c>
      <c r="G11" s="290">
        <f ca="1">IF(INDIRECT("Lifting!L"&amp;$A11)="","",ABS(INDIRECT("Lifting!L"&amp;$A11)))</f>
        <v>75</v>
      </c>
      <c r="H11" s="290">
        <f ca="1">IF(INDIRECT("Lifting!M"&amp;$A11)="","",ABS(INDIRECT("Lifting!M"&amp;$A11)))</f>
        <v>80</v>
      </c>
      <c r="I11" s="290">
        <f ca="1">IF(INDIRECT("Lifting!N"&amp;$A11)="","",ABS(INDIRECT("Lifting!N"&amp;$A11)))</f>
        <v>85</v>
      </c>
      <c r="J11" s="290">
        <f ca="1">IF(INDIRECT("Lifting!Q"&amp;$A11)="","",ABS(INDIRECT("Lifting!Q"&amp;$A11)))</f>
        <v>85</v>
      </c>
      <c r="K11" s="290">
        <f ca="1">IF(INDIRECT("Lifting!R"&amp;$A11)="","",ABS(INDIRECT("Lifting!R"&amp;$A11)))</f>
        <v>90</v>
      </c>
      <c r="L11" s="290">
        <f ca="1">IF(INDIRECT("Lifting!S"&amp;$A11)="","",ABS(INDIRECT("Lifting!S"&amp;$A11)))</f>
        <v>90</v>
      </c>
      <c r="M11" s="290">
        <f ca="1">IF(INDIRECT("Lifting!V"&amp;$A11)="","",ABS(INDIRECT("Lifting!V"&amp;$A11)))</f>
        <v>115</v>
      </c>
      <c r="N11" s="290">
        <f ca="1">IF(INDIRECT("Lifting!W"&amp;$A11)="","",ABS(INDIRECT("Lifting!W"&amp;$A11)))</f>
        <v>125</v>
      </c>
      <c r="O11" s="290">
        <f ca="1">IF(INDIRECT("Lifting!X"&amp;$A11)="","",ABS(INDIRECT("Lifting!X"&amp;$A11)))</f>
        <v>132.5</v>
      </c>
      <c r="P11" s="290">
        <f ca="1">IF(OR(INDIRECT("Lifting!O"&amp;$A11)&gt;0,INDIRECT("Lifting!T"&amp;$A11)&gt;0,INDIRECT("Lifting!Y"&amp;$A11)&gt;0),IF(INDIRECT("Lifting!O"&amp;$A11)="",0,INDIRECT("Lifting!O"&amp;$A11))+IF(INDIRECT("Lifting!T"&amp;$A11)="",0,INDIRECT("Lifting!T"&amp;$A11))+IF(INDIRECT("Lifting!Y"&amp;$A11)="",0,INDIRECT("Lifting!Y"&amp;$A11)),"")</f>
        <v>307.5</v>
      </c>
      <c r="Q11" s="291">
        <f ca="1">IF(P11="","",P11*INDIRECT("Lifting!H" &amp; A11))</f>
        <v>261.25200524926186</v>
      </c>
      <c r="R11" s="204"/>
    </row>
    <row r="12" spans="1:18" ht="15.75" x14ac:dyDescent="0.25">
      <c r="A12" s="283">
        <v>10</v>
      </c>
      <c r="B12" s="292" t="str">
        <f t="shared" ref="B12:B27" ca="1" si="0">INDIRECT("Lifting!A"&amp;$A12)</f>
        <v>A</v>
      </c>
      <c r="C12" s="292">
        <f t="shared" ref="C12:C27" ca="1" si="1">INDIRECT("Lifting!G"&amp;$A12)</f>
        <v>5</v>
      </c>
      <c r="D12" s="292" t="str">
        <f t="shared" ref="D12:D27" ca="1" si="2">INDIRECT("Lifting!B"&amp;$A12)</f>
        <v>Malin Carlsson</v>
      </c>
      <c r="E12" s="304" t="str">
        <f ca="1">OFFSET(Setup!$P$1,MATCH(INDIRECT("Lifting!C"&amp;$A12),Setup!O:O,0)-1,0)</f>
        <v>Vedum AIS</v>
      </c>
      <c r="F12" s="315">
        <f t="shared" ref="F12:F27" ca="1" si="3">INDIRECT("Lifting!E"&amp;$A12)</f>
        <v>48.4</v>
      </c>
      <c r="G12" s="293">
        <f t="shared" ref="G12:G27" ca="1" si="4">IF(INDIRECT("Lifting!L"&amp;$A12)="","",ABS(INDIRECT("Lifting!L"&amp;$A12)))</f>
        <v>100</v>
      </c>
      <c r="H12" s="293">
        <f t="shared" ref="H12:H27" ca="1" si="5">IF(INDIRECT("Lifting!M"&amp;$A12)="","",ABS(INDIRECT("Lifting!M"&amp;$A12)))</f>
        <v>105</v>
      </c>
      <c r="I12" s="293">
        <f t="shared" ref="I12:I27" ca="1" si="6">IF(INDIRECT("Lifting!N"&amp;$A12)="","",ABS(INDIRECT("Lifting!N"&amp;$A12)))</f>
        <v>107.5</v>
      </c>
      <c r="J12" s="293">
        <f t="shared" ref="J12:J27" ca="1" si="7">IF(INDIRECT("Lifting!Q"&amp;$A12)="","",ABS(INDIRECT("Lifting!Q"&amp;$A12)))</f>
        <v>55</v>
      </c>
      <c r="K12" s="293">
        <f t="shared" ref="K12:K27" ca="1" si="8">IF(INDIRECT("Lifting!R"&amp;$A12)="","",ABS(INDIRECT("Lifting!R"&amp;$A12)))</f>
        <v>60</v>
      </c>
      <c r="L12" s="293">
        <f t="shared" ref="L12:L27" ca="1" si="9">IF(INDIRECT("Lifting!S"&amp;$A12)="","",ABS(INDIRECT("Lifting!S"&amp;$A12)))</f>
        <v>62.5</v>
      </c>
      <c r="M12" s="293">
        <f t="shared" ref="M12:M27" ca="1" si="10">IF(INDIRECT("Lifting!V"&amp;$A12)="","",ABS(INDIRECT("Lifting!V"&amp;$A12)))</f>
        <v>120</v>
      </c>
      <c r="N12" s="293">
        <f t="shared" ref="N12:N27" ca="1" si="11">IF(INDIRECT("Lifting!W"&amp;$A12)="","",ABS(INDIRECT("Lifting!W"&amp;$A12)))</f>
        <v>125</v>
      </c>
      <c r="O12" s="293" t="str">
        <f t="shared" ref="O12:O27" ca="1" si="12">IF(INDIRECT("Lifting!X"&amp;$A12)="","",ABS(INDIRECT("Lifting!X"&amp;$A12)))</f>
        <v/>
      </c>
      <c r="P12" s="293">
        <f t="shared" ref="P12:P27" ca="1" si="13">IF(OR(INDIRECT("Lifting!O"&amp;$A12)&gt;0,INDIRECT("Lifting!T"&amp;$A12)&gt;0,INDIRECT("Lifting!Y"&amp;$A12)&gt;0),IF(INDIRECT("Lifting!O"&amp;$A12)="",0,INDIRECT("Lifting!O"&amp;$A12))+IF(INDIRECT("Lifting!T"&amp;$A12)="",0,INDIRECT("Lifting!T"&amp;$A12))+IF(INDIRECT("Lifting!Y"&amp;$A12)="",0,INDIRECT("Lifting!Y"&amp;$A12)),"")</f>
        <v>285</v>
      </c>
      <c r="Q12" s="291">
        <f t="shared" ref="Q12:Q27" ca="1" si="14">IF(P12="","",P12*INDIRECT("Lifting!H" &amp; A12))</f>
        <v>375.14550983905792</v>
      </c>
      <c r="R12" s="204"/>
    </row>
    <row r="13" spans="1:18" ht="15.75" x14ac:dyDescent="0.25">
      <c r="A13" s="283">
        <v>11</v>
      </c>
      <c r="B13" s="292" t="str">
        <f t="shared" ca="1" si="0"/>
        <v>A</v>
      </c>
      <c r="C13" s="292">
        <f t="shared" ca="1" si="1"/>
        <v>6</v>
      </c>
      <c r="D13" s="292" t="str">
        <f t="shared" ca="1" si="2"/>
        <v>Johanna Jilsén</v>
      </c>
      <c r="E13" s="304" t="str">
        <f ca="1">OFFSET(Setup!$P$1,MATCH(INDIRECT("Lifting!C"&amp;$A13),Setup!O:O,0)-1,0)</f>
        <v>Göteborg KK</v>
      </c>
      <c r="F13" s="315">
        <f t="shared" ca="1" si="3"/>
        <v>84.85</v>
      </c>
      <c r="G13" s="293">
        <f t="shared" ca="1" si="4"/>
        <v>100</v>
      </c>
      <c r="H13" s="293">
        <f t="shared" ca="1" si="5"/>
        <v>110</v>
      </c>
      <c r="I13" s="293">
        <f t="shared" ca="1" si="6"/>
        <v>110</v>
      </c>
      <c r="J13" s="293">
        <f t="shared" ca="1" si="7"/>
        <v>65</v>
      </c>
      <c r="K13" s="293">
        <f t="shared" ca="1" si="8"/>
        <v>70</v>
      </c>
      <c r="L13" s="293">
        <f t="shared" ca="1" si="9"/>
        <v>72.5</v>
      </c>
      <c r="M13" s="293">
        <f t="shared" ca="1" si="10"/>
        <v>120</v>
      </c>
      <c r="N13" s="293">
        <f t="shared" ca="1" si="11"/>
        <v>130</v>
      </c>
      <c r="O13" s="293">
        <f t="shared" ca="1" si="12"/>
        <v>132.5</v>
      </c>
      <c r="P13" s="293">
        <f t="shared" ca="1" si="13"/>
        <v>300</v>
      </c>
      <c r="Q13" s="291">
        <f t="shared" ca="1" si="14"/>
        <v>266.19000434875488</v>
      </c>
      <c r="R13" s="204"/>
    </row>
    <row r="14" spans="1:18" ht="15.75" x14ac:dyDescent="0.25">
      <c r="A14" s="283">
        <v>12</v>
      </c>
      <c r="B14" s="292" t="str">
        <f t="shared" ca="1" si="0"/>
        <v>A</v>
      </c>
      <c r="C14" s="292">
        <f t="shared" ca="1" si="1"/>
        <v>9</v>
      </c>
      <c r="D14" s="292" t="str">
        <f t="shared" ca="1" si="2"/>
        <v>Anna Hansson</v>
      </c>
      <c r="E14" s="304" t="str">
        <f ca="1">OFFSET(Setup!$P$1,MATCH(INDIRECT("Lifting!C"&amp;$A14),Setup!O:O,0)-1,0)</f>
        <v>Vagnhallen SK</v>
      </c>
      <c r="F14" s="315">
        <f t="shared" ca="1" si="3"/>
        <v>64.55</v>
      </c>
      <c r="G14" s="293">
        <f t="shared" ca="1" si="4"/>
        <v>100</v>
      </c>
      <c r="H14" s="293">
        <f t="shared" ca="1" si="5"/>
        <v>110</v>
      </c>
      <c r="I14" s="293">
        <f t="shared" ca="1" si="6"/>
        <v>110</v>
      </c>
      <c r="J14" s="293">
        <f t="shared" ca="1" si="7"/>
        <v>40</v>
      </c>
      <c r="K14" s="293">
        <f t="shared" ca="1" si="8"/>
        <v>45</v>
      </c>
      <c r="L14" s="293">
        <f t="shared" ca="1" si="9"/>
        <v>45</v>
      </c>
      <c r="M14" s="293">
        <f t="shared" ca="1" si="10"/>
        <v>122.5</v>
      </c>
      <c r="N14" s="293">
        <f t="shared" ca="1" si="11"/>
        <v>132.5</v>
      </c>
      <c r="O14" s="293">
        <f t="shared" ca="1" si="12"/>
        <v>140</v>
      </c>
      <c r="P14" s="293">
        <f t="shared" ca="1" si="13"/>
        <v>172.5</v>
      </c>
      <c r="Q14" s="291">
        <f t="shared" ca="1" si="14"/>
        <v>181.90124720335007</v>
      </c>
      <c r="R14" s="204"/>
    </row>
    <row r="15" spans="1:18" ht="15.75" x14ac:dyDescent="0.25">
      <c r="A15" s="283">
        <v>13</v>
      </c>
      <c r="B15" s="292" t="str">
        <f t="shared" ca="1" si="0"/>
        <v>A</v>
      </c>
      <c r="C15" s="292">
        <f t="shared" ca="1" si="1"/>
        <v>10</v>
      </c>
      <c r="D15" s="292" t="str">
        <f t="shared" ca="1" si="2"/>
        <v>Minna Lindblom</v>
      </c>
      <c r="E15" s="304" t="str">
        <f ca="1">OFFSET(Setup!$P$1,MATCH(INDIRECT("Lifting!C"&amp;$A15),Setup!O:O,0)-1,0)</f>
        <v>Fysiken AK</v>
      </c>
      <c r="F15" s="315">
        <f t="shared" ca="1" si="3"/>
        <v>69.900000000000006</v>
      </c>
      <c r="G15" s="293">
        <f t="shared" ca="1" si="4"/>
        <v>100</v>
      </c>
      <c r="H15" s="293">
        <f t="shared" ca="1" si="5"/>
        <v>110</v>
      </c>
      <c r="I15" s="293">
        <f t="shared" ca="1" si="6"/>
        <v>115</v>
      </c>
      <c r="J15" s="293">
        <f t="shared" ca="1" si="7"/>
        <v>75</v>
      </c>
      <c r="K15" s="293">
        <f t="shared" ca="1" si="8"/>
        <v>82.5</v>
      </c>
      <c r="L15" s="293">
        <f t="shared" ca="1" si="9"/>
        <v>87.5</v>
      </c>
      <c r="M15" s="293">
        <f t="shared" ca="1" si="10"/>
        <v>125</v>
      </c>
      <c r="N15" s="293">
        <f t="shared" ca="1" si="11"/>
        <v>135</v>
      </c>
      <c r="O15" s="293">
        <f t="shared" ca="1" si="12"/>
        <v>140</v>
      </c>
      <c r="P15" s="293">
        <f t="shared" ca="1" si="13"/>
        <v>342.5</v>
      </c>
      <c r="Q15" s="291">
        <f t="shared" ca="1" si="14"/>
        <v>341.0615062713623</v>
      </c>
      <c r="R15" s="204"/>
    </row>
    <row r="16" spans="1:18" ht="15.75" x14ac:dyDescent="0.25">
      <c r="A16" s="283">
        <v>14</v>
      </c>
      <c r="B16" s="292" t="str">
        <f t="shared" ca="1" si="0"/>
        <v>A</v>
      </c>
      <c r="C16" s="292">
        <f t="shared" ca="1" si="1"/>
        <v>1</v>
      </c>
      <c r="D16" s="292" t="str">
        <f t="shared" ca="1" si="2"/>
        <v>Malin Wahlberg</v>
      </c>
      <c r="E16" s="304" t="str">
        <f ca="1">OFFSET(Setup!$P$1,MATCH(INDIRECT("Lifting!C"&amp;$A16),Setup!O:O,0)-1,0)</f>
        <v>Vagnhallen SK</v>
      </c>
      <c r="F16" s="315">
        <f t="shared" ca="1" si="3"/>
        <v>70.849999999999994</v>
      </c>
      <c r="G16" s="293">
        <f t="shared" ca="1" si="4"/>
        <v>105</v>
      </c>
      <c r="H16" s="293">
        <f t="shared" ca="1" si="5"/>
        <v>110</v>
      </c>
      <c r="I16" s="293">
        <f t="shared" ca="1" si="6"/>
        <v>110</v>
      </c>
      <c r="J16" s="293">
        <f t="shared" ca="1" si="7"/>
        <v>67.5</v>
      </c>
      <c r="K16" s="293">
        <f t="shared" ca="1" si="8"/>
        <v>72.5</v>
      </c>
      <c r="L16" s="293">
        <f t="shared" ca="1" si="9"/>
        <v>77.5</v>
      </c>
      <c r="M16" s="293">
        <f t="shared" ca="1" si="10"/>
        <v>130</v>
      </c>
      <c r="N16" s="293">
        <f t="shared" ca="1" si="11"/>
        <v>140</v>
      </c>
      <c r="O16" s="293">
        <f t="shared" ca="1" si="12"/>
        <v>150</v>
      </c>
      <c r="P16" s="293">
        <f t="shared" ca="1" si="13"/>
        <v>337.5</v>
      </c>
      <c r="Q16" s="291">
        <f t="shared" ca="1" si="14"/>
        <v>333.01124945282936</v>
      </c>
      <c r="R16" s="204"/>
    </row>
    <row r="17" spans="1:18" ht="15.75" x14ac:dyDescent="0.25">
      <c r="A17" s="283">
        <v>15</v>
      </c>
      <c r="B17" s="292" t="str">
        <f t="shared" ca="1" si="0"/>
        <v>A</v>
      </c>
      <c r="C17" s="292">
        <f t="shared" ca="1" si="1"/>
        <v>2</v>
      </c>
      <c r="D17" s="292" t="str">
        <f t="shared" ca="1" si="2"/>
        <v>Isabelle Karlsson</v>
      </c>
      <c r="E17" s="304" t="str">
        <f ca="1">OFFSET(Setup!$P$1,MATCH(INDIRECT("Lifting!C"&amp;$A17),Setup!O:O,0)-1,0)</f>
        <v>Göteborg KK</v>
      </c>
      <c r="F17" s="315">
        <f t="shared" ca="1" si="3"/>
        <v>62.8</v>
      </c>
      <c r="G17" s="293">
        <f t="shared" ca="1" si="4"/>
        <v>115</v>
      </c>
      <c r="H17" s="293">
        <f t="shared" ca="1" si="5"/>
        <v>122.5</v>
      </c>
      <c r="I17" s="293" t="str">
        <f t="shared" ca="1" si="6"/>
        <v/>
      </c>
      <c r="J17" s="293">
        <f t="shared" ca="1" si="7"/>
        <v>65</v>
      </c>
      <c r="K17" s="293">
        <f t="shared" ca="1" si="8"/>
        <v>70</v>
      </c>
      <c r="L17" s="293">
        <f t="shared" ca="1" si="9"/>
        <v>70</v>
      </c>
      <c r="M17" s="293">
        <f t="shared" ca="1" si="10"/>
        <v>152.5</v>
      </c>
      <c r="N17" s="293">
        <f t="shared" ca="1" si="11"/>
        <v>165</v>
      </c>
      <c r="O17" s="293">
        <f t="shared" ca="1" si="12"/>
        <v>165</v>
      </c>
      <c r="P17" s="293">
        <f t="shared" ca="1" si="13"/>
        <v>345</v>
      </c>
      <c r="Q17" s="291">
        <f t="shared" ca="1" si="14"/>
        <v>371.39252007007599</v>
      </c>
      <c r="R17" s="204"/>
    </row>
    <row r="18" spans="1:18" ht="15.75" x14ac:dyDescent="0.25">
      <c r="A18" s="283">
        <v>16</v>
      </c>
      <c r="B18" s="292" t="str">
        <f t="shared" ca="1" si="0"/>
        <v>A</v>
      </c>
      <c r="C18" s="292">
        <f t="shared" ca="1" si="1"/>
        <v>8</v>
      </c>
      <c r="D18" s="292" t="str">
        <f t="shared" ca="1" si="2"/>
        <v>Rebecca Glamheden</v>
      </c>
      <c r="E18" s="304" t="str">
        <f ca="1">OFFSET(Setup!$P$1,MATCH(INDIRECT("Lifting!C"&amp;$A18),Setup!O:O,0)-1,0)</f>
        <v>Vagnhallen SK</v>
      </c>
      <c r="F18" s="315">
        <f t="shared" ca="1" si="3"/>
        <v>123.6</v>
      </c>
      <c r="G18" s="293">
        <f t="shared" ca="1" si="4"/>
        <v>120</v>
      </c>
      <c r="H18" s="293">
        <f t="shared" ca="1" si="5"/>
        <v>130</v>
      </c>
      <c r="I18" s="293">
        <f t="shared" ca="1" si="6"/>
        <v>140</v>
      </c>
      <c r="J18" s="293">
        <f t="shared" ca="1" si="7"/>
        <v>65</v>
      </c>
      <c r="K18" s="293">
        <f t="shared" ca="1" si="8"/>
        <v>70</v>
      </c>
      <c r="L18" s="293">
        <f t="shared" ca="1" si="9"/>
        <v>72.5</v>
      </c>
      <c r="M18" s="293">
        <f t="shared" ca="1" si="10"/>
        <v>145</v>
      </c>
      <c r="N18" s="293">
        <f t="shared" ca="1" si="11"/>
        <v>160</v>
      </c>
      <c r="O18" s="293">
        <f t="shared" ca="1" si="12"/>
        <v>165</v>
      </c>
      <c r="P18" s="293">
        <f t="shared" ca="1" si="13"/>
        <v>360</v>
      </c>
      <c r="Q18" s="291">
        <f t="shared" ca="1" si="14"/>
        <v>286.37999296188354</v>
      </c>
      <c r="R18" s="204"/>
    </row>
    <row r="19" spans="1:18" ht="15.75" customHeight="1" x14ac:dyDescent="0.2">
      <c r="A19" s="283">
        <v>17</v>
      </c>
      <c r="B19" s="292" t="str">
        <f t="shared" ca="1" si="0"/>
        <v>A</v>
      </c>
      <c r="C19" s="292">
        <f t="shared" ca="1" si="1"/>
        <v>3</v>
      </c>
      <c r="D19" s="292" t="str">
        <f t="shared" ca="1" si="2"/>
        <v>Madeleine Lenhagen</v>
      </c>
      <c r="E19" s="304" t="str">
        <f ca="1">OFFSET(Setup!$P$1,MATCH(INDIRECT("Lifting!C"&amp;$A19),Setup!O:O,0)-1,0)</f>
        <v>Vagnhallen SK</v>
      </c>
      <c r="F19" s="315">
        <f t="shared" ca="1" si="3"/>
        <v>70.099999999999994</v>
      </c>
      <c r="G19" s="293">
        <f t="shared" ca="1" si="4"/>
        <v>125</v>
      </c>
      <c r="H19" s="293">
        <f t="shared" ca="1" si="5"/>
        <v>135</v>
      </c>
      <c r="I19" s="293">
        <f t="shared" ca="1" si="6"/>
        <v>135</v>
      </c>
      <c r="J19" s="293">
        <f t="shared" ca="1" si="7"/>
        <v>60</v>
      </c>
      <c r="K19" s="293">
        <f t="shared" ca="1" si="8"/>
        <v>65</v>
      </c>
      <c r="L19" s="293">
        <f t="shared" ca="1" si="9"/>
        <v>70</v>
      </c>
      <c r="M19" s="293">
        <f t="shared" ca="1" si="10"/>
        <v>140</v>
      </c>
      <c r="N19" s="293">
        <f t="shared" ca="1" si="11"/>
        <v>150</v>
      </c>
      <c r="O19" s="293">
        <f t="shared" ca="1" si="12"/>
        <v>160</v>
      </c>
      <c r="P19" s="293">
        <f t="shared" ca="1" si="13"/>
        <v>225</v>
      </c>
      <c r="Q19" s="318">
        <f t="shared" ca="1" si="14"/>
        <v>223.62750023603439</v>
      </c>
      <c r="R19" s="204"/>
    </row>
    <row r="20" spans="1:18" ht="15.75" x14ac:dyDescent="0.25">
      <c r="A20" s="283">
        <v>18</v>
      </c>
      <c r="B20" s="292" t="str">
        <f t="shared" ca="1" si="0"/>
        <v>A</v>
      </c>
      <c r="C20" s="292">
        <f t="shared" ca="1" si="1"/>
        <v>7</v>
      </c>
      <c r="D20" s="292" t="str">
        <f t="shared" ca="1" si="2"/>
        <v>Sandra Hansson</v>
      </c>
      <c r="E20" s="304" t="str">
        <f ca="1">OFFSET(Setup!$P$1,MATCH(INDIRECT("Lifting!C"&amp;$A20),Setup!O:O,0)-1,0)</f>
        <v>Göteborg KK</v>
      </c>
      <c r="F20" s="315">
        <f t="shared" ca="1" si="3"/>
        <v>61.45</v>
      </c>
      <c r="G20" s="293">
        <f t="shared" ca="1" si="4"/>
        <v>130</v>
      </c>
      <c r="H20" s="293">
        <f t="shared" ca="1" si="5"/>
        <v>130</v>
      </c>
      <c r="I20" s="293">
        <f t="shared" ca="1" si="6"/>
        <v>130</v>
      </c>
      <c r="J20" s="293">
        <f t="shared" ca="1" si="7"/>
        <v>60</v>
      </c>
      <c r="K20" s="293">
        <f t="shared" ca="1" si="8"/>
        <v>67.5</v>
      </c>
      <c r="L20" s="293">
        <f t="shared" ca="1" si="9"/>
        <v>72.5</v>
      </c>
      <c r="M20" s="293">
        <f t="shared" ca="1" si="10"/>
        <v>130</v>
      </c>
      <c r="N20" s="293">
        <f t="shared" ca="1" si="11"/>
        <v>140</v>
      </c>
      <c r="O20" s="293">
        <f t="shared" ca="1" si="12"/>
        <v>147.5</v>
      </c>
      <c r="P20" s="293">
        <f t="shared" ca="1" si="13"/>
        <v>337.5</v>
      </c>
      <c r="Q20" s="291">
        <f t="shared" ca="1" si="14"/>
        <v>369.39373165369034</v>
      </c>
      <c r="R20" s="204"/>
    </row>
    <row r="21" spans="1:18" ht="15" customHeight="1" x14ac:dyDescent="0.25">
      <c r="A21" s="283">
        <v>19</v>
      </c>
      <c r="B21" s="292" t="str">
        <f ca="1">INDIRECT("Lifting!A"&amp;$A21)</f>
        <v>B</v>
      </c>
      <c r="C21" s="292">
        <f ca="1">INDIRECT("Lifting!G"&amp;$A21)</f>
        <v>5</v>
      </c>
      <c r="D21" s="292" t="str">
        <f ca="1">INDIRECT("Lifting!B"&amp;$A21)</f>
        <v>Rickard Nyberg</v>
      </c>
      <c r="E21" s="304" t="str">
        <f ca="1">OFFSET(Setup!$P$1,MATCH(INDIRECT("Lifting!C"&amp;$A21),Setup!O:O,0)-1,0)</f>
        <v>Fysiken AK</v>
      </c>
      <c r="F21" s="315">
        <f ca="1">INDIRECT("Lifting!E"&amp;$A21)</f>
        <v>90.15</v>
      </c>
      <c r="G21" s="293">
        <f ca="1">IF(INDIRECT("Lifting!L"&amp;$A21)="","",ABS(INDIRECT("Lifting!L"&amp;$A21)))</f>
        <v>130</v>
      </c>
      <c r="H21" s="293">
        <f ca="1">IF(INDIRECT("Lifting!M"&amp;$A21)="","",ABS(INDIRECT("Lifting!M"&amp;$A21)))</f>
        <v>132.5</v>
      </c>
      <c r="I21" s="293">
        <f ca="1">IF(INDIRECT("Lifting!N"&amp;$A21)="","",ABS(INDIRECT("Lifting!N"&amp;$A21)))</f>
        <v>135</v>
      </c>
      <c r="J21" s="293">
        <f ca="1">IF(INDIRECT("Lifting!Q"&amp;$A21)="","",ABS(INDIRECT("Lifting!Q"&amp;$A21)))</f>
        <v>100</v>
      </c>
      <c r="K21" s="293">
        <f ca="1">IF(INDIRECT("Lifting!R"&amp;$A21)="","",ABS(INDIRECT("Lifting!R"&amp;$A21)))</f>
        <v>102.5</v>
      </c>
      <c r="L21" s="293">
        <f ca="1">IF(INDIRECT("Lifting!S"&amp;$A21)="","",ABS(INDIRECT("Lifting!S"&amp;$A21)))</f>
        <v>105</v>
      </c>
      <c r="M21" s="293">
        <f ca="1">IF(INDIRECT("Lifting!V"&amp;$A21)="","",ABS(INDIRECT("Lifting!V"&amp;$A21)))</f>
        <v>135</v>
      </c>
      <c r="N21" s="293">
        <f ca="1">IF(INDIRECT("Lifting!W"&amp;$A21)="","",ABS(INDIRECT("Lifting!W"&amp;$A21)))</f>
        <v>137.5</v>
      </c>
      <c r="O21" s="293">
        <f ca="1">IF(INDIRECT("Lifting!X"&amp;$A21)="","",ABS(INDIRECT("Lifting!X"&amp;$A21)))</f>
        <v>140</v>
      </c>
      <c r="P21" s="293">
        <f ca="1">IF(OR(INDIRECT("Lifting!O"&amp;$A21)&gt;0,INDIRECT("Lifting!T"&amp;$A21)&gt;0,INDIRECT("Lifting!Y"&amp;$A21)&gt;0),IF(INDIRECT("Lifting!O"&amp;$A21)="",0,INDIRECT("Lifting!O"&amp;$A21))+IF(INDIRECT("Lifting!T"&amp;$A21)="",0,INDIRECT("Lifting!T"&amp;$A21))+IF(INDIRECT("Lifting!Y"&amp;$A21)="",0,INDIRECT("Lifting!Y"&amp;$A21)),"")</f>
        <v>380</v>
      </c>
      <c r="Q21" s="291">
        <f ca="1">IF(P21="","",P21*INDIRECT("Lifting!H" &amp; A21))</f>
        <v>242.4019980430603</v>
      </c>
      <c r="R21" s="204"/>
    </row>
    <row r="22" spans="1:18" ht="15" x14ac:dyDescent="0.2">
      <c r="A22" s="283">
        <v>20</v>
      </c>
      <c r="B22" s="292" t="str">
        <f ca="1">INDIRECT("Lifting!A"&amp;$A22)</f>
        <v>B</v>
      </c>
      <c r="C22" s="292">
        <f ca="1">INDIRECT("Lifting!G"&amp;$A22)</f>
        <v>1</v>
      </c>
      <c r="D22" s="292" t="str">
        <f ca="1">INDIRECT("Lifting!B"&amp;$A22)</f>
        <v>Börje Lindh</v>
      </c>
      <c r="E22" s="304" t="str">
        <f ca="1">OFFSET(Setup!$P$1,MATCH(INDIRECT("Lifting!C"&amp;$A22),Setup!O:O,0)-1,0)</f>
        <v>Göteborg KK</v>
      </c>
      <c r="F22" s="315">
        <f ca="1">INDIRECT("Lifting!E"&amp;$A22)</f>
        <v>106.6</v>
      </c>
      <c r="G22" s="293">
        <f ca="1">IF(INDIRECT("Lifting!L"&amp;$A22)="","",ABS(INDIRECT("Lifting!L"&amp;$A22)))</f>
        <v>140</v>
      </c>
      <c r="H22" s="293">
        <f ca="1">IF(INDIRECT("Lifting!M"&amp;$A22)="","",ABS(INDIRECT("Lifting!M"&amp;$A22)))</f>
        <v>150</v>
      </c>
      <c r="I22" s="293">
        <f ca="1">IF(INDIRECT("Lifting!N"&amp;$A22)="","",ABS(INDIRECT("Lifting!N"&amp;$A22)))</f>
        <v>160</v>
      </c>
      <c r="J22" s="293">
        <f ca="1">IF(INDIRECT("Lifting!Q"&amp;$A22)="","",ABS(INDIRECT("Lifting!Q"&amp;$A22)))</f>
        <v>120</v>
      </c>
      <c r="K22" s="293">
        <f ca="1">IF(INDIRECT("Lifting!R"&amp;$A22)="","",ABS(INDIRECT("Lifting!R"&amp;$A22)))</f>
        <v>130</v>
      </c>
      <c r="L22" s="293">
        <f ca="1">IF(INDIRECT("Lifting!S"&amp;$A22)="","",ABS(INDIRECT("Lifting!S"&amp;$A22)))</f>
        <v>132.5</v>
      </c>
      <c r="M22" s="293">
        <f ca="1">IF(INDIRECT("Lifting!V"&amp;$A22)="","",ABS(INDIRECT("Lifting!V"&amp;$A22)))</f>
        <v>190</v>
      </c>
      <c r="N22" s="293">
        <f ca="1">IF(INDIRECT("Lifting!W"&amp;$A22)="","",ABS(INDIRECT("Lifting!W"&amp;$A22)))</f>
        <v>205</v>
      </c>
      <c r="O22" s="293">
        <f ca="1">IF(INDIRECT("Lifting!X"&amp;$A22)="","",ABS(INDIRECT("Lifting!X"&amp;$A22)))</f>
        <v>215</v>
      </c>
      <c r="P22" s="293">
        <f ca="1">IF(OR(INDIRECT("Lifting!O"&amp;$A22)&gt;0,INDIRECT("Lifting!T"&amp;$A22)&gt;0,INDIRECT("Lifting!Y"&amp;$A22)&gt;0),IF(INDIRECT("Lifting!O"&amp;$A22)="",0,INDIRECT("Lifting!O"&amp;$A22))+IF(INDIRECT("Lifting!T"&amp;$A22)="",0,INDIRECT("Lifting!T"&amp;$A22))+IF(INDIRECT("Lifting!Y"&amp;$A22)="",0,INDIRECT("Lifting!Y"&amp;$A22)),"")</f>
        <v>505</v>
      </c>
      <c r="Q22" s="318">
        <f ca="1">IF(P22="","",P22*INDIRECT("Lifting!H" &amp; A22))</f>
        <v>300.22250264883041</v>
      </c>
      <c r="R22" s="204"/>
    </row>
    <row r="23" spans="1:18" ht="15" x14ac:dyDescent="0.2">
      <c r="A23" s="283">
        <v>21</v>
      </c>
      <c r="B23" s="292" t="str">
        <f ca="1">INDIRECT("Lifting!A"&amp;$A23)</f>
        <v>B</v>
      </c>
      <c r="C23" s="292">
        <f ca="1">INDIRECT("Lifting!G"&amp;$A23)</f>
        <v>6</v>
      </c>
      <c r="D23" s="292" t="str">
        <f ca="1">INDIRECT("Lifting!B"&amp;$A23)</f>
        <v>Viktor Mattsson</v>
      </c>
      <c r="E23" s="304" t="str">
        <f ca="1">OFFSET(Setup!$P$1,MATCH(INDIRECT("Lifting!C"&amp;$A23),Setup!O:O,0)-1,0)</f>
        <v>Göteborg KK</v>
      </c>
      <c r="F23" s="315">
        <f ca="1">INDIRECT("Lifting!E"&amp;$A23)</f>
        <v>74.900000000000006</v>
      </c>
      <c r="G23" s="293">
        <f ca="1">IF(INDIRECT("Lifting!L"&amp;$A23)="","",ABS(INDIRECT("Lifting!L"&amp;$A23)))</f>
        <v>150</v>
      </c>
      <c r="H23" s="293">
        <f ca="1">IF(INDIRECT("Lifting!M"&amp;$A23)="","",ABS(INDIRECT("Lifting!M"&amp;$A23)))</f>
        <v>160</v>
      </c>
      <c r="I23" s="293">
        <f ca="1">IF(INDIRECT("Lifting!N"&amp;$A23)="","",ABS(INDIRECT("Lifting!N"&amp;$A23)))</f>
        <v>165</v>
      </c>
      <c r="J23" s="293">
        <f ca="1">IF(INDIRECT("Lifting!Q"&amp;$A23)="","",ABS(INDIRECT("Lifting!Q"&amp;$A23)))</f>
        <v>100</v>
      </c>
      <c r="K23" s="293">
        <f ca="1">IF(INDIRECT("Lifting!R"&amp;$A23)="","",ABS(INDIRECT("Lifting!R"&amp;$A23)))</f>
        <v>105</v>
      </c>
      <c r="L23" s="293">
        <f ca="1">IF(INDIRECT("Lifting!S"&amp;$A23)="","",ABS(INDIRECT("Lifting!S"&amp;$A23)))</f>
        <v>107.5</v>
      </c>
      <c r="M23" s="293">
        <f ca="1">IF(INDIRECT("Lifting!V"&amp;$A23)="","",ABS(INDIRECT("Lifting!V"&amp;$A23)))</f>
        <v>205</v>
      </c>
      <c r="N23" s="293">
        <f ca="1">IF(INDIRECT("Lifting!W"&amp;$A23)="","",ABS(INDIRECT("Lifting!W"&amp;$A23)))</f>
        <v>220</v>
      </c>
      <c r="O23" s="293">
        <f ca="1">IF(INDIRECT("Lifting!X"&amp;$A23)="","",ABS(INDIRECT("Lifting!X"&amp;$A23)))</f>
        <v>220</v>
      </c>
      <c r="P23" s="293">
        <f ca="1">IF(OR(INDIRECT("Lifting!O"&amp;$A23)&gt;0,INDIRECT("Lifting!T"&amp;$A23)&gt;0,INDIRECT("Lifting!Y"&amp;$A23)&gt;0),IF(INDIRECT("Lifting!O"&amp;$A23)="",0,INDIRECT("Lifting!O"&amp;$A23))+IF(INDIRECT("Lifting!T"&amp;$A23)="",0,INDIRECT("Lifting!T"&amp;$A23))+IF(INDIRECT("Lifting!Y"&amp;$A23)="",0,INDIRECT("Lifting!Y"&amp;$A23)),"")</f>
        <v>470</v>
      </c>
      <c r="Q23" s="318">
        <f ca="1">IF(P23="","",P23*INDIRECT("Lifting!H" &amp; A23))</f>
        <v>335.20398736000061</v>
      </c>
      <c r="R23" s="204"/>
    </row>
    <row r="24" spans="1:18" ht="15" x14ac:dyDescent="0.2">
      <c r="A24" s="283">
        <v>22</v>
      </c>
      <c r="B24" s="292" t="str">
        <f ca="1">INDIRECT("Lifting!A"&amp;$A24)</f>
        <v>B</v>
      </c>
      <c r="C24" s="292">
        <f ca="1">INDIRECT("Lifting!G"&amp;$A24)</f>
        <v>7</v>
      </c>
      <c r="D24" s="292" t="str">
        <f ca="1">INDIRECT("Lifting!B"&amp;$A24)</f>
        <v>Eric McNabb</v>
      </c>
      <c r="E24" s="304" t="str">
        <f ca="1">OFFSET(Setup!$P$1,MATCH(INDIRECT("Lifting!C"&amp;$A24),Setup!O:O,0)-1,0)</f>
        <v>Fysiken AK</v>
      </c>
      <c r="F24" s="315">
        <f ca="1">INDIRECT("Lifting!E"&amp;$A24)</f>
        <v>88.5</v>
      </c>
      <c r="G24" s="293">
        <f ca="1">IF(INDIRECT("Lifting!L"&amp;$A24)="","",ABS(INDIRECT("Lifting!L"&amp;$A24)))</f>
        <v>150</v>
      </c>
      <c r="H24" s="293">
        <f ca="1">IF(INDIRECT("Lifting!M"&amp;$A24)="","",ABS(INDIRECT("Lifting!M"&amp;$A24)))</f>
        <v>165</v>
      </c>
      <c r="I24" s="293">
        <f ca="1">IF(INDIRECT("Lifting!N"&amp;$A24)="","",ABS(INDIRECT("Lifting!N"&amp;$A24)))</f>
        <v>175</v>
      </c>
      <c r="J24" s="293">
        <f ca="1">IF(INDIRECT("Lifting!Q"&amp;$A24)="","",ABS(INDIRECT("Lifting!Q"&amp;$A24)))</f>
        <v>90</v>
      </c>
      <c r="K24" s="293">
        <f ca="1">IF(INDIRECT("Lifting!R"&amp;$A24)="","",ABS(INDIRECT("Lifting!R"&amp;$A24)))</f>
        <v>100</v>
      </c>
      <c r="L24" s="293">
        <f ca="1">IF(INDIRECT("Lifting!S"&amp;$A24)="","",ABS(INDIRECT("Lifting!S"&amp;$A24)))</f>
        <v>107.5</v>
      </c>
      <c r="M24" s="293">
        <f ca="1">IF(INDIRECT("Lifting!V"&amp;$A24)="","",ABS(INDIRECT("Lifting!V"&amp;$A24)))</f>
        <v>160</v>
      </c>
      <c r="N24" s="293">
        <f ca="1">IF(INDIRECT("Lifting!W"&amp;$A24)="","",ABS(INDIRECT("Lifting!W"&amp;$A24)))</f>
        <v>175</v>
      </c>
      <c r="O24" s="293">
        <f ca="1">IF(INDIRECT("Lifting!X"&amp;$A24)="","",ABS(INDIRECT("Lifting!X"&amp;$A24)))</f>
        <v>190</v>
      </c>
      <c r="P24" s="293">
        <f ca="1">IF(OR(INDIRECT("Lifting!O"&amp;$A24)&gt;0,INDIRECT("Lifting!T"&amp;$A24)&gt;0,INDIRECT("Lifting!Y"&amp;$A24)&gt;0),IF(INDIRECT("Lifting!O"&amp;$A24)="",0,INDIRECT("Lifting!O"&amp;$A24))+IF(INDIRECT("Lifting!T"&amp;$A24)="",0,INDIRECT("Lifting!T"&amp;$A24))+IF(INDIRECT("Lifting!Y"&amp;$A24)="",0,INDIRECT("Lifting!Y"&amp;$A24)),"")</f>
        <v>457.5</v>
      </c>
      <c r="Q24" s="318">
        <f ca="1">IF(P24="","",P24*INDIRECT("Lifting!H" &amp; A24))</f>
        <v>294.629997164011</v>
      </c>
      <c r="R24" s="204"/>
    </row>
    <row r="25" spans="1:18" ht="15" x14ac:dyDescent="0.2">
      <c r="A25" s="283">
        <v>23</v>
      </c>
      <c r="B25" s="292" t="str">
        <f ca="1">INDIRECT("Lifting!A"&amp;$A25)</f>
        <v>B</v>
      </c>
      <c r="C25" s="292">
        <f ca="1">INDIRECT("Lifting!G"&amp;$A25)</f>
        <v>8</v>
      </c>
      <c r="D25" s="292" t="str">
        <f ca="1">INDIRECT("Lifting!B"&amp;$A25)</f>
        <v>Calle Öberg</v>
      </c>
      <c r="E25" s="304" t="str">
        <f ca="1">OFFSET(Setup!$P$1,MATCH(INDIRECT("Lifting!C"&amp;$A25),Setup!O:O,0)-1,0)</f>
        <v>Göteborg KK</v>
      </c>
      <c r="F25" s="315">
        <f ca="1">INDIRECT("Lifting!E"&amp;$A25)</f>
        <v>72.8</v>
      </c>
      <c r="G25" s="293">
        <f ca="1">IF(INDIRECT("Lifting!L"&amp;$A25)="","",ABS(INDIRECT("Lifting!L"&amp;$A25)))</f>
        <v>170</v>
      </c>
      <c r="H25" s="293">
        <f ca="1">IF(INDIRECT("Lifting!M"&amp;$A25)="","",ABS(INDIRECT("Lifting!M"&amp;$A25)))</f>
        <v>180</v>
      </c>
      <c r="I25" s="293">
        <f ca="1">IF(INDIRECT("Lifting!N"&amp;$A25)="","",ABS(INDIRECT("Lifting!N"&amp;$A25)))</f>
        <v>180</v>
      </c>
      <c r="J25" s="293">
        <f ca="1">IF(INDIRECT("Lifting!Q"&amp;$A25)="","",ABS(INDIRECT("Lifting!Q"&amp;$A25)))</f>
        <v>122.5</v>
      </c>
      <c r="K25" s="293">
        <f ca="1">IF(INDIRECT("Lifting!R"&amp;$A25)="","",ABS(INDIRECT("Lifting!R"&amp;$A25)))</f>
        <v>127.5</v>
      </c>
      <c r="L25" s="293">
        <f ca="1">IF(INDIRECT("Lifting!S"&amp;$A25)="","",ABS(INDIRECT("Lifting!S"&amp;$A25)))</f>
        <v>130</v>
      </c>
      <c r="M25" s="293">
        <f ca="1">IF(INDIRECT("Lifting!V"&amp;$A25)="","",ABS(INDIRECT("Lifting!V"&amp;$A25)))</f>
        <v>215</v>
      </c>
      <c r="N25" s="293">
        <f ca="1">IF(INDIRECT("Lifting!W"&amp;$A25)="","",ABS(INDIRECT("Lifting!W"&amp;$A25)))</f>
        <v>225</v>
      </c>
      <c r="O25" s="293">
        <f ca="1">IF(INDIRECT("Lifting!X"&amp;$A25)="","",ABS(INDIRECT("Lifting!X"&amp;$A25)))</f>
        <v>232.5</v>
      </c>
      <c r="P25" s="293">
        <f ca="1">IF(OR(INDIRECT("Lifting!O"&amp;$A25)&gt;0,INDIRECT("Lifting!T"&amp;$A25)&gt;0,INDIRECT("Lifting!Y"&amp;$A25)&gt;0),IF(INDIRECT("Lifting!O"&amp;$A25)="",0,INDIRECT("Lifting!O"&amp;$A25))+IF(INDIRECT("Lifting!T"&amp;$A25)="",0,INDIRECT("Lifting!T"&amp;$A25))+IF(INDIRECT("Lifting!Y"&amp;$A25)="",0,INDIRECT("Lifting!Y"&amp;$A25)),"")</f>
        <v>535</v>
      </c>
      <c r="Q25" s="318">
        <f ca="1">IF(P25="","",P25*INDIRECT("Lifting!H" &amp; A25))</f>
        <v>389.37300622463226</v>
      </c>
      <c r="R25" s="204"/>
    </row>
    <row r="26" spans="1:18" ht="15" x14ac:dyDescent="0.2">
      <c r="A26" s="283">
        <v>24</v>
      </c>
      <c r="B26" s="292" t="str">
        <f ca="1">INDIRECT("Lifting!A"&amp;$A26)</f>
        <v>B</v>
      </c>
      <c r="C26" s="292">
        <f ca="1">INDIRECT("Lifting!G"&amp;$A26)</f>
        <v>3</v>
      </c>
      <c r="D26" s="292" t="str">
        <f ca="1">INDIRECT("Lifting!B"&amp;$A26)</f>
        <v>Fredrik Vad Jensen</v>
      </c>
      <c r="E26" s="304" t="str">
        <f ca="1">OFFSET(Setup!$P$1,MATCH(INDIRECT("Lifting!C"&amp;$A26),Setup!O:O,0)-1,0)</f>
        <v>Fysiken AK</v>
      </c>
      <c r="F26" s="315">
        <f ca="1">INDIRECT("Lifting!E"&amp;$A26)</f>
        <v>73.8</v>
      </c>
      <c r="G26" s="293">
        <f ca="1">IF(INDIRECT("Lifting!L"&amp;$A26)="","",ABS(INDIRECT("Lifting!L"&amp;$A26)))</f>
        <v>185</v>
      </c>
      <c r="H26" s="293">
        <f ca="1">IF(INDIRECT("Lifting!M"&amp;$A26)="","",ABS(INDIRECT("Lifting!M"&amp;$A26)))</f>
        <v>190</v>
      </c>
      <c r="I26" s="293">
        <f ca="1">IF(INDIRECT("Lifting!N"&amp;$A26)="","",ABS(INDIRECT("Lifting!N"&amp;$A26)))</f>
        <v>190</v>
      </c>
      <c r="J26" s="293">
        <f ca="1">IF(INDIRECT("Lifting!Q"&amp;$A26)="","",ABS(INDIRECT("Lifting!Q"&amp;$A26)))</f>
        <v>115</v>
      </c>
      <c r="K26" s="293">
        <f ca="1">IF(INDIRECT("Lifting!R"&amp;$A26)="","",ABS(INDIRECT("Lifting!R"&amp;$A26)))</f>
        <v>120</v>
      </c>
      <c r="L26" s="293">
        <f ca="1">IF(INDIRECT("Lifting!S"&amp;$A26)="","",ABS(INDIRECT("Lifting!S"&amp;$A26)))</f>
        <v>125</v>
      </c>
      <c r="M26" s="293">
        <f ca="1">IF(INDIRECT("Lifting!V"&amp;$A26)="","",ABS(INDIRECT("Lifting!V"&amp;$A26)))</f>
        <v>215</v>
      </c>
      <c r="N26" s="293">
        <f ca="1">IF(INDIRECT("Lifting!W"&amp;$A26)="","",ABS(INDIRECT("Lifting!W"&amp;$A26)))</f>
        <v>220</v>
      </c>
      <c r="O26" s="293">
        <f ca="1">IF(INDIRECT("Lifting!X"&amp;$A26)="","",ABS(INDIRECT("Lifting!X"&amp;$A26)))</f>
        <v>225</v>
      </c>
      <c r="P26" s="293">
        <f ca="1">IF(OR(INDIRECT("Lifting!O"&amp;$A26)&gt;0,INDIRECT("Lifting!T"&amp;$A26)&gt;0,INDIRECT("Lifting!Y"&amp;$A26)&gt;0),IF(INDIRECT("Lifting!O"&amp;$A26)="",0,INDIRECT("Lifting!O"&amp;$A26))+IF(INDIRECT("Lifting!T"&amp;$A26)="",0,INDIRECT("Lifting!T"&amp;$A26))+IF(INDIRECT("Lifting!Y"&amp;$A26)="",0,INDIRECT("Lifting!Y"&amp;$A26)),"")</f>
        <v>340</v>
      </c>
      <c r="Q26" s="318">
        <f ca="1">IF(P26="","",P26*INDIRECT("Lifting!H" &amp; A26))</f>
        <v>245.03800868988037</v>
      </c>
      <c r="R26" s="204"/>
    </row>
    <row r="27" spans="1:18" ht="15" x14ac:dyDescent="0.2">
      <c r="A27" s="283">
        <v>25</v>
      </c>
      <c r="B27" s="292" t="str">
        <f ca="1">INDIRECT("Lifting!A"&amp;$A27)</f>
        <v>B</v>
      </c>
      <c r="C27" s="292">
        <f ca="1">INDIRECT("Lifting!G"&amp;$A27)</f>
        <v>4</v>
      </c>
      <c r="D27" s="292" t="str">
        <f ca="1">INDIRECT("Lifting!B"&amp;$A27)</f>
        <v>Emil Löfgren</v>
      </c>
      <c r="E27" s="304" t="str">
        <f ca="1">OFFSET(Setup!$P$1,MATCH(INDIRECT("Lifting!C"&amp;$A27),Setup!O:O,0)-1,0)</f>
        <v>Fysiken AK</v>
      </c>
      <c r="F27" s="315">
        <f ca="1">INDIRECT("Lifting!E"&amp;$A27)</f>
        <v>81.95</v>
      </c>
      <c r="G27" s="293">
        <f ca="1">IF(INDIRECT("Lifting!L"&amp;$A27)="","",ABS(INDIRECT("Lifting!L"&amp;$A27)))</f>
        <v>200</v>
      </c>
      <c r="H27" s="293">
        <f ca="1">IF(INDIRECT("Lifting!M"&amp;$A27)="","",ABS(INDIRECT("Lifting!M"&amp;$A27)))</f>
        <v>210</v>
      </c>
      <c r="I27" s="293">
        <f ca="1">IF(INDIRECT("Lifting!N"&amp;$A27)="","",ABS(INDIRECT("Lifting!N"&amp;$A27)))</f>
        <v>220</v>
      </c>
      <c r="J27" s="293">
        <f ca="1">IF(INDIRECT("Lifting!Q"&amp;$A27)="","",ABS(INDIRECT("Lifting!Q"&amp;$A27)))</f>
        <v>130</v>
      </c>
      <c r="K27" s="293">
        <f ca="1">IF(INDIRECT("Lifting!R"&amp;$A27)="","",ABS(INDIRECT("Lifting!R"&amp;$A27)))</f>
        <v>135</v>
      </c>
      <c r="L27" s="293">
        <f ca="1">IF(INDIRECT("Lifting!S"&amp;$A27)="","",ABS(INDIRECT("Lifting!S"&amp;$A27)))</f>
        <v>140</v>
      </c>
      <c r="M27" s="293">
        <f ca="1">IF(INDIRECT("Lifting!V"&amp;$A27)="","",ABS(INDIRECT("Lifting!V"&amp;$A27)))</f>
        <v>245</v>
      </c>
      <c r="N27" s="293">
        <f ca="1">IF(INDIRECT("Lifting!W"&amp;$A27)="","",ABS(INDIRECT("Lifting!W"&amp;$A27)))</f>
        <v>255</v>
      </c>
      <c r="O27" s="293">
        <f ca="1">IF(INDIRECT("Lifting!X"&amp;$A27)="","",ABS(INDIRECT("Lifting!X"&amp;$A27)))</f>
        <v>265</v>
      </c>
      <c r="P27" s="293">
        <f ca="1">IF(OR(INDIRECT("Lifting!O"&amp;$A27)&gt;0,INDIRECT("Lifting!T"&amp;$A27)&gt;0,INDIRECT("Lifting!Y"&amp;$A27)&gt;0),IF(INDIRECT("Lifting!O"&amp;$A27)="",0,INDIRECT("Lifting!O"&amp;$A27))+IF(INDIRECT("Lifting!T"&amp;$A27)="",0,INDIRECT("Lifting!T"&amp;$A27))+IF(INDIRECT("Lifting!Y"&amp;$A27)="",0,INDIRECT("Lifting!Y"&amp;$A27)),"")</f>
        <v>625</v>
      </c>
      <c r="Q27" s="318">
        <f ca="1">IF(P27="","",P27*INDIRECT("Lifting!H" &amp; A27))</f>
        <v>420.37498205900192</v>
      </c>
      <c r="R27" s="204"/>
    </row>
    <row r="28" spans="1:18" ht="15" x14ac:dyDescent="0.2">
      <c r="A28" s="283"/>
      <c r="B28" s="292"/>
      <c r="C28" s="292"/>
      <c r="D28" s="292"/>
      <c r="E28" s="304"/>
      <c r="F28" s="315"/>
      <c r="G28" s="293"/>
      <c r="H28" s="293"/>
      <c r="I28" s="293"/>
      <c r="J28" s="293"/>
      <c r="K28" s="293"/>
      <c r="L28" s="293"/>
      <c r="M28" s="293"/>
      <c r="N28" s="293"/>
      <c r="O28" s="293"/>
      <c r="P28" s="293"/>
      <c r="Q28" s="294"/>
      <c r="R28" s="204"/>
    </row>
    <row r="29" spans="1:18" ht="15" x14ac:dyDescent="0.2">
      <c r="A29" s="283"/>
      <c r="B29" s="292"/>
      <c r="C29" s="292"/>
      <c r="D29" s="292"/>
      <c r="E29" s="304"/>
      <c r="F29" s="315"/>
      <c r="G29" s="293"/>
      <c r="H29" s="293"/>
      <c r="I29" s="293"/>
      <c r="J29" s="293"/>
      <c r="K29" s="293"/>
      <c r="L29" s="293"/>
      <c r="M29" s="293"/>
      <c r="N29" s="293"/>
      <c r="O29" s="293"/>
      <c r="P29" s="293"/>
      <c r="Q29" s="294"/>
      <c r="R29" s="204"/>
    </row>
    <row r="30" spans="1:18" ht="15" x14ac:dyDescent="0.2">
      <c r="A30" s="283"/>
      <c r="B30" s="292"/>
      <c r="C30" s="292"/>
      <c r="D30" s="292"/>
      <c r="E30" s="304"/>
      <c r="F30" s="315"/>
      <c r="G30" s="293"/>
      <c r="H30" s="293"/>
      <c r="I30" s="293"/>
      <c r="J30" s="293"/>
      <c r="K30" s="293"/>
      <c r="L30" s="293"/>
      <c r="M30" s="293"/>
      <c r="N30" s="293"/>
      <c r="O30" s="293"/>
      <c r="P30" s="293"/>
      <c r="Q30" s="294"/>
      <c r="R30" s="204"/>
    </row>
    <row r="31" spans="1:18" ht="15" x14ac:dyDescent="0.2">
      <c r="A31" s="283"/>
      <c r="B31" s="292"/>
      <c r="C31" s="292"/>
      <c r="D31" s="292"/>
      <c r="E31" s="304"/>
      <c r="F31" s="315"/>
      <c r="G31" s="293"/>
      <c r="H31" s="293"/>
      <c r="I31" s="293"/>
      <c r="J31" s="293"/>
      <c r="K31" s="293"/>
      <c r="L31" s="293"/>
      <c r="M31" s="293"/>
      <c r="N31" s="293"/>
      <c r="O31" s="293"/>
      <c r="P31" s="293"/>
      <c r="Q31" s="294"/>
      <c r="R31" s="204"/>
    </row>
    <row r="32" spans="1:18" ht="15" x14ac:dyDescent="0.2">
      <c r="A32" s="283"/>
      <c r="B32" s="292"/>
      <c r="C32" s="292"/>
      <c r="D32" s="292"/>
      <c r="E32" s="304"/>
      <c r="F32" s="315"/>
      <c r="G32" s="293"/>
      <c r="H32" s="293"/>
      <c r="I32" s="293"/>
      <c r="J32" s="293"/>
      <c r="K32" s="293"/>
      <c r="L32" s="293"/>
      <c r="M32" s="293"/>
      <c r="N32" s="293"/>
      <c r="O32" s="293"/>
      <c r="P32" s="293"/>
      <c r="Q32" s="294"/>
      <c r="R32" s="204"/>
    </row>
    <row r="33" spans="1:18" ht="15" x14ac:dyDescent="0.2">
      <c r="A33" s="283"/>
      <c r="B33" s="292"/>
      <c r="C33" s="292"/>
      <c r="D33" s="292"/>
      <c r="E33" s="304"/>
      <c r="F33" s="315"/>
      <c r="G33" s="293"/>
      <c r="H33" s="293"/>
      <c r="I33" s="293"/>
      <c r="J33" s="293"/>
      <c r="K33" s="293"/>
      <c r="L33" s="293"/>
      <c r="M33" s="293"/>
      <c r="N33" s="293"/>
      <c r="O33" s="293"/>
      <c r="P33" s="293"/>
      <c r="Q33" s="294"/>
      <c r="R33" s="204"/>
    </row>
    <row r="34" spans="1:18" ht="15" x14ac:dyDescent="0.2">
      <c r="A34" s="283"/>
      <c r="B34" s="292"/>
      <c r="C34" s="292"/>
      <c r="D34" s="292"/>
      <c r="E34" s="304"/>
      <c r="F34" s="315"/>
      <c r="G34" s="293"/>
      <c r="H34" s="293"/>
      <c r="I34" s="293"/>
      <c r="J34" s="293"/>
      <c r="K34" s="293"/>
      <c r="L34" s="293"/>
      <c r="M34" s="293"/>
      <c r="N34" s="293"/>
      <c r="O34" s="293"/>
      <c r="P34" s="293"/>
      <c r="Q34" s="294"/>
      <c r="R34" s="204"/>
    </row>
    <row r="35" spans="1:18" ht="15" x14ac:dyDescent="0.2">
      <c r="A35" s="283"/>
      <c r="B35" s="292"/>
      <c r="C35" s="292"/>
      <c r="D35" s="292"/>
      <c r="E35" s="304"/>
      <c r="F35" s="315"/>
      <c r="G35" s="293"/>
      <c r="H35" s="293"/>
      <c r="I35" s="293"/>
      <c r="J35" s="293"/>
      <c r="K35" s="293"/>
      <c r="L35" s="293"/>
      <c r="M35" s="293"/>
      <c r="N35" s="293"/>
      <c r="O35" s="293"/>
      <c r="P35" s="293"/>
      <c r="Q35" s="294"/>
      <c r="R35" s="204"/>
    </row>
    <row r="36" spans="1:18" ht="15" x14ac:dyDescent="0.2">
      <c r="A36" s="283"/>
      <c r="B36" s="292"/>
      <c r="C36" s="292"/>
      <c r="D36" s="292"/>
      <c r="E36" s="304"/>
      <c r="F36" s="315"/>
      <c r="G36" s="293"/>
      <c r="H36" s="293"/>
      <c r="I36" s="293"/>
      <c r="J36" s="293"/>
      <c r="K36" s="293"/>
      <c r="L36" s="293"/>
      <c r="M36" s="293"/>
      <c r="N36" s="293"/>
      <c r="O36" s="293"/>
      <c r="P36" s="293"/>
      <c r="Q36" s="294"/>
      <c r="R36" s="204"/>
    </row>
    <row r="37" spans="1:18" ht="15.75" x14ac:dyDescent="0.25">
      <c r="A37" s="283"/>
      <c r="B37" s="292"/>
      <c r="C37" s="292"/>
      <c r="D37" s="292"/>
      <c r="E37" s="303"/>
      <c r="F37" s="315"/>
      <c r="G37" s="293"/>
      <c r="H37" s="293"/>
      <c r="I37" s="293"/>
      <c r="J37" s="293"/>
      <c r="K37" s="293"/>
      <c r="L37" s="293"/>
      <c r="M37" s="293"/>
      <c r="N37" s="293"/>
      <c r="O37" s="293"/>
      <c r="P37" s="293"/>
      <c r="Q37" s="294"/>
      <c r="R37" s="204"/>
    </row>
    <row r="38" spans="1:18" ht="15" x14ac:dyDescent="0.2">
      <c r="A38" s="283"/>
      <c r="B38" s="292"/>
      <c r="C38" s="292"/>
      <c r="D38" s="292"/>
      <c r="E38" s="304"/>
      <c r="F38" s="315"/>
      <c r="G38" s="293"/>
      <c r="H38" s="293"/>
      <c r="I38" s="293"/>
      <c r="J38" s="293"/>
      <c r="K38" s="293"/>
      <c r="L38" s="293"/>
      <c r="M38" s="293"/>
      <c r="N38" s="293"/>
      <c r="O38" s="293"/>
      <c r="P38" s="293"/>
      <c r="Q38" s="294"/>
      <c r="R38" s="204"/>
    </row>
    <row r="39" spans="1:18" ht="15" x14ac:dyDescent="0.2">
      <c r="A39" s="283"/>
      <c r="B39" s="292"/>
      <c r="C39" s="292"/>
      <c r="D39" s="292"/>
      <c r="E39" s="304"/>
      <c r="F39" s="315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4"/>
      <c r="R39" s="204"/>
    </row>
    <row r="40" spans="1:18" ht="15" x14ac:dyDescent="0.2">
      <c r="A40" s="283"/>
      <c r="B40" s="292"/>
      <c r="C40" s="292"/>
      <c r="D40" s="292"/>
      <c r="E40" s="304"/>
      <c r="F40" s="315"/>
      <c r="G40" s="293"/>
      <c r="H40" s="293"/>
      <c r="I40" s="293"/>
      <c r="J40" s="293"/>
      <c r="K40" s="293"/>
      <c r="L40" s="293"/>
      <c r="M40" s="293"/>
      <c r="N40" s="293"/>
      <c r="O40" s="293"/>
      <c r="P40" s="293"/>
      <c r="Q40" s="294"/>
      <c r="R40" s="204"/>
    </row>
    <row r="41" spans="1:18" ht="15" x14ac:dyDescent="0.2">
      <c r="A41" s="283"/>
      <c r="B41" s="292"/>
      <c r="C41" s="292"/>
      <c r="D41" s="292"/>
      <c r="E41" s="304"/>
      <c r="F41" s="315"/>
      <c r="G41" s="293"/>
      <c r="H41" s="293"/>
      <c r="I41" s="293"/>
      <c r="J41" s="293"/>
      <c r="K41" s="293"/>
      <c r="L41" s="293"/>
      <c r="M41" s="293"/>
      <c r="N41" s="293"/>
      <c r="O41" s="293"/>
      <c r="P41" s="293"/>
      <c r="Q41" s="294"/>
      <c r="R41" s="204"/>
    </row>
    <row r="42" spans="1:18" ht="15" x14ac:dyDescent="0.2">
      <c r="A42" s="283"/>
      <c r="B42" s="292"/>
      <c r="C42" s="292"/>
      <c r="D42" s="292"/>
      <c r="E42" s="304"/>
      <c r="F42" s="315"/>
      <c r="G42" s="293"/>
      <c r="H42" s="293"/>
      <c r="I42" s="293"/>
      <c r="J42" s="293"/>
      <c r="K42" s="293"/>
      <c r="L42" s="293"/>
      <c r="M42" s="293"/>
      <c r="N42" s="293"/>
      <c r="O42" s="293"/>
      <c r="P42" s="293"/>
      <c r="Q42" s="294"/>
      <c r="R42" s="204"/>
    </row>
    <row r="43" spans="1:18" ht="15" x14ac:dyDescent="0.2">
      <c r="A43" s="283"/>
      <c r="B43" s="292"/>
      <c r="C43" s="292"/>
      <c r="D43" s="292"/>
      <c r="E43" s="304"/>
      <c r="F43" s="315"/>
      <c r="G43" s="293"/>
      <c r="H43" s="293"/>
      <c r="I43" s="293"/>
      <c r="J43" s="293"/>
      <c r="K43" s="293"/>
      <c r="L43" s="293"/>
      <c r="M43" s="293"/>
      <c r="N43" s="293"/>
      <c r="O43" s="293"/>
      <c r="P43" s="293"/>
      <c r="Q43" s="294"/>
      <c r="R43" s="204"/>
    </row>
    <row r="44" spans="1:18" ht="15" x14ac:dyDescent="0.2">
      <c r="A44" s="283"/>
      <c r="B44" s="292"/>
      <c r="C44" s="292"/>
      <c r="D44" s="292"/>
      <c r="E44" s="304"/>
      <c r="F44" s="315"/>
      <c r="G44" s="293"/>
      <c r="H44" s="293"/>
      <c r="I44" s="293"/>
      <c r="J44" s="293"/>
      <c r="K44" s="293"/>
      <c r="L44" s="293"/>
      <c r="M44" s="293"/>
      <c r="N44" s="293"/>
      <c r="O44" s="293"/>
      <c r="P44" s="293"/>
      <c r="Q44" s="294"/>
      <c r="R44" s="204"/>
    </row>
    <row r="45" spans="1:18" ht="15" x14ac:dyDescent="0.2">
      <c r="A45" s="283"/>
      <c r="B45" s="292"/>
      <c r="C45" s="292"/>
      <c r="D45" s="292"/>
      <c r="E45" s="304"/>
      <c r="F45" s="315"/>
      <c r="G45" s="293"/>
      <c r="H45" s="293"/>
      <c r="I45" s="293"/>
      <c r="J45" s="293"/>
      <c r="K45" s="293"/>
      <c r="L45" s="293"/>
      <c r="M45" s="293"/>
      <c r="N45" s="293"/>
      <c r="O45" s="293"/>
      <c r="P45" s="293"/>
      <c r="Q45" s="294"/>
      <c r="R45" s="204"/>
    </row>
    <row r="46" spans="1:18" ht="15" x14ac:dyDescent="0.2">
      <c r="A46" s="283"/>
      <c r="B46" s="292"/>
      <c r="C46" s="292"/>
      <c r="D46" s="292"/>
      <c r="E46" s="304"/>
      <c r="F46" s="315"/>
      <c r="G46" s="293"/>
      <c r="H46" s="293"/>
      <c r="I46" s="293"/>
      <c r="J46" s="293"/>
      <c r="K46" s="293"/>
      <c r="L46" s="293"/>
      <c r="M46" s="293"/>
      <c r="N46" s="293"/>
      <c r="O46" s="293"/>
      <c r="P46" s="293"/>
      <c r="Q46" s="294"/>
      <c r="R46" s="204"/>
    </row>
    <row r="47" spans="1:18" ht="15" x14ac:dyDescent="0.2">
      <c r="A47" s="283"/>
      <c r="B47" s="292"/>
      <c r="C47" s="292"/>
      <c r="D47" s="293"/>
      <c r="E47" s="302"/>
      <c r="F47" s="293"/>
      <c r="G47" s="293"/>
      <c r="H47" s="293"/>
      <c r="I47" s="293"/>
      <c r="J47" s="293"/>
      <c r="K47" s="293"/>
      <c r="L47" s="293"/>
      <c r="M47" s="293"/>
      <c r="N47" s="293"/>
      <c r="O47" s="293"/>
      <c r="P47" s="293"/>
      <c r="Q47" s="294"/>
      <c r="R47" s="204"/>
    </row>
    <row r="48" spans="1:18" ht="15" x14ac:dyDescent="0.2">
      <c r="A48" s="283"/>
      <c r="B48" s="292"/>
      <c r="C48" s="292"/>
      <c r="D48" s="293"/>
      <c r="E48" s="292"/>
      <c r="F48" s="293"/>
      <c r="G48" s="293"/>
      <c r="H48" s="293"/>
      <c r="I48" s="293"/>
      <c r="J48" s="293"/>
      <c r="K48" s="293"/>
      <c r="L48" s="293"/>
      <c r="M48" s="293"/>
      <c r="N48" s="293"/>
      <c r="O48" s="293"/>
      <c r="P48" s="293"/>
      <c r="Q48" s="294"/>
      <c r="R48" s="204"/>
    </row>
    <row r="49" spans="1:18" ht="15" x14ac:dyDescent="0.2">
      <c r="A49" s="283"/>
      <c r="B49" s="292"/>
      <c r="C49" s="292"/>
      <c r="D49" s="293"/>
      <c r="E49" s="292"/>
      <c r="F49" s="293"/>
      <c r="G49" s="293"/>
      <c r="H49" s="293"/>
      <c r="I49" s="293"/>
      <c r="J49" s="293"/>
      <c r="K49" s="293"/>
      <c r="L49" s="293"/>
      <c r="M49" s="293"/>
      <c r="N49" s="293"/>
      <c r="O49" s="293"/>
      <c r="P49" s="293"/>
      <c r="Q49" s="294"/>
      <c r="R49" s="204"/>
    </row>
    <row r="50" spans="1:18" ht="15" x14ac:dyDescent="0.2">
      <c r="A50" s="283"/>
      <c r="B50" s="295"/>
      <c r="C50" s="295"/>
      <c r="D50" s="296"/>
      <c r="E50" s="295"/>
      <c r="F50" s="296"/>
      <c r="G50" s="296"/>
      <c r="H50" s="296"/>
      <c r="I50" s="296"/>
      <c r="J50" s="296"/>
      <c r="K50" s="296"/>
      <c r="L50" s="296"/>
      <c r="M50" s="296"/>
      <c r="N50" s="296"/>
      <c r="O50" s="296"/>
      <c r="P50" s="296"/>
      <c r="Q50" s="297"/>
      <c r="R50" s="204"/>
    </row>
  </sheetData>
  <sortState ref="A21:Q27">
    <sortCondition ref="G21"/>
    <sortCondition ref="C21"/>
  </sortState>
  <mergeCells count="5">
    <mergeCell ref="B2:G4"/>
    <mergeCell ref="H2:J5"/>
    <mergeCell ref="B5:G6"/>
    <mergeCell ref="H6:J8"/>
    <mergeCell ref="B7:G7"/>
  </mergeCells>
  <conditionalFormatting sqref="M11:O50">
    <cfRule type="expression" dxfId="19" priority="2">
      <formula>INDIRECT(ADDRESS($A11,COLUMN()+61,,,"Lifting"))=-1</formula>
    </cfRule>
    <cfRule type="expression" dxfId="18" priority="3">
      <formula>INDIRECT(ADDRESS($A11,COLUMN()+61,,,"Lifting"))=1</formula>
    </cfRule>
  </conditionalFormatting>
  <conditionalFormatting sqref="B11:Q50">
    <cfRule type="expression" dxfId="17" priority="1">
      <formula>$B11=$B$11</formula>
    </cfRule>
  </conditionalFormatting>
  <conditionalFormatting sqref="J11:L50">
    <cfRule type="expression" dxfId="16" priority="4">
      <formula>INDIRECT(ADDRESS($A11,COLUMN()+59,,,"Lifting"))=-1</formula>
    </cfRule>
    <cfRule type="expression" dxfId="15" priority="7">
      <formula>INDIRECT(ADDRESS($A11,COLUMN()+59,,,"Lifting"))=1</formula>
    </cfRule>
  </conditionalFormatting>
  <conditionalFormatting sqref="G11:I50 D47:F50 E38:E49">
    <cfRule type="expression" dxfId="14" priority="8">
      <formula>INDIRECT(ADDRESS($A11,COLUMN()+57,,,"Lifting"))=-1</formula>
    </cfRule>
    <cfRule type="expression" dxfId="13" priority="9">
      <formula>INDIRECT(ADDRESS($A11,COLUMN()+57,,,"Lifting"))=1</formula>
    </cfRule>
  </conditionalFormatting>
  <pageMargins left="0.7" right="0.7" top="0.75" bottom="0.75" header="0.3" footer="0.3"/>
  <pageSetup paperSize="9" scale="63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6FC7C9D0-24C9-48CD-9C37-C8EB25A527AC}">
            <xm:f>Lifting!$AY$5=ROW()-2</xm:f>
            <x14:dxf>
              <fill>
                <patternFill>
                  <bgColor rgb="FFFFFF1E"/>
                </patternFill>
              </fill>
            </x14:dxf>
          </x14:cfRule>
          <xm:sqref>B11:Q50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79</v>
      </c>
      <c r="D1" s="3" t="str">
        <f>'Weigh-In'!E2</f>
        <v>Bwt (kg)</v>
      </c>
      <c r="E1" s="411" t="s">
        <v>107</v>
      </c>
      <c r="F1" s="412"/>
      <c r="G1" s="411" t="s">
        <v>108</v>
      </c>
      <c r="H1" s="412"/>
      <c r="J1" s="22" t="s">
        <v>3</v>
      </c>
      <c r="K1" s="22" t="s">
        <v>80</v>
      </c>
      <c r="L1" s="22" t="s">
        <v>81</v>
      </c>
    </row>
    <row r="2" spans="1:15" x14ac:dyDescent="0.2">
      <c r="A2" s="23">
        <v>14</v>
      </c>
      <c r="B2" s="23">
        <v>1.23</v>
      </c>
      <c r="C2" s="409" t="s">
        <v>82</v>
      </c>
      <c r="D2" s="1"/>
      <c r="E2" s="24" t="s">
        <v>83</v>
      </c>
      <c r="F2" s="24" t="s">
        <v>84</v>
      </c>
      <c r="G2" s="24" t="s">
        <v>83</v>
      </c>
      <c r="H2" s="24" t="s">
        <v>84</v>
      </c>
      <c r="J2" s="2">
        <v>11</v>
      </c>
      <c r="K2" s="25" t="s">
        <v>85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409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86</v>
      </c>
      <c r="L3" s="25" t="s">
        <v>87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409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88</v>
      </c>
      <c r="L4" s="25" t="s">
        <v>87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409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89</v>
      </c>
      <c r="L5" s="25" t="s">
        <v>90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409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90</v>
      </c>
      <c r="L6" s="25" t="s">
        <v>90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409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91</v>
      </c>
      <c r="L7" s="25" t="s">
        <v>92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409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93</v>
      </c>
      <c r="L8" s="25" t="s">
        <v>92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409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94</v>
      </c>
      <c r="L9" s="25" t="s">
        <v>94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409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95</v>
      </c>
      <c r="L10" s="25" t="s">
        <v>94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409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96</v>
      </c>
      <c r="L11" s="25" t="s">
        <v>95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97</v>
      </c>
      <c r="L12" s="25" t="s">
        <v>95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409" t="s">
        <v>98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99</v>
      </c>
      <c r="L13" s="25" t="s">
        <v>96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409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100</v>
      </c>
      <c r="L14" s="25" t="s">
        <v>96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409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101</v>
      </c>
      <c r="L15" s="25" t="s">
        <v>96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409"/>
      <c r="J16" s="2">
        <v>75</v>
      </c>
      <c r="K16" s="25" t="s">
        <v>102</v>
      </c>
      <c r="L16" s="25" t="s">
        <v>96</v>
      </c>
    </row>
    <row r="17" spans="1:24" x14ac:dyDescent="0.2">
      <c r="A17" s="27">
        <v>44</v>
      </c>
      <c r="B17" s="27">
        <v>1.0429999999999999</v>
      </c>
      <c r="C17" s="409"/>
      <c r="J17" s="2">
        <v>80</v>
      </c>
      <c r="K17" s="25" t="s">
        <v>103</v>
      </c>
      <c r="L17" s="25" t="s">
        <v>96</v>
      </c>
    </row>
    <row r="18" spans="1:24" ht="12.75" customHeight="1" x14ac:dyDescent="0.2">
      <c r="A18" s="27">
        <v>45</v>
      </c>
      <c r="B18" s="27">
        <v>1.0549999999999999</v>
      </c>
      <c r="C18" s="409"/>
      <c r="E18" s="410" t="s">
        <v>104</v>
      </c>
      <c r="F18" s="410"/>
      <c r="G18" s="410"/>
      <c r="H18" s="410"/>
      <c r="J18" s="2">
        <v>85</v>
      </c>
      <c r="K18" s="25" t="s">
        <v>105</v>
      </c>
      <c r="L18" s="25" t="s">
        <v>96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409"/>
      <c r="E19" s="410"/>
      <c r="F19" s="410"/>
      <c r="G19" s="410"/>
      <c r="H19" s="410"/>
      <c r="J19" s="2">
        <v>90</v>
      </c>
      <c r="K19" s="25" t="s">
        <v>106</v>
      </c>
      <c r="L19" s="25" t="s">
        <v>96</v>
      </c>
    </row>
    <row r="20" spans="1:24" ht="12.75" customHeight="1" x14ac:dyDescent="0.2">
      <c r="A20" s="27">
        <v>47</v>
      </c>
      <c r="B20" s="27">
        <v>1.0820000000000001</v>
      </c>
      <c r="C20" s="409"/>
      <c r="E20" s="410"/>
      <c r="F20" s="410"/>
      <c r="G20" s="410"/>
      <c r="H20" s="410"/>
    </row>
    <row r="21" spans="1:24" x14ac:dyDescent="0.2">
      <c r="A21" s="27">
        <v>48</v>
      </c>
      <c r="B21" s="27">
        <v>1.097</v>
      </c>
      <c r="C21" s="409"/>
    </row>
    <row r="22" spans="1:24" x14ac:dyDescent="0.2">
      <c r="A22" s="27">
        <v>49</v>
      </c>
      <c r="B22" s="27">
        <v>1.113</v>
      </c>
      <c r="C22" s="409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 xr:uid="{00000000-0002-0000-0500-000000000000}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AB48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12.75" customHeight="1" x14ac:dyDescent="0.2">
      <c r="A1" s="218"/>
      <c r="B1" s="218"/>
      <c r="C1" s="218"/>
      <c r="D1" s="218"/>
      <c r="E1" s="218"/>
      <c r="F1" s="218"/>
      <c r="G1" s="218"/>
      <c r="H1" s="218"/>
      <c r="I1" s="218"/>
      <c r="J1" s="218"/>
      <c r="K1" s="218"/>
      <c r="L1" s="218"/>
      <c r="M1" s="218"/>
      <c r="N1" s="218"/>
      <c r="O1" s="218"/>
      <c r="P1" s="218"/>
      <c r="Q1" s="218"/>
      <c r="R1" s="218"/>
      <c r="S1" s="218"/>
      <c r="T1" s="218"/>
      <c r="U1" s="218"/>
      <c r="V1" s="218"/>
      <c r="W1" s="218"/>
      <c r="X1" s="218"/>
      <c r="Y1" s="218"/>
      <c r="Z1" s="218"/>
      <c r="AA1" s="218"/>
      <c r="AB1" s="218"/>
    </row>
    <row r="2" spans="1:28" ht="12.75" customHeight="1" x14ac:dyDescent="1.1499999999999999">
      <c r="A2" s="218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5"/>
      <c r="AA2" s="218"/>
      <c r="AB2" s="218"/>
    </row>
    <row r="3" spans="1:28" ht="12.75" customHeight="1" x14ac:dyDescent="1.1499999999999999">
      <c r="A3" s="218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5"/>
      <c r="AA3" s="218"/>
      <c r="AB3" s="218"/>
    </row>
    <row r="4" spans="1:28" ht="12.75" customHeight="1" x14ac:dyDescent="1.1499999999999999">
      <c r="A4" s="218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5"/>
      <c r="AA4" s="218"/>
      <c r="AB4" s="218"/>
    </row>
    <row r="5" spans="1:28" ht="12.75" customHeight="1" x14ac:dyDescent="1.1499999999999999">
      <c r="A5" s="218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5"/>
      <c r="AA5" s="218"/>
      <c r="AB5" s="218"/>
    </row>
    <row r="6" spans="1:28" ht="12.75" customHeight="1" x14ac:dyDescent="1.1499999999999999">
      <c r="A6" s="218"/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5"/>
      <c r="AA6" s="218"/>
      <c r="AB6" s="218"/>
    </row>
    <row r="7" spans="1:28" ht="12.75" customHeight="1" x14ac:dyDescent="1.1499999999999999">
      <c r="A7" s="218"/>
      <c r="B7" s="217"/>
      <c r="C7" s="217"/>
      <c r="D7" s="217"/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5"/>
      <c r="AA7" s="218"/>
      <c r="AB7" s="218"/>
    </row>
    <row r="8" spans="1:28" ht="12.75" customHeight="1" x14ac:dyDescent="1.1499999999999999">
      <c r="A8" s="218"/>
      <c r="B8" s="217"/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5"/>
      <c r="AA8" s="218"/>
      <c r="AB8" s="218"/>
    </row>
    <row r="9" spans="1:28" ht="12.75" customHeight="1" x14ac:dyDescent="0.2">
      <c r="A9" s="218"/>
      <c r="B9" s="216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AA9" s="218"/>
      <c r="AB9" s="218"/>
    </row>
    <row r="10" spans="1:28" ht="12.75" customHeight="1" x14ac:dyDescent="0.2">
      <c r="A10" s="218"/>
      <c r="B10" s="415" t="str">
        <f ca="1">IF(Lifting!C2="","",CONCATENATE(ABS(Lifting!C2)," kg"))</f>
        <v>75 kg</v>
      </c>
      <c r="C10" s="415"/>
      <c r="D10" s="415"/>
      <c r="E10" s="415"/>
      <c r="F10" s="415"/>
      <c r="G10" s="415"/>
      <c r="H10" s="415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18"/>
      <c r="AB10" s="218"/>
    </row>
    <row r="11" spans="1:28" ht="12.75" customHeight="1" x14ac:dyDescent="0.2">
      <c r="A11" s="218"/>
      <c r="B11" s="415"/>
      <c r="C11" s="415"/>
      <c r="D11" s="415"/>
      <c r="E11" s="415"/>
      <c r="F11" s="415"/>
      <c r="G11" s="415"/>
      <c r="H11" s="415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18"/>
      <c r="AB11" s="218"/>
    </row>
    <row r="12" spans="1:28" ht="12.75" customHeight="1" x14ac:dyDescent="0.2">
      <c r="A12" s="218"/>
      <c r="B12" s="415"/>
      <c r="C12" s="415"/>
      <c r="D12" s="415"/>
      <c r="E12" s="415"/>
      <c r="F12" s="415"/>
      <c r="G12" s="415"/>
      <c r="H12" s="415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18"/>
      <c r="AB12" s="218"/>
    </row>
    <row r="13" spans="1:28" ht="12.75" customHeight="1" x14ac:dyDescent="0.2">
      <c r="A13" s="218"/>
      <c r="B13" s="415"/>
      <c r="C13" s="415"/>
      <c r="D13" s="415"/>
      <c r="E13" s="415"/>
      <c r="F13" s="415"/>
      <c r="G13" s="415"/>
      <c r="H13" s="415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18"/>
      <c r="AB13" s="218"/>
    </row>
    <row r="14" spans="1:28" ht="12.75" customHeight="1" x14ac:dyDescent="0.2">
      <c r="A14" s="218"/>
      <c r="B14" s="415"/>
      <c r="C14" s="415"/>
      <c r="D14" s="415"/>
      <c r="E14" s="415"/>
      <c r="F14" s="415"/>
      <c r="G14" s="415"/>
      <c r="H14" s="415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18"/>
      <c r="AB14" s="218"/>
    </row>
    <row r="15" spans="1:28" ht="12.75" customHeight="1" x14ac:dyDescent="0.2">
      <c r="A15" s="218"/>
      <c r="B15" s="415"/>
      <c r="C15" s="415"/>
      <c r="D15" s="415"/>
      <c r="E15" s="415"/>
      <c r="F15" s="415"/>
      <c r="G15" s="415"/>
      <c r="H15" s="415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18"/>
      <c r="AB15" s="218"/>
    </row>
    <row r="16" spans="1:28" ht="12.75" customHeight="1" x14ac:dyDescent="0.2">
      <c r="A16" s="218"/>
      <c r="B16" s="415"/>
      <c r="C16" s="415"/>
      <c r="D16" s="415"/>
      <c r="E16" s="415"/>
      <c r="F16" s="415"/>
      <c r="G16" s="415"/>
      <c r="H16" s="415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18"/>
      <c r="AB16" s="218"/>
    </row>
    <row r="17" spans="1:28" ht="12.75" customHeight="1" x14ac:dyDescent="0.2">
      <c r="A17" s="218"/>
      <c r="B17" s="415"/>
      <c r="C17" s="415"/>
      <c r="D17" s="415"/>
      <c r="E17" s="415"/>
      <c r="F17" s="415"/>
      <c r="G17" s="415"/>
      <c r="H17" s="415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18"/>
      <c r="AB17" s="218"/>
    </row>
    <row r="18" spans="1:28" ht="12.75" customHeight="1" x14ac:dyDescent="0.2">
      <c r="A18" s="218"/>
      <c r="B18" s="415"/>
      <c r="C18" s="415"/>
      <c r="D18" s="415"/>
      <c r="E18" s="415"/>
      <c r="F18" s="415"/>
      <c r="G18" s="415"/>
      <c r="H18" s="415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18"/>
      <c r="AB18" s="218"/>
    </row>
    <row r="19" spans="1:28" ht="12.75" customHeight="1" x14ac:dyDescent="0.2">
      <c r="A19" s="218"/>
      <c r="B19" s="415"/>
      <c r="C19" s="415"/>
      <c r="D19" s="415"/>
      <c r="E19" s="415"/>
      <c r="F19" s="415"/>
      <c r="G19" s="415"/>
      <c r="H19" s="415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18"/>
      <c r="AB19" s="218"/>
    </row>
    <row r="20" spans="1:28" ht="12.75" customHeight="1" x14ac:dyDescent="0.2">
      <c r="A20" s="218"/>
      <c r="B20" s="415"/>
      <c r="C20" s="415"/>
      <c r="D20" s="415"/>
      <c r="E20" s="415"/>
      <c r="F20" s="415"/>
      <c r="G20" s="415"/>
      <c r="H20" s="415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18"/>
      <c r="AB20" s="218"/>
    </row>
    <row r="21" spans="1:28" x14ac:dyDescent="0.2">
      <c r="A21" s="218"/>
      <c r="B21" s="414" t="str">
        <f ca="1">IF(Lifting!G4="","",CONCATENATE("Höjd: ",Lifting!G4))</f>
        <v>Höjd: 14</v>
      </c>
      <c r="C21" s="414"/>
      <c r="D21" s="414"/>
      <c r="E21" s="414"/>
      <c r="F21" s="414"/>
      <c r="G21" s="414"/>
      <c r="H21" s="414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18"/>
      <c r="AB21" s="218"/>
    </row>
    <row r="22" spans="1:28" x14ac:dyDescent="0.2">
      <c r="A22" s="218"/>
      <c r="B22" s="414"/>
      <c r="C22" s="414"/>
      <c r="D22" s="414"/>
      <c r="E22" s="414"/>
      <c r="F22" s="414"/>
      <c r="G22" s="414"/>
      <c r="H22" s="414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18"/>
      <c r="AB22" s="218"/>
    </row>
    <row r="23" spans="1:28" x14ac:dyDescent="0.2">
      <c r="A23" s="218"/>
      <c r="B23" s="414"/>
      <c r="C23" s="414"/>
      <c r="D23" s="414"/>
      <c r="E23" s="414"/>
      <c r="F23" s="414"/>
      <c r="G23" s="414"/>
      <c r="H23" s="414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18"/>
      <c r="AB23" s="218"/>
    </row>
    <row r="24" spans="1:28" x14ac:dyDescent="0.2">
      <c r="A24" s="218"/>
      <c r="B24" s="414"/>
      <c r="C24" s="414"/>
      <c r="D24" s="414"/>
      <c r="E24" s="414"/>
      <c r="F24" s="414"/>
      <c r="G24" s="414"/>
      <c r="H24" s="414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18"/>
      <c r="AB24" s="218"/>
    </row>
    <row r="25" spans="1:28" x14ac:dyDescent="0.2">
      <c r="A25" s="218"/>
      <c r="B25" s="414"/>
      <c r="C25" s="414"/>
      <c r="D25" s="414"/>
      <c r="E25" s="414"/>
      <c r="F25" s="414"/>
      <c r="G25" s="414"/>
      <c r="H25" s="414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18"/>
      <c r="AB25" s="218"/>
    </row>
    <row r="26" spans="1:28" x14ac:dyDescent="0.2">
      <c r="A26" s="218"/>
      <c r="B26" s="414"/>
      <c r="C26" s="414"/>
      <c r="D26" s="414"/>
      <c r="E26" s="414"/>
      <c r="F26" s="414"/>
      <c r="G26" s="414"/>
      <c r="H26" s="414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18"/>
      <c r="AB26" s="218"/>
    </row>
    <row r="27" spans="1:28" x14ac:dyDescent="0.2">
      <c r="A27" s="218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18"/>
      <c r="AB27" s="218"/>
    </row>
    <row r="28" spans="1:28" x14ac:dyDescent="0.2">
      <c r="A28" s="218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18"/>
      <c r="AB28" s="218"/>
    </row>
    <row r="29" spans="1:28" x14ac:dyDescent="0.2">
      <c r="A29" s="218"/>
      <c r="B29" s="218"/>
      <c r="C29" s="218"/>
      <c r="D29" s="218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8"/>
      <c r="AA29" s="218"/>
      <c r="AB29" s="218"/>
    </row>
    <row r="30" spans="1:28" ht="7.5" customHeight="1" x14ac:dyDescent="0.2"/>
    <row r="31" spans="1:28" ht="12.75" customHeight="1" x14ac:dyDescent="0.45">
      <c r="A31" s="276"/>
      <c r="B31" s="416" t="str">
        <f ca="1">IF(Lists!P3="",,Lists!R38)</f>
        <v>Nästa vikt: 100 kg</v>
      </c>
      <c r="C31" s="416"/>
      <c r="D31" s="416"/>
      <c r="E31" s="416"/>
      <c r="F31" s="416"/>
      <c r="G31" s="416"/>
      <c r="H31" s="416"/>
      <c r="I31" s="276"/>
      <c r="J31" s="276"/>
      <c r="K31" s="276"/>
      <c r="L31" s="276"/>
      <c r="M31" s="276"/>
      <c r="N31" s="276"/>
      <c r="O31" s="417" t="str">
        <f ca="1">Lists!T38</f>
        <v>Malin Carlsson</v>
      </c>
      <c r="P31" s="417"/>
      <c r="Q31" s="417"/>
      <c r="R31" s="417"/>
      <c r="S31" s="417"/>
      <c r="T31" s="277"/>
      <c r="U31" s="277"/>
      <c r="V31" s="277"/>
      <c r="W31" s="277"/>
      <c r="X31" s="277"/>
      <c r="Y31" s="277"/>
      <c r="Z31" s="277"/>
      <c r="AA31" s="277"/>
      <c r="AB31" s="277"/>
    </row>
    <row r="32" spans="1:28" ht="12.75" customHeight="1" x14ac:dyDescent="0.45">
      <c r="A32" s="276"/>
      <c r="B32" s="416"/>
      <c r="C32" s="416"/>
      <c r="D32" s="416"/>
      <c r="E32" s="416"/>
      <c r="F32" s="416"/>
      <c r="G32" s="416"/>
      <c r="H32" s="416"/>
      <c r="I32" s="278"/>
      <c r="J32" s="278"/>
      <c r="K32" s="278"/>
      <c r="L32" s="279"/>
      <c r="M32" s="279"/>
      <c r="N32" s="279"/>
      <c r="O32" s="417"/>
      <c r="P32" s="417"/>
      <c r="Q32" s="417"/>
      <c r="R32" s="417"/>
      <c r="S32" s="417"/>
      <c r="T32" s="277"/>
      <c r="U32" s="277"/>
      <c r="V32" s="277"/>
      <c r="W32" s="277"/>
      <c r="X32" s="277"/>
      <c r="Y32" s="277"/>
      <c r="Z32" s="277"/>
      <c r="AA32" s="277"/>
      <c r="AB32" s="277"/>
    </row>
    <row r="33" spans="1:28" ht="12.75" customHeight="1" x14ac:dyDescent="0.45">
      <c r="A33" s="276"/>
      <c r="B33" s="416"/>
      <c r="C33" s="416"/>
      <c r="D33" s="416"/>
      <c r="E33" s="416"/>
      <c r="F33" s="416"/>
      <c r="G33" s="416"/>
      <c r="H33" s="416"/>
      <c r="I33" s="278"/>
      <c r="J33" s="278"/>
      <c r="K33" s="278"/>
      <c r="L33" s="279"/>
      <c r="M33" s="279"/>
      <c r="N33" s="279"/>
      <c r="O33" s="417"/>
      <c r="P33" s="417"/>
      <c r="Q33" s="417"/>
      <c r="R33" s="417"/>
      <c r="S33" s="417"/>
      <c r="T33" s="277"/>
      <c r="U33" s="277"/>
      <c r="V33" s="277"/>
      <c r="W33" s="277"/>
      <c r="X33" s="277"/>
      <c r="Y33" s="277"/>
      <c r="Z33" s="277"/>
      <c r="AA33" s="277"/>
      <c r="AB33" s="277"/>
    </row>
    <row r="34" spans="1:28" ht="12.75" customHeight="1" x14ac:dyDescent="0.2">
      <c r="A34" s="276"/>
      <c r="B34" s="416"/>
      <c r="C34" s="416"/>
      <c r="D34" s="416"/>
      <c r="E34" s="416"/>
      <c r="F34" s="416"/>
      <c r="G34" s="416"/>
      <c r="H34" s="416"/>
      <c r="I34" s="278"/>
      <c r="J34" s="278"/>
      <c r="K34" s="278"/>
      <c r="L34" s="279"/>
      <c r="M34" s="279"/>
      <c r="N34" s="279"/>
      <c r="O34" s="418" t="str">
        <f ca="1">Lists!T39</f>
        <v>Vedum AIS</v>
      </c>
      <c r="P34" s="418"/>
      <c r="Q34" s="418"/>
      <c r="R34" s="418"/>
      <c r="S34" s="418"/>
      <c r="T34" s="280"/>
      <c r="U34" s="280"/>
      <c r="V34" s="280"/>
      <c r="W34" s="280"/>
      <c r="X34" s="280"/>
      <c r="Y34" s="280"/>
      <c r="Z34" s="280"/>
      <c r="AA34" s="280"/>
      <c r="AB34" s="280"/>
    </row>
    <row r="35" spans="1:28" ht="12.75" customHeight="1" x14ac:dyDescent="0.2">
      <c r="A35" s="276"/>
      <c r="B35" s="416"/>
      <c r="C35" s="416"/>
      <c r="D35" s="416"/>
      <c r="E35" s="416"/>
      <c r="F35" s="416"/>
      <c r="G35" s="416"/>
      <c r="H35" s="416"/>
      <c r="I35" s="278"/>
      <c r="J35" s="278"/>
      <c r="K35" s="278"/>
      <c r="L35" s="279"/>
      <c r="M35" s="279"/>
      <c r="N35" s="279"/>
      <c r="O35" s="418"/>
      <c r="P35" s="418"/>
      <c r="Q35" s="418"/>
      <c r="R35" s="418"/>
      <c r="S35" s="418"/>
      <c r="T35" s="280"/>
      <c r="U35" s="280"/>
      <c r="V35" s="280"/>
      <c r="W35" s="280"/>
      <c r="X35" s="280"/>
      <c r="Y35" s="280"/>
      <c r="Z35" s="280"/>
      <c r="AA35" s="280"/>
      <c r="AB35" s="280"/>
    </row>
    <row r="36" spans="1:28" ht="12.75" customHeight="1" x14ac:dyDescent="0.2">
      <c r="A36" s="276"/>
      <c r="B36" s="416" t="str">
        <f ca="1">Lists!R39</f>
        <v>Nästa höjd: 5</v>
      </c>
      <c r="C36" s="416"/>
      <c r="D36" s="416"/>
      <c r="E36" s="416"/>
      <c r="F36" s="416"/>
      <c r="G36" s="416"/>
      <c r="H36" s="416"/>
      <c r="I36" s="278"/>
      <c r="J36" s="278"/>
      <c r="K36" s="278"/>
      <c r="L36" s="279"/>
      <c r="M36" s="279"/>
      <c r="N36" s="279"/>
      <c r="O36" s="418"/>
      <c r="P36" s="418"/>
      <c r="Q36" s="418"/>
      <c r="R36" s="418"/>
      <c r="S36" s="418"/>
      <c r="T36" s="280"/>
      <c r="U36" s="280"/>
      <c r="V36" s="280"/>
      <c r="W36" s="280"/>
      <c r="X36" s="280"/>
      <c r="Y36" s="280"/>
      <c r="Z36" s="280"/>
      <c r="AA36" s="280"/>
      <c r="AB36" s="280"/>
    </row>
    <row r="37" spans="1:28" ht="12.75" customHeight="1" x14ac:dyDescent="0.2">
      <c r="A37" s="276"/>
      <c r="B37" s="416"/>
      <c r="C37" s="416"/>
      <c r="D37" s="416"/>
      <c r="E37" s="416"/>
      <c r="F37" s="416"/>
      <c r="G37" s="416"/>
      <c r="H37" s="416"/>
      <c r="I37" s="278"/>
      <c r="J37" s="278"/>
      <c r="K37" s="278"/>
      <c r="L37" s="279"/>
      <c r="M37" s="279"/>
      <c r="N37" s="279"/>
      <c r="O37" s="418" t="str">
        <f ca="1">Lists!T40</f>
        <v>Klass 52 kg</v>
      </c>
      <c r="P37" s="418"/>
      <c r="Q37" s="418"/>
      <c r="R37" s="418"/>
      <c r="S37" s="418"/>
      <c r="T37" s="280"/>
      <c r="U37" s="280"/>
      <c r="V37" s="280"/>
      <c r="W37" s="280"/>
      <c r="X37" s="280"/>
      <c r="Y37" s="280"/>
      <c r="Z37" s="280"/>
      <c r="AA37" s="280"/>
      <c r="AB37" s="280"/>
    </row>
    <row r="38" spans="1:28" ht="12.75" customHeight="1" x14ac:dyDescent="0.2">
      <c r="A38" s="276"/>
      <c r="B38" s="416"/>
      <c r="C38" s="416"/>
      <c r="D38" s="416"/>
      <c r="E38" s="416"/>
      <c r="F38" s="416"/>
      <c r="G38" s="416"/>
      <c r="H38" s="416"/>
      <c r="I38" s="276"/>
      <c r="J38" s="276"/>
      <c r="K38" s="276"/>
      <c r="L38" s="276"/>
      <c r="M38" s="276"/>
      <c r="N38" s="276"/>
      <c r="O38" s="418"/>
      <c r="P38" s="418"/>
      <c r="Q38" s="418"/>
      <c r="R38" s="418"/>
      <c r="S38" s="418"/>
      <c r="T38" s="280"/>
      <c r="U38" s="280"/>
      <c r="V38" s="280"/>
      <c r="W38" s="280"/>
      <c r="X38" s="280"/>
      <c r="Y38" s="280"/>
      <c r="Z38" s="280"/>
      <c r="AA38" s="280"/>
      <c r="AB38" s="280"/>
    </row>
    <row r="39" spans="1:28" ht="12.75" customHeight="1" x14ac:dyDescent="0.2">
      <c r="A39" s="276"/>
      <c r="B39" s="416"/>
      <c r="C39" s="416"/>
      <c r="D39" s="416"/>
      <c r="E39" s="416"/>
      <c r="F39" s="416"/>
      <c r="G39" s="416"/>
      <c r="H39" s="416"/>
      <c r="I39" s="276"/>
      <c r="J39" s="276"/>
      <c r="K39" s="276"/>
      <c r="L39" s="276"/>
      <c r="M39" s="276"/>
      <c r="N39" s="276"/>
      <c r="O39" s="418"/>
      <c r="P39" s="418"/>
      <c r="Q39" s="418"/>
      <c r="R39" s="418"/>
      <c r="S39" s="418"/>
      <c r="T39" s="280"/>
      <c r="U39" s="280"/>
      <c r="V39" s="280"/>
      <c r="W39" s="280"/>
      <c r="X39" s="280"/>
      <c r="Y39" s="280"/>
      <c r="Z39" s="280"/>
      <c r="AA39" s="280"/>
      <c r="AB39" s="280"/>
    </row>
    <row r="40" spans="1:28" ht="12.75" customHeight="1" x14ac:dyDescent="0.2">
      <c r="A40" s="276"/>
      <c r="B40" s="416"/>
      <c r="C40" s="416"/>
      <c r="D40" s="416"/>
      <c r="E40" s="416"/>
      <c r="F40" s="416"/>
      <c r="G40" s="416"/>
      <c r="H40" s="416"/>
      <c r="I40" s="276"/>
      <c r="J40" s="276"/>
      <c r="K40" s="276"/>
      <c r="L40" s="276"/>
      <c r="M40" s="276"/>
      <c r="N40" s="276"/>
      <c r="O40" s="276"/>
      <c r="P40" s="276"/>
      <c r="Q40" s="276"/>
      <c r="R40" s="276"/>
      <c r="S40" s="276"/>
      <c r="T40" s="276"/>
      <c r="U40" s="276"/>
      <c r="V40" s="276"/>
      <c r="W40" s="276"/>
      <c r="X40" s="276"/>
      <c r="Y40" s="276"/>
      <c r="Z40" s="276"/>
      <c r="AA40" s="276"/>
      <c r="AB40" s="276"/>
    </row>
    <row r="41" spans="1:28" ht="12.75" customHeight="1" x14ac:dyDescent="0.2">
      <c r="A41" s="276"/>
      <c r="B41" s="276"/>
      <c r="C41" s="276"/>
      <c r="D41" s="276"/>
      <c r="E41" s="276"/>
      <c r="F41" s="276"/>
      <c r="G41" s="276"/>
      <c r="H41" s="276"/>
      <c r="I41" s="276"/>
      <c r="J41" s="276"/>
      <c r="K41" s="276"/>
      <c r="L41" s="276"/>
      <c r="M41" s="276"/>
      <c r="N41" s="276"/>
      <c r="O41" s="276"/>
      <c r="P41" s="276"/>
      <c r="Q41" s="276"/>
      <c r="R41" s="276"/>
      <c r="S41" s="276"/>
      <c r="T41" s="276"/>
      <c r="U41" s="276"/>
      <c r="V41" s="276"/>
      <c r="W41" s="276"/>
      <c r="X41" s="276"/>
      <c r="Y41" s="276"/>
      <c r="Z41" s="276"/>
      <c r="AA41" s="276"/>
      <c r="AB41" s="276"/>
    </row>
    <row r="42" spans="1:28" x14ac:dyDescent="0.2">
      <c r="A42" s="276"/>
      <c r="B42" s="276"/>
      <c r="C42" s="276"/>
      <c r="D42" s="276"/>
      <c r="E42" s="276"/>
      <c r="F42" s="276"/>
      <c r="G42" s="276"/>
      <c r="H42" s="276"/>
      <c r="I42" s="276"/>
      <c r="J42" s="276"/>
      <c r="K42" s="276"/>
      <c r="L42" s="276"/>
      <c r="M42" s="276"/>
      <c r="N42" s="276"/>
      <c r="O42" s="276"/>
      <c r="P42" s="276"/>
      <c r="Q42" s="276"/>
      <c r="R42" s="276"/>
      <c r="S42" s="276"/>
      <c r="T42" s="276"/>
      <c r="U42" s="276"/>
      <c r="V42" s="276"/>
      <c r="W42" s="276"/>
      <c r="X42" s="276"/>
      <c r="Y42" s="276"/>
      <c r="Z42" s="276"/>
      <c r="AA42" s="276"/>
      <c r="AB42" s="276"/>
    </row>
    <row r="45" spans="1:28" x14ac:dyDescent="0.2">
      <c r="M45" s="413" t="s">
        <v>247</v>
      </c>
      <c r="N45" s="413"/>
      <c r="O45" s="413"/>
    </row>
    <row r="46" spans="1:28" ht="12.75" customHeight="1" x14ac:dyDescent="0.2">
      <c r="M46" s="413"/>
      <c r="N46" s="413"/>
      <c r="O46" s="413"/>
    </row>
    <row r="47" spans="1:28" x14ac:dyDescent="0.2">
      <c r="M47" s="413"/>
      <c r="N47" s="413"/>
      <c r="O47" s="413"/>
    </row>
    <row r="48" spans="1:28" x14ac:dyDescent="0.2">
      <c r="M48" s="413"/>
      <c r="N48" s="413"/>
      <c r="O48" s="413"/>
    </row>
  </sheetData>
  <mergeCells count="8">
    <mergeCell ref="M45:O48"/>
    <mergeCell ref="B21:H26"/>
    <mergeCell ref="B10:H20"/>
    <mergeCell ref="B31:H35"/>
    <mergeCell ref="O31:S33"/>
    <mergeCell ref="O34:S36"/>
    <mergeCell ref="B36:H40"/>
    <mergeCell ref="O37:S39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pageSetUpPr fitToPage="1"/>
  </sheetPr>
  <dimension ref="A2:S39"/>
  <sheetViews>
    <sheetView workbookViewId="0">
      <selection activeCell="E4" sqref="E4"/>
    </sheetView>
  </sheetViews>
  <sheetFormatPr defaultRowHeight="15" x14ac:dyDescent="0.25"/>
  <cols>
    <col min="1" max="1" width="5.42578125" style="224" bestFit="1" customWidth="1"/>
    <col min="2" max="2" width="9.140625" style="224" customWidth="1"/>
    <col min="3" max="3" width="7.5703125" style="245" customWidth="1"/>
    <col min="4" max="4" width="21.42578125" style="224" customWidth="1"/>
    <col min="5" max="5" width="19.140625" style="224" bestFit="1" customWidth="1"/>
    <col min="6" max="19" width="5.7109375" style="224" customWidth="1"/>
    <col min="20" max="256" width="9.140625" style="224"/>
    <col min="257" max="257" width="5.42578125" style="224" bestFit="1" customWidth="1"/>
    <col min="258" max="258" width="9.140625" style="224"/>
    <col min="259" max="259" width="7.5703125" style="224" customWidth="1"/>
    <col min="260" max="260" width="21.42578125" style="224" customWidth="1"/>
    <col min="261" max="261" width="19.140625" style="224" bestFit="1" customWidth="1"/>
    <col min="262" max="275" width="5.7109375" style="224" customWidth="1"/>
    <col min="276" max="512" width="9.140625" style="224"/>
    <col min="513" max="513" width="5.42578125" style="224" bestFit="1" customWidth="1"/>
    <col min="514" max="514" width="9.140625" style="224"/>
    <col min="515" max="515" width="7.5703125" style="224" customWidth="1"/>
    <col min="516" max="516" width="21.42578125" style="224" customWidth="1"/>
    <col min="517" max="517" width="19.140625" style="224" bestFit="1" customWidth="1"/>
    <col min="518" max="531" width="5.7109375" style="224" customWidth="1"/>
    <col min="532" max="768" width="9.140625" style="224"/>
    <col min="769" max="769" width="5.42578125" style="224" bestFit="1" customWidth="1"/>
    <col min="770" max="770" width="9.140625" style="224"/>
    <col min="771" max="771" width="7.5703125" style="224" customWidth="1"/>
    <col min="772" max="772" width="21.42578125" style="224" customWidth="1"/>
    <col min="773" max="773" width="19.140625" style="224" bestFit="1" customWidth="1"/>
    <col min="774" max="787" width="5.7109375" style="224" customWidth="1"/>
    <col min="788" max="1024" width="9.140625" style="224"/>
    <col min="1025" max="1025" width="5.42578125" style="224" bestFit="1" customWidth="1"/>
    <col min="1026" max="1026" width="9.140625" style="224"/>
    <col min="1027" max="1027" width="7.5703125" style="224" customWidth="1"/>
    <col min="1028" max="1028" width="21.42578125" style="224" customWidth="1"/>
    <col min="1029" max="1029" width="19.140625" style="224" bestFit="1" customWidth="1"/>
    <col min="1030" max="1043" width="5.7109375" style="224" customWidth="1"/>
    <col min="1044" max="1280" width="9.140625" style="224"/>
    <col min="1281" max="1281" width="5.42578125" style="224" bestFit="1" customWidth="1"/>
    <col min="1282" max="1282" width="9.140625" style="224"/>
    <col min="1283" max="1283" width="7.5703125" style="224" customWidth="1"/>
    <col min="1284" max="1284" width="21.42578125" style="224" customWidth="1"/>
    <col min="1285" max="1285" width="19.140625" style="224" bestFit="1" customWidth="1"/>
    <col min="1286" max="1299" width="5.7109375" style="224" customWidth="1"/>
    <col min="1300" max="1536" width="9.140625" style="224"/>
    <col min="1537" max="1537" width="5.42578125" style="224" bestFit="1" customWidth="1"/>
    <col min="1538" max="1538" width="9.140625" style="224"/>
    <col min="1539" max="1539" width="7.5703125" style="224" customWidth="1"/>
    <col min="1540" max="1540" width="21.42578125" style="224" customWidth="1"/>
    <col min="1541" max="1541" width="19.140625" style="224" bestFit="1" customWidth="1"/>
    <col min="1542" max="1555" width="5.7109375" style="224" customWidth="1"/>
    <col min="1556" max="1792" width="9.140625" style="224"/>
    <col min="1793" max="1793" width="5.42578125" style="224" bestFit="1" customWidth="1"/>
    <col min="1794" max="1794" width="9.140625" style="224"/>
    <col min="1795" max="1795" width="7.5703125" style="224" customWidth="1"/>
    <col min="1796" max="1796" width="21.42578125" style="224" customWidth="1"/>
    <col min="1797" max="1797" width="19.140625" style="224" bestFit="1" customWidth="1"/>
    <col min="1798" max="1811" width="5.7109375" style="224" customWidth="1"/>
    <col min="1812" max="2048" width="9.140625" style="224"/>
    <col min="2049" max="2049" width="5.42578125" style="224" bestFit="1" customWidth="1"/>
    <col min="2050" max="2050" width="9.140625" style="224"/>
    <col min="2051" max="2051" width="7.5703125" style="224" customWidth="1"/>
    <col min="2052" max="2052" width="21.42578125" style="224" customWidth="1"/>
    <col min="2053" max="2053" width="19.140625" style="224" bestFit="1" customWidth="1"/>
    <col min="2054" max="2067" width="5.7109375" style="224" customWidth="1"/>
    <col min="2068" max="2304" width="9.140625" style="224"/>
    <col min="2305" max="2305" width="5.42578125" style="224" bestFit="1" customWidth="1"/>
    <col min="2306" max="2306" width="9.140625" style="224"/>
    <col min="2307" max="2307" width="7.5703125" style="224" customWidth="1"/>
    <col min="2308" max="2308" width="21.42578125" style="224" customWidth="1"/>
    <col min="2309" max="2309" width="19.140625" style="224" bestFit="1" customWidth="1"/>
    <col min="2310" max="2323" width="5.7109375" style="224" customWidth="1"/>
    <col min="2324" max="2560" width="9.140625" style="224"/>
    <col min="2561" max="2561" width="5.42578125" style="224" bestFit="1" customWidth="1"/>
    <col min="2562" max="2562" width="9.140625" style="224"/>
    <col min="2563" max="2563" width="7.5703125" style="224" customWidth="1"/>
    <col min="2564" max="2564" width="21.42578125" style="224" customWidth="1"/>
    <col min="2565" max="2565" width="19.140625" style="224" bestFit="1" customWidth="1"/>
    <col min="2566" max="2579" width="5.7109375" style="224" customWidth="1"/>
    <col min="2580" max="2816" width="9.140625" style="224"/>
    <col min="2817" max="2817" width="5.42578125" style="224" bestFit="1" customWidth="1"/>
    <col min="2818" max="2818" width="9.140625" style="224"/>
    <col min="2819" max="2819" width="7.5703125" style="224" customWidth="1"/>
    <col min="2820" max="2820" width="21.42578125" style="224" customWidth="1"/>
    <col min="2821" max="2821" width="19.140625" style="224" bestFit="1" customWidth="1"/>
    <col min="2822" max="2835" width="5.7109375" style="224" customWidth="1"/>
    <col min="2836" max="3072" width="9.140625" style="224"/>
    <col min="3073" max="3073" width="5.42578125" style="224" bestFit="1" customWidth="1"/>
    <col min="3074" max="3074" width="9.140625" style="224"/>
    <col min="3075" max="3075" width="7.5703125" style="224" customWidth="1"/>
    <col min="3076" max="3076" width="21.42578125" style="224" customWidth="1"/>
    <col min="3077" max="3077" width="19.140625" style="224" bestFit="1" customWidth="1"/>
    <col min="3078" max="3091" width="5.7109375" style="224" customWidth="1"/>
    <col min="3092" max="3328" width="9.140625" style="224"/>
    <col min="3329" max="3329" width="5.42578125" style="224" bestFit="1" customWidth="1"/>
    <col min="3330" max="3330" width="9.140625" style="224"/>
    <col min="3331" max="3331" width="7.5703125" style="224" customWidth="1"/>
    <col min="3332" max="3332" width="21.42578125" style="224" customWidth="1"/>
    <col min="3333" max="3333" width="19.140625" style="224" bestFit="1" customWidth="1"/>
    <col min="3334" max="3347" width="5.7109375" style="224" customWidth="1"/>
    <col min="3348" max="3584" width="9.140625" style="224"/>
    <col min="3585" max="3585" width="5.42578125" style="224" bestFit="1" customWidth="1"/>
    <col min="3586" max="3586" width="9.140625" style="224"/>
    <col min="3587" max="3587" width="7.5703125" style="224" customWidth="1"/>
    <col min="3588" max="3588" width="21.42578125" style="224" customWidth="1"/>
    <col min="3589" max="3589" width="19.140625" style="224" bestFit="1" customWidth="1"/>
    <col min="3590" max="3603" width="5.7109375" style="224" customWidth="1"/>
    <col min="3604" max="3840" width="9.140625" style="224"/>
    <col min="3841" max="3841" width="5.42578125" style="224" bestFit="1" customWidth="1"/>
    <col min="3842" max="3842" width="9.140625" style="224"/>
    <col min="3843" max="3843" width="7.5703125" style="224" customWidth="1"/>
    <col min="3844" max="3844" width="21.42578125" style="224" customWidth="1"/>
    <col min="3845" max="3845" width="19.140625" style="224" bestFit="1" customWidth="1"/>
    <col min="3846" max="3859" width="5.7109375" style="224" customWidth="1"/>
    <col min="3860" max="4096" width="9.140625" style="224"/>
    <col min="4097" max="4097" width="5.42578125" style="224" bestFit="1" customWidth="1"/>
    <col min="4098" max="4098" width="9.140625" style="224"/>
    <col min="4099" max="4099" width="7.5703125" style="224" customWidth="1"/>
    <col min="4100" max="4100" width="21.42578125" style="224" customWidth="1"/>
    <col min="4101" max="4101" width="19.140625" style="224" bestFit="1" customWidth="1"/>
    <col min="4102" max="4115" width="5.7109375" style="224" customWidth="1"/>
    <col min="4116" max="4352" width="9.140625" style="224"/>
    <col min="4353" max="4353" width="5.42578125" style="224" bestFit="1" customWidth="1"/>
    <col min="4354" max="4354" width="9.140625" style="224"/>
    <col min="4355" max="4355" width="7.5703125" style="224" customWidth="1"/>
    <col min="4356" max="4356" width="21.42578125" style="224" customWidth="1"/>
    <col min="4357" max="4357" width="19.140625" style="224" bestFit="1" customWidth="1"/>
    <col min="4358" max="4371" width="5.7109375" style="224" customWidth="1"/>
    <col min="4372" max="4608" width="9.140625" style="224"/>
    <col min="4609" max="4609" width="5.42578125" style="224" bestFit="1" customWidth="1"/>
    <col min="4610" max="4610" width="9.140625" style="224"/>
    <col min="4611" max="4611" width="7.5703125" style="224" customWidth="1"/>
    <col min="4612" max="4612" width="21.42578125" style="224" customWidth="1"/>
    <col min="4613" max="4613" width="19.140625" style="224" bestFit="1" customWidth="1"/>
    <col min="4614" max="4627" width="5.7109375" style="224" customWidth="1"/>
    <col min="4628" max="4864" width="9.140625" style="224"/>
    <col min="4865" max="4865" width="5.42578125" style="224" bestFit="1" customWidth="1"/>
    <col min="4866" max="4866" width="9.140625" style="224"/>
    <col min="4867" max="4867" width="7.5703125" style="224" customWidth="1"/>
    <col min="4868" max="4868" width="21.42578125" style="224" customWidth="1"/>
    <col min="4869" max="4869" width="19.140625" style="224" bestFit="1" customWidth="1"/>
    <col min="4870" max="4883" width="5.7109375" style="224" customWidth="1"/>
    <col min="4884" max="5120" width="9.140625" style="224"/>
    <col min="5121" max="5121" width="5.42578125" style="224" bestFit="1" customWidth="1"/>
    <col min="5122" max="5122" width="9.140625" style="224"/>
    <col min="5123" max="5123" width="7.5703125" style="224" customWidth="1"/>
    <col min="5124" max="5124" width="21.42578125" style="224" customWidth="1"/>
    <col min="5125" max="5125" width="19.140625" style="224" bestFit="1" customWidth="1"/>
    <col min="5126" max="5139" width="5.7109375" style="224" customWidth="1"/>
    <col min="5140" max="5376" width="9.140625" style="224"/>
    <col min="5377" max="5377" width="5.42578125" style="224" bestFit="1" customWidth="1"/>
    <col min="5378" max="5378" width="9.140625" style="224"/>
    <col min="5379" max="5379" width="7.5703125" style="224" customWidth="1"/>
    <col min="5380" max="5380" width="21.42578125" style="224" customWidth="1"/>
    <col min="5381" max="5381" width="19.140625" style="224" bestFit="1" customWidth="1"/>
    <col min="5382" max="5395" width="5.7109375" style="224" customWidth="1"/>
    <col min="5396" max="5632" width="9.140625" style="224"/>
    <col min="5633" max="5633" width="5.42578125" style="224" bestFit="1" customWidth="1"/>
    <col min="5634" max="5634" width="9.140625" style="224"/>
    <col min="5635" max="5635" width="7.5703125" style="224" customWidth="1"/>
    <col min="5636" max="5636" width="21.42578125" style="224" customWidth="1"/>
    <col min="5637" max="5637" width="19.140625" style="224" bestFit="1" customWidth="1"/>
    <col min="5638" max="5651" width="5.7109375" style="224" customWidth="1"/>
    <col min="5652" max="5888" width="9.140625" style="224"/>
    <col min="5889" max="5889" width="5.42578125" style="224" bestFit="1" customWidth="1"/>
    <col min="5890" max="5890" width="9.140625" style="224"/>
    <col min="5891" max="5891" width="7.5703125" style="224" customWidth="1"/>
    <col min="5892" max="5892" width="21.42578125" style="224" customWidth="1"/>
    <col min="5893" max="5893" width="19.140625" style="224" bestFit="1" customWidth="1"/>
    <col min="5894" max="5907" width="5.7109375" style="224" customWidth="1"/>
    <col min="5908" max="6144" width="9.140625" style="224"/>
    <col min="6145" max="6145" width="5.42578125" style="224" bestFit="1" customWidth="1"/>
    <col min="6146" max="6146" width="9.140625" style="224"/>
    <col min="6147" max="6147" width="7.5703125" style="224" customWidth="1"/>
    <col min="6148" max="6148" width="21.42578125" style="224" customWidth="1"/>
    <col min="6149" max="6149" width="19.140625" style="224" bestFit="1" customWidth="1"/>
    <col min="6150" max="6163" width="5.7109375" style="224" customWidth="1"/>
    <col min="6164" max="6400" width="9.140625" style="224"/>
    <col min="6401" max="6401" width="5.42578125" style="224" bestFit="1" customWidth="1"/>
    <col min="6402" max="6402" width="9.140625" style="224"/>
    <col min="6403" max="6403" width="7.5703125" style="224" customWidth="1"/>
    <col min="6404" max="6404" width="21.42578125" style="224" customWidth="1"/>
    <col min="6405" max="6405" width="19.140625" style="224" bestFit="1" customWidth="1"/>
    <col min="6406" max="6419" width="5.7109375" style="224" customWidth="1"/>
    <col min="6420" max="6656" width="9.140625" style="224"/>
    <col min="6657" max="6657" width="5.42578125" style="224" bestFit="1" customWidth="1"/>
    <col min="6658" max="6658" width="9.140625" style="224"/>
    <col min="6659" max="6659" width="7.5703125" style="224" customWidth="1"/>
    <col min="6660" max="6660" width="21.42578125" style="224" customWidth="1"/>
    <col min="6661" max="6661" width="19.140625" style="224" bestFit="1" customWidth="1"/>
    <col min="6662" max="6675" width="5.7109375" style="224" customWidth="1"/>
    <col min="6676" max="6912" width="9.140625" style="224"/>
    <col min="6913" max="6913" width="5.42578125" style="224" bestFit="1" customWidth="1"/>
    <col min="6914" max="6914" width="9.140625" style="224"/>
    <col min="6915" max="6915" width="7.5703125" style="224" customWidth="1"/>
    <col min="6916" max="6916" width="21.42578125" style="224" customWidth="1"/>
    <col min="6917" max="6917" width="19.140625" style="224" bestFit="1" customWidth="1"/>
    <col min="6918" max="6931" width="5.7109375" style="224" customWidth="1"/>
    <col min="6932" max="7168" width="9.140625" style="224"/>
    <col min="7169" max="7169" width="5.42578125" style="224" bestFit="1" customWidth="1"/>
    <col min="7170" max="7170" width="9.140625" style="224"/>
    <col min="7171" max="7171" width="7.5703125" style="224" customWidth="1"/>
    <col min="7172" max="7172" width="21.42578125" style="224" customWidth="1"/>
    <col min="7173" max="7173" width="19.140625" style="224" bestFit="1" customWidth="1"/>
    <col min="7174" max="7187" width="5.7109375" style="224" customWidth="1"/>
    <col min="7188" max="7424" width="9.140625" style="224"/>
    <col min="7425" max="7425" width="5.42578125" style="224" bestFit="1" customWidth="1"/>
    <col min="7426" max="7426" width="9.140625" style="224"/>
    <col min="7427" max="7427" width="7.5703125" style="224" customWidth="1"/>
    <col min="7428" max="7428" width="21.42578125" style="224" customWidth="1"/>
    <col min="7429" max="7429" width="19.140625" style="224" bestFit="1" customWidth="1"/>
    <col min="7430" max="7443" width="5.7109375" style="224" customWidth="1"/>
    <col min="7444" max="7680" width="9.140625" style="224"/>
    <col min="7681" max="7681" width="5.42578125" style="224" bestFit="1" customWidth="1"/>
    <col min="7682" max="7682" width="9.140625" style="224"/>
    <col min="7683" max="7683" width="7.5703125" style="224" customWidth="1"/>
    <col min="7684" max="7684" width="21.42578125" style="224" customWidth="1"/>
    <col min="7685" max="7685" width="19.140625" style="224" bestFit="1" customWidth="1"/>
    <col min="7686" max="7699" width="5.7109375" style="224" customWidth="1"/>
    <col min="7700" max="7936" width="9.140625" style="224"/>
    <col min="7937" max="7937" width="5.42578125" style="224" bestFit="1" customWidth="1"/>
    <col min="7938" max="7938" width="9.140625" style="224"/>
    <col min="7939" max="7939" width="7.5703125" style="224" customWidth="1"/>
    <col min="7940" max="7940" width="21.42578125" style="224" customWidth="1"/>
    <col min="7941" max="7941" width="19.140625" style="224" bestFit="1" customWidth="1"/>
    <col min="7942" max="7955" width="5.7109375" style="224" customWidth="1"/>
    <col min="7956" max="8192" width="9.140625" style="224"/>
    <col min="8193" max="8193" width="5.42578125" style="224" bestFit="1" customWidth="1"/>
    <col min="8194" max="8194" width="9.140625" style="224"/>
    <col min="8195" max="8195" width="7.5703125" style="224" customWidth="1"/>
    <col min="8196" max="8196" width="21.42578125" style="224" customWidth="1"/>
    <col min="8197" max="8197" width="19.140625" style="224" bestFit="1" customWidth="1"/>
    <col min="8198" max="8211" width="5.7109375" style="224" customWidth="1"/>
    <col min="8212" max="8448" width="9.140625" style="224"/>
    <col min="8449" max="8449" width="5.42578125" style="224" bestFit="1" customWidth="1"/>
    <col min="8450" max="8450" width="9.140625" style="224"/>
    <col min="8451" max="8451" width="7.5703125" style="224" customWidth="1"/>
    <col min="8452" max="8452" width="21.42578125" style="224" customWidth="1"/>
    <col min="8453" max="8453" width="19.140625" style="224" bestFit="1" customWidth="1"/>
    <col min="8454" max="8467" width="5.7109375" style="224" customWidth="1"/>
    <col min="8468" max="8704" width="9.140625" style="224"/>
    <col min="8705" max="8705" width="5.42578125" style="224" bestFit="1" customWidth="1"/>
    <col min="8706" max="8706" width="9.140625" style="224"/>
    <col min="8707" max="8707" width="7.5703125" style="224" customWidth="1"/>
    <col min="8708" max="8708" width="21.42578125" style="224" customWidth="1"/>
    <col min="8709" max="8709" width="19.140625" style="224" bestFit="1" customWidth="1"/>
    <col min="8710" max="8723" width="5.7109375" style="224" customWidth="1"/>
    <col min="8724" max="8960" width="9.140625" style="224"/>
    <col min="8961" max="8961" width="5.42578125" style="224" bestFit="1" customWidth="1"/>
    <col min="8962" max="8962" width="9.140625" style="224"/>
    <col min="8963" max="8963" width="7.5703125" style="224" customWidth="1"/>
    <col min="8964" max="8964" width="21.42578125" style="224" customWidth="1"/>
    <col min="8965" max="8965" width="19.140625" style="224" bestFit="1" customWidth="1"/>
    <col min="8966" max="8979" width="5.7109375" style="224" customWidth="1"/>
    <col min="8980" max="9216" width="9.140625" style="224"/>
    <col min="9217" max="9217" width="5.42578125" style="224" bestFit="1" customWidth="1"/>
    <col min="9218" max="9218" width="9.140625" style="224"/>
    <col min="9219" max="9219" width="7.5703125" style="224" customWidth="1"/>
    <col min="9220" max="9220" width="21.42578125" style="224" customWidth="1"/>
    <col min="9221" max="9221" width="19.140625" style="224" bestFit="1" customWidth="1"/>
    <col min="9222" max="9235" width="5.7109375" style="224" customWidth="1"/>
    <col min="9236" max="9472" width="9.140625" style="224"/>
    <col min="9473" max="9473" width="5.42578125" style="224" bestFit="1" customWidth="1"/>
    <col min="9474" max="9474" width="9.140625" style="224"/>
    <col min="9475" max="9475" width="7.5703125" style="224" customWidth="1"/>
    <col min="9476" max="9476" width="21.42578125" style="224" customWidth="1"/>
    <col min="9477" max="9477" width="19.140625" style="224" bestFit="1" customWidth="1"/>
    <col min="9478" max="9491" width="5.7109375" style="224" customWidth="1"/>
    <col min="9492" max="9728" width="9.140625" style="224"/>
    <col min="9729" max="9729" width="5.42578125" style="224" bestFit="1" customWidth="1"/>
    <col min="9730" max="9730" width="9.140625" style="224"/>
    <col min="9731" max="9731" width="7.5703125" style="224" customWidth="1"/>
    <col min="9732" max="9732" width="21.42578125" style="224" customWidth="1"/>
    <col min="9733" max="9733" width="19.140625" style="224" bestFit="1" customWidth="1"/>
    <col min="9734" max="9747" width="5.7109375" style="224" customWidth="1"/>
    <col min="9748" max="9984" width="9.140625" style="224"/>
    <col min="9985" max="9985" width="5.42578125" style="224" bestFit="1" customWidth="1"/>
    <col min="9986" max="9986" width="9.140625" style="224"/>
    <col min="9987" max="9987" width="7.5703125" style="224" customWidth="1"/>
    <col min="9988" max="9988" width="21.42578125" style="224" customWidth="1"/>
    <col min="9989" max="9989" width="19.140625" style="224" bestFit="1" customWidth="1"/>
    <col min="9990" max="10003" width="5.7109375" style="224" customWidth="1"/>
    <col min="10004" max="10240" width="9.140625" style="224"/>
    <col min="10241" max="10241" width="5.42578125" style="224" bestFit="1" customWidth="1"/>
    <col min="10242" max="10242" width="9.140625" style="224"/>
    <col min="10243" max="10243" width="7.5703125" style="224" customWidth="1"/>
    <col min="10244" max="10244" width="21.42578125" style="224" customWidth="1"/>
    <col min="10245" max="10245" width="19.140625" style="224" bestFit="1" customWidth="1"/>
    <col min="10246" max="10259" width="5.7109375" style="224" customWidth="1"/>
    <col min="10260" max="10496" width="9.140625" style="224"/>
    <col min="10497" max="10497" width="5.42578125" style="224" bestFit="1" customWidth="1"/>
    <col min="10498" max="10498" width="9.140625" style="224"/>
    <col min="10499" max="10499" width="7.5703125" style="224" customWidth="1"/>
    <col min="10500" max="10500" width="21.42578125" style="224" customWidth="1"/>
    <col min="10501" max="10501" width="19.140625" style="224" bestFit="1" customWidth="1"/>
    <col min="10502" max="10515" width="5.7109375" style="224" customWidth="1"/>
    <col min="10516" max="10752" width="9.140625" style="224"/>
    <col min="10753" max="10753" width="5.42578125" style="224" bestFit="1" customWidth="1"/>
    <col min="10754" max="10754" width="9.140625" style="224"/>
    <col min="10755" max="10755" width="7.5703125" style="224" customWidth="1"/>
    <col min="10756" max="10756" width="21.42578125" style="224" customWidth="1"/>
    <col min="10757" max="10757" width="19.140625" style="224" bestFit="1" customWidth="1"/>
    <col min="10758" max="10771" width="5.7109375" style="224" customWidth="1"/>
    <col min="10772" max="11008" width="9.140625" style="224"/>
    <col min="11009" max="11009" width="5.42578125" style="224" bestFit="1" customWidth="1"/>
    <col min="11010" max="11010" width="9.140625" style="224"/>
    <col min="11011" max="11011" width="7.5703125" style="224" customWidth="1"/>
    <col min="11012" max="11012" width="21.42578125" style="224" customWidth="1"/>
    <col min="11013" max="11013" width="19.140625" style="224" bestFit="1" customWidth="1"/>
    <col min="11014" max="11027" width="5.7109375" style="224" customWidth="1"/>
    <col min="11028" max="11264" width="9.140625" style="224"/>
    <col min="11265" max="11265" width="5.42578125" style="224" bestFit="1" customWidth="1"/>
    <col min="11266" max="11266" width="9.140625" style="224"/>
    <col min="11267" max="11267" width="7.5703125" style="224" customWidth="1"/>
    <col min="11268" max="11268" width="21.42578125" style="224" customWidth="1"/>
    <col min="11269" max="11269" width="19.140625" style="224" bestFit="1" customWidth="1"/>
    <col min="11270" max="11283" width="5.7109375" style="224" customWidth="1"/>
    <col min="11284" max="11520" width="9.140625" style="224"/>
    <col min="11521" max="11521" width="5.42578125" style="224" bestFit="1" customWidth="1"/>
    <col min="11522" max="11522" width="9.140625" style="224"/>
    <col min="11523" max="11523" width="7.5703125" style="224" customWidth="1"/>
    <col min="11524" max="11524" width="21.42578125" style="224" customWidth="1"/>
    <col min="11525" max="11525" width="19.140625" style="224" bestFit="1" customWidth="1"/>
    <col min="11526" max="11539" width="5.7109375" style="224" customWidth="1"/>
    <col min="11540" max="11776" width="9.140625" style="224"/>
    <col min="11777" max="11777" width="5.42578125" style="224" bestFit="1" customWidth="1"/>
    <col min="11778" max="11778" width="9.140625" style="224"/>
    <col min="11779" max="11779" width="7.5703125" style="224" customWidth="1"/>
    <col min="11780" max="11780" width="21.42578125" style="224" customWidth="1"/>
    <col min="11781" max="11781" width="19.140625" style="224" bestFit="1" customWidth="1"/>
    <col min="11782" max="11795" width="5.7109375" style="224" customWidth="1"/>
    <col min="11796" max="12032" width="9.140625" style="224"/>
    <col min="12033" max="12033" width="5.42578125" style="224" bestFit="1" customWidth="1"/>
    <col min="12034" max="12034" width="9.140625" style="224"/>
    <col min="12035" max="12035" width="7.5703125" style="224" customWidth="1"/>
    <col min="12036" max="12036" width="21.42578125" style="224" customWidth="1"/>
    <col min="12037" max="12037" width="19.140625" style="224" bestFit="1" customWidth="1"/>
    <col min="12038" max="12051" width="5.7109375" style="224" customWidth="1"/>
    <col min="12052" max="12288" width="9.140625" style="224"/>
    <col min="12289" max="12289" width="5.42578125" style="224" bestFit="1" customWidth="1"/>
    <col min="12290" max="12290" width="9.140625" style="224"/>
    <col min="12291" max="12291" width="7.5703125" style="224" customWidth="1"/>
    <col min="12292" max="12292" width="21.42578125" style="224" customWidth="1"/>
    <col min="12293" max="12293" width="19.140625" style="224" bestFit="1" customWidth="1"/>
    <col min="12294" max="12307" width="5.7109375" style="224" customWidth="1"/>
    <col min="12308" max="12544" width="9.140625" style="224"/>
    <col min="12545" max="12545" width="5.42578125" style="224" bestFit="1" customWidth="1"/>
    <col min="12546" max="12546" width="9.140625" style="224"/>
    <col min="12547" max="12547" width="7.5703125" style="224" customWidth="1"/>
    <col min="12548" max="12548" width="21.42578125" style="224" customWidth="1"/>
    <col min="12549" max="12549" width="19.140625" style="224" bestFit="1" customWidth="1"/>
    <col min="12550" max="12563" width="5.7109375" style="224" customWidth="1"/>
    <col min="12564" max="12800" width="9.140625" style="224"/>
    <col min="12801" max="12801" width="5.42578125" style="224" bestFit="1" customWidth="1"/>
    <col min="12802" max="12802" width="9.140625" style="224"/>
    <col min="12803" max="12803" width="7.5703125" style="224" customWidth="1"/>
    <col min="12804" max="12804" width="21.42578125" style="224" customWidth="1"/>
    <col min="12805" max="12805" width="19.140625" style="224" bestFit="1" customWidth="1"/>
    <col min="12806" max="12819" width="5.7109375" style="224" customWidth="1"/>
    <col min="12820" max="13056" width="9.140625" style="224"/>
    <col min="13057" max="13057" width="5.42578125" style="224" bestFit="1" customWidth="1"/>
    <col min="13058" max="13058" width="9.140625" style="224"/>
    <col min="13059" max="13059" width="7.5703125" style="224" customWidth="1"/>
    <col min="13060" max="13060" width="21.42578125" style="224" customWidth="1"/>
    <col min="13061" max="13061" width="19.140625" style="224" bestFit="1" customWidth="1"/>
    <col min="13062" max="13075" width="5.7109375" style="224" customWidth="1"/>
    <col min="13076" max="13312" width="9.140625" style="224"/>
    <col min="13313" max="13313" width="5.42578125" style="224" bestFit="1" customWidth="1"/>
    <col min="13314" max="13314" width="9.140625" style="224"/>
    <col min="13315" max="13315" width="7.5703125" style="224" customWidth="1"/>
    <col min="13316" max="13316" width="21.42578125" style="224" customWidth="1"/>
    <col min="13317" max="13317" width="19.140625" style="224" bestFit="1" customWidth="1"/>
    <col min="13318" max="13331" width="5.7109375" style="224" customWidth="1"/>
    <col min="13332" max="13568" width="9.140625" style="224"/>
    <col min="13569" max="13569" width="5.42578125" style="224" bestFit="1" customWidth="1"/>
    <col min="13570" max="13570" width="9.140625" style="224"/>
    <col min="13571" max="13571" width="7.5703125" style="224" customWidth="1"/>
    <col min="13572" max="13572" width="21.42578125" style="224" customWidth="1"/>
    <col min="13573" max="13573" width="19.140625" style="224" bestFit="1" customWidth="1"/>
    <col min="13574" max="13587" width="5.7109375" style="224" customWidth="1"/>
    <col min="13588" max="13824" width="9.140625" style="224"/>
    <col min="13825" max="13825" width="5.42578125" style="224" bestFit="1" customWidth="1"/>
    <col min="13826" max="13826" width="9.140625" style="224"/>
    <col min="13827" max="13827" width="7.5703125" style="224" customWidth="1"/>
    <col min="13828" max="13828" width="21.42578125" style="224" customWidth="1"/>
    <col min="13829" max="13829" width="19.140625" style="224" bestFit="1" customWidth="1"/>
    <col min="13830" max="13843" width="5.7109375" style="224" customWidth="1"/>
    <col min="13844" max="14080" width="9.140625" style="224"/>
    <col min="14081" max="14081" width="5.42578125" style="224" bestFit="1" customWidth="1"/>
    <col min="14082" max="14082" width="9.140625" style="224"/>
    <col min="14083" max="14083" width="7.5703125" style="224" customWidth="1"/>
    <col min="14084" max="14084" width="21.42578125" style="224" customWidth="1"/>
    <col min="14085" max="14085" width="19.140625" style="224" bestFit="1" customWidth="1"/>
    <col min="14086" max="14099" width="5.7109375" style="224" customWidth="1"/>
    <col min="14100" max="14336" width="9.140625" style="224"/>
    <col min="14337" max="14337" width="5.42578125" style="224" bestFit="1" customWidth="1"/>
    <col min="14338" max="14338" width="9.140625" style="224"/>
    <col min="14339" max="14339" width="7.5703125" style="224" customWidth="1"/>
    <col min="14340" max="14340" width="21.42578125" style="224" customWidth="1"/>
    <col min="14341" max="14341" width="19.140625" style="224" bestFit="1" customWidth="1"/>
    <col min="14342" max="14355" width="5.7109375" style="224" customWidth="1"/>
    <col min="14356" max="14592" width="9.140625" style="224"/>
    <col min="14593" max="14593" width="5.42578125" style="224" bestFit="1" customWidth="1"/>
    <col min="14594" max="14594" width="9.140625" style="224"/>
    <col min="14595" max="14595" width="7.5703125" style="224" customWidth="1"/>
    <col min="14596" max="14596" width="21.42578125" style="224" customWidth="1"/>
    <col min="14597" max="14597" width="19.140625" style="224" bestFit="1" customWidth="1"/>
    <col min="14598" max="14611" width="5.7109375" style="224" customWidth="1"/>
    <col min="14612" max="14848" width="9.140625" style="224"/>
    <col min="14849" max="14849" width="5.42578125" style="224" bestFit="1" customWidth="1"/>
    <col min="14850" max="14850" width="9.140625" style="224"/>
    <col min="14851" max="14851" width="7.5703125" style="224" customWidth="1"/>
    <col min="14852" max="14852" width="21.42578125" style="224" customWidth="1"/>
    <col min="14853" max="14853" width="19.140625" style="224" bestFit="1" customWidth="1"/>
    <col min="14854" max="14867" width="5.7109375" style="224" customWidth="1"/>
    <col min="14868" max="15104" width="9.140625" style="224"/>
    <col min="15105" max="15105" width="5.42578125" style="224" bestFit="1" customWidth="1"/>
    <col min="15106" max="15106" width="9.140625" style="224"/>
    <col min="15107" max="15107" width="7.5703125" style="224" customWidth="1"/>
    <col min="15108" max="15108" width="21.42578125" style="224" customWidth="1"/>
    <col min="15109" max="15109" width="19.140625" style="224" bestFit="1" customWidth="1"/>
    <col min="15110" max="15123" width="5.7109375" style="224" customWidth="1"/>
    <col min="15124" max="15360" width="9.140625" style="224"/>
    <col min="15361" max="15361" width="5.42578125" style="224" bestFit="1" customWidth="1"/>
    <col min="15362" max="15362" width="9.140625" style="224"/>
    <col min="15363" max="15363" width="7.5703125" style="224" customWidth="1"/>
    <col min="15364" max="15364" width="21.42578125" style="224" customWidth="1"/>
    <col min="15365" max="15365" width="19.140625" style="224" bestFit="1" customWidth="1"/>
    <col min="15366" max="15379" width="5.7109375" style="224" customWidth="1"/>
    <col min="15380" max="15616" width="9.140625" style="224"/>
    <col min="15617" max="15617" width="5.42578125" style="224" bestFit="1" customWidth="1"/>
    <col min="15618" max="15618" width="9.140625" style="224"/>
    <col min="15619" max="15619" width="7.5703125" style="224" customWidth="1"/>
    <col min="15620" max="15620" width="21.42578125" style="224" customWidth="1"/>
    <col min="15621" max="15621" width="19.140625" style="224" bestFit="1" customWidth="1"/>
    <col min="15622" max="15635" width="5.7109375" style="224" customWidth="1"/>
    <col min="15636" max="15872" width="9.140625" style="224"/>
    <col min="15873" max="15873" width="5.42578125" style="224" bestFit="1" customWidth="1"/>
    <col min="15874" max="15874" width="9.140625" style="224"/>
    <col min="15875" max="15875" width="7.5703125" style="224" customWidth="1"/>
    <col min="15876" max="15876" width="21.42578125" style="224" customWidth="1"/>
    <col min="15877" max="15877" width="19.140625" style="224" bestFit="1" customWidth="1"/>
    <col min="15878" max="15891" width="5.7109375" style="224" customWidth="1"/>
    <col min="15892" max="16128" width="9.140625" style="224"/>
    <col min="16129" max="16129" width="5.42578125" style="224" bestFit="1" customWidth="1"/>
    <col min="16130" max="16130" width="9.140625" style="224"/>
    <col min="16131" max="16131" width="7.5703125" style="224" customWidth="1"/>
    <col min="16132" max="16132" width="21.42578125" style="224" customWidth="1"/>
    <col min="16133" max="16133" width="19.140625" style="224" bestFit="1" customWidth="1"/>
    <col min="16134" max="16147" width="5.7109375" style="224" customWidth="1"/>
    <col min="16148" max="16384" width="9.140625" style="224"/>
  </cols>
  <sheetData>
    <row r="2" spans="1:19" ht="18.75" x14ac:dyDescent="0.3">
      <c r="D2" s="225" t="s">
        <v>215</v>
      </c>
      <c r="E2" s="226"/>
      <c r="F2" s="226"/>
      <c r="G2" s="226"/>
    </row>
    <row r="3" spans="1:19" x14ac:dyDescent="0.25">
      <c r="F3" s="227"/>
      <c r="G3" s="227"/>
      <c r="H3" s="227"/>
      <c r="I3" s="227"/>
      <c r="J3" s="227"/>
    </row>
    <row r="4" spans="1:19" x14ac:dyDescent="0.25">
      <c r="D4" s="228" t="s">
        <v>216</v>
      </c>
      <c r="E4" s="311"/>
      <c r="G4" s="422" t="s">
        <v>217</v>
      </c>
      <c r="H4" s="422"/>
      <c r="I4" s="423"/>
      <c r="J4" s="424"/>
      <c r="K4" s="424"/>
    </row>
    <row r="5" spans="1:19" x14ac:dyDescent="0.25">
      <c r="D5" s="228" t="s">
        <v>218</v>
      </c>
      <c r="E5" s="224" t="str">
        <f>Setup!B3</f>
        <v>Serieomgång 2</v>
      </c>
      <c r="G5" s="422" t="s">
        <v>219</v>
      </c>
      <c r="H5" s="422"/>
      <c r="I5" s="425">
        <f ca="1">TODAY()</f>
        <v>43241</v>
      </c>
      <c r="J5" s="425"/>
      <c r="K5" s="425"/>
      <c r="M5" s="426" t="s">
        <v>220</v>
      </c>
      <c r="N5" s="426"/>
      <c r="O5" s="426"/>
      <c r="P5" s="426"/>
      <c r="Q5" s="227"/>
      <c r="R5" s="227"/>
    </row>
    <row r="6" spans="1:19" ht="3" customHeight="1" x14ac:dyDescent="0.25">
      <c r="F6" s="227"/>
      <c r="G6" s="227"/>
      <c r="H6" s="227"/>
      <c r="I6" s="227"/>
      <c r="J6" s="227"/>
      <c r="K6" s="227"/>
      <c r="L6" s="227"/>
      <c r="M6" s="227"/>
      <c r="N6" s="227"/>
      <c r="O6" s="227"/>
      <c r="P6" s="227"/>
      <c r="Q6" s="227"/>
    </row>
    <row r="7" spans="1:19" x14ac:dyDescent="0.25">
      <c r="A7" s="229"/>
      <c r="B7" s="229"/>
      <c r="C7" s="246"/>
      <c r="D7" s="229"/>
      <c r="E7" s="230"/>
      <c r="F7" s="419" t="s">
        <v>221</v>
      </c>
      <c r="G7" s="420"/>
      <c r="H7" s="420"/>
      <c r="I7" s="421"/>
      <c r="J7" s="419" t="s">
        <v>222</v>
      </c>
      <c r="K7" s="420"/>
      <c r="L7" s="420"/>
      <c r="M7" s="421"/>
      <c r="N7" s="419" t="s">
        <v>223</v>
      </c>
      <c r="O7" s="420"/>
      <c r="P7" s="420"/>
      <c r="Q7" s="421"/>
      <c r="R7" s="229"/>
      <c r="S7" s="229"/>
    </row>
    <row r="8" spans="1:19" x14ac:dyDescent="0.25">
      <c r="A8" s="257" t="s">
        <v>224</v>
      </c>
      <c r="B8" s="257" t="s">
        <v>225</v>
      </c>
      <c r="C8" s="258" t="s">
        <v>226</v>
      </c>
      <c r="D8" s="257" t="s">
        <v>189</v>
      </c>
      <c r="E8" s="259" t="s">
        <v>227</v>
      </c>
      <c r="F8" s="260" t="s">
        <v>228</v>
      </c>
      <c r="G8" s="261" t="s">
        <v>229</v>
      </c>
      <c r="H8" s="261" t="s">
        <v>230</v>
      </c>
      <c r="I8" s="261" t="s">
        <v>231</v>
      </c>
      <c r="J8" s="261" t="s">
        <v>228</v>
      </c>
      <c r="K8" s="261" t="s">
        <v>229</v>
      </c>
      <c r="L8" s="261" t="s">
        <v>230</v>
      </c>
      <c r="M8" s="261" t="s">
        <v>231</v>
      </c>
      <c r="N8" s="261" t="s">
        <v>228</v>
      </c>
      <c r="O8" s="261" t="s">
        <v>229</v>
      </c>
      <c r="P8" s="261" t="s">
        <v>230</v>
      </c>
      <c r="Q8" s="261" t="s">
        <v>231</v>
      </c>
      <c r="R8" s="262" t="s">
        <v>191</v>
      </c>
      <c r="S8" s="262" t="s">
        <v>186</v>
      </c>
    </row>
    <row r="9" spans="1:19" ht="15" customHeight="1" x14ac:dyDescent="0.25">
      <c r="A9" s="263" t="s">
        <v>298</v>
      </c>
      <c r="B9" s="263" t="s">
        <v>326</v>
      </c>
      <c r="C9" s="264">
        <v>86.05</v>
      </c>
      <c r="D9" s="265" t="s">
        <v>307</v>
      </c>
      <c r="E9" s="266" t="s">
        <v>184</v>
      </c>
      <c r="F9" s="267">
        <v>165</v>
      </c>
      <c r="G9" s="268">
        <v>175</v>
      </c>
      <c r="H9" s="267">
        <v>180</v>
      </c>
      <c r="I9" s="281">
        <v>180</v>
      </c>
      <c r="J9" s="267">
        <v>110</v>
      </c>
      <c r="K9" s="267">
        <v>117.5</v>
      </c>
      <c r="L9" s="267">
        <v>122.5</v>
      </c>
      <c r="M9" s="281">
        <v>122.5</v>
      </c>
      <c r="N9" s="267">
        <v>200</v>
      </c>
      <c r="O9" s="267">
        <v>210</v>
      </c>
      <c r="P9" s="267">
        <v>215</v>
      </c>
      <c r="Q9" s="281">
        <v>215</v>
      </c>
      <c r="R9" s="267">
        <v>517.5</v>
      </c>
      <c r="S9" s="269">
        <v>338.34150552749634</v>
      </c>
    </row>
    <row r="10" spans="1:19" ht="15" customHeight="1" x14ac:dyDescent="0.25">
      <c r="A10" s="231" t="s">
        <v>298</v>
      </c>
      <c r="B10" s="231" t="s">
        <v>327</v>
      </c>
      <c r="C10" s="250">
        <v>90.9</v>
      </c>
      <c r="D10" s="232" t="s">
        <v>310</v>
      </c>
      <c r="E10" s="233" t="s">
        <v>244</v>
      </c>
      <c r="F10" s="234">
        <v>180</v>
      </c>
      <c r="G10" s="235">
        <v>187.5</v>
      </c>
      <c r="H10" s="234">
        <v>192.5</v>
      </c>
      <c r="I10" s="282">
        <v>192.5</v>
      </c>
      <c r="J10" s="234">
        <v>100</v>
      </c>
      <c r="K10" s="234"/>
      <c r="L10" s="234"/>
      <c r="M10" s="282">
        <v>100</v>
      </c>
      <c r="N10" s="234">
        <v>222.5</v>
      </c>
      <c r="O10" s="234">
        <v>230</v>
      </c>
      <c r="P10" s="234">
        <v>240</v>
      </c>
      <c r="Q10" s="282">
        <v>240</v>
      </c>
      <c r="R10" s="234">
        <v>532.5</v>
      </c>
      <c r="S10" s="270">
        <v>338.24401259422302</v>
      </c>
    </row>
    <row r="11" spans="1:19" ht="15" customHeight="1" x14ac:dyDescent="0.25">
      <c r="A11" s="263" t="s">
        <v>298</v>
      </c>
      <c r="B11" s="263" t="s">
        <v>328</v>
      </c>
      <c r="C11" s="264">
        <v>98.35</v>
      </c>
      <c r="D11" s="273" t="s">
        <v>309</v>
      </c>
      <c r="E11" s="266" t="s">
        <v>270</v>
      </c>
      <c r="F11" s="267">
        <v>195</v>
      </c>
      <c r="G11" s="268">
        <v>210</v>
      </c>
      <c r="H11" s="267">
        <v>215</v>
      </c>
      <c r="I11" s="281">
        <v>215</v>
      </c>
      <c r="J11" s="267">
        <v>-130</v>
      </c>
      <c r="K11" s="267">
        <v>130</v>
      </c>
      <c r="L11" s="267">
        <v>140</v>
      </c>
      <c r="M11" s="281">
        <v>140</v>
      </c>
      <c r="N11" s="267">
        <v>220</v>
      </c>
      <c r="O11" s="267">
        <v>235</v>
      </c>
      <c r="P11" s="267">
        <v>245</v>
      </c>
      <c r="Q11" s="281">
        <v>245</v>
      </c>
      <c r="R11" s="267">
        <v>600</v>
      </c>
      <c r="S11" s="269">
        <v>367.61999130249023</v>
      </c>
    </row>
    <row r="12" spans="1:19" ht="15" customHeight="1" x14ac:dyDescent="0.25">
      <c r="A12" s="231" t="s">
        <v>298</v>
      </c>
      <c r="B12" s="231" t="s">
        <v>329</v>
      </c>
      <c r="C12" s="250">
        <v>125.8</v>
      </c>
      <c r="D12" s="232" t="s">
        <v>312</v>
      </c>
      <c r="E12" s="233" t="s">
        <v>270</v>
      </c>
      <c r="F12" s="234">
        <v>180</v>
      </c>
      <c r="G12" s="235">
        <v>200</v>
      </c>
      <c r="H12" s="234">
        <v>210</v>
      </c>
      <c r="I12" s="282">
        <v>210</v>
      </c>
      <c r="J12" s="234">
        <v>130</v>
      </c>
      <c r="K12" s="234">
        <v>142.5</v>
      </c>
      <c r="L12" s="234">
        <v>150</v>
      </c>
      <c r="M12" s="282">
        <v>150</v>
      </c>
      <c r="N12" s="234">
        <v>220</v>
      </c>
      <c r="O12" s="234">
        <v>240</v>
      </c>
      <c r="P12" s="234">
        <v>250</v>
      </c>
      <c r="Q12" s="282">
        <v>250</v>
      </c>
      <c r="R12" s="234">
        <v>610</v>
      </c>
      <c r="S12" s="270">
        <v>347.15101361274719</v>
      </c>
    </row>
    <row r="13" spans="1:19" ht="15" customHeight="1" x14ac:dyDescent="0.25">
      <c r="A13" s="263" t="s">
        <v>298</v>
      </c>
      <c r="B13" s="263" t="s">
        <v>330</v>
      </c>
      <c r="C13" s="264">
        <v>82.35</v>
      </c>
      <c r="D13" s="265" t="s">
        <v>302</v>
      </c>
      <c r="E13" s="266" t="s">
        <v>246</v>
      </c>
      <c r="F13" s="267">
        <v>175</v>
      </c>
      <c r="G13" s="268">
        <v>185</v>
      </c>
      <c r="H13" s="267">
        <v>195</v>
      </c>
      <c r="I13" s="281">
        <v>195</v>
      </c>
      <c r="J13" s="267">
        <v>100</v>
      </c>
      <c r="K13" s="267">
        <v>107.5</v>
      </c>
      <c r="L13" s="267">
        <v>110</v>
      </c>
      <c r="M13" s="281">
        <v>110</v>
      </c>
      <c r="N13" s="267">
        <v>225</v>
      </c>
      <c r="O13" s="267">
        <v>240</v>
      </c>
      <c r="P13" s="267">
        <v>255</v>
      </c>
      <c r="Q13" s="281">
        <v>255</v>
      </c>
      <c r="R13" s="267">
        <v>560</v>
      </c>
      <c r="S13" s="269">
        <v>375.53599834442139</v>
      </c>
    </row>
    <row r="14" spans="1:19" ht="15" customHeight="1" x14ac:dyDescent="0.25">
      <c r="A14" s="231" t="s">
        <v>298</v>
      </c>
      <c r="B14" s="231" t="s">
        <v>331</v>
      </c>
      <c r="C14" s="250">
        <v>123.2</v>
      </c>
      <c r="D14" s="232" t="s">
        <v>301</v>
      </c>
      <c r="E14" s="233" t="s">
        <v>246</v>
      </c>
      <c r="F14" s="234">
        <v>230</v>
      </c>
      <c r="G14" s="235">
        <v>250</v>
      </c>
      <c r="H14" s="234">
        <v>-260</v>
      </c>
      <c r="I14" s="282">
        <v>250</v>
      </c>
      <c r="J14" s="234">
        <v>135</v>
      </c>
      <c r="K14" s="234">
        <v>142.5</v>
      </c>
      <c r="L14" s="234">
        <v>-150</v>
      </c>
      <c r="M14" s="282">
        <v>142.5</v>
      </c>
      <c r="N14" s="234">
        <v>240</v>
      </c>
      <c r="O14" s="234">
        <v>-260</v>
      </c>
      <c r="P14" s="234">
        <v>-260</v>
      </c>
      <c r="Q14" s="282">
        <v>240</v>
      </c>
      <c r="R14" s="234">
        <v>632.5</v>
      </c>
      <c r="S14" s="270">
        <v>361.53701260685921</v>
      </c>
    </row>
    <row r="15" spans="1:19" ht="15" customHeight="1" x14ac:dyDescent="0.25">
      <c r="A15" s="263" t="s">
        <v>298</v>
      </c>
      <c r="B15" s="263" t="s">
        <v>332</v>
      </c>
      <c r="C15" s="264">
        <v>125.8</v>
      </c>
      <c r="D15" s="265" t="s">
        <v>299</v>
      </c>
      <c r="E15" s="266" t="s">
        <v>213</v>
      </c>
      <c r="F15" s="267">
        <v>225</v>
      </c>
      <c r="G15" s="268">
        <v>240</v>
      </c>
      <c r="H15" s="267">
        <v>250</v>
      </c>
      <c r="I15" s="281">
        <v>250</v>
      </c>
      <c r="J15" s="267">
        <v>145</v>
      </c>
      <c r="K15" s="267">
        <v>155</v>
      </c>
      <c r="L15" s="267">
        <v>-162.5</v>
      </c>
      <c r="M15" s="281">
        <v>155</v>
      </c>
      <c r="N15" s="267">
        <v>265</v>
      </c>
      <c r="O15" s="267">
        <v>280</v>
      </c>
      <c r="P15" s="267">
        <v>-285</v>
      </c>
      <c r="Q15" s="281">
        <v>280</v>
      </c>
      <c r="R15" s="267">
        <v>685</v>
      </c>
      <c r="S15" s="269">
        <v>389.83351528644562</v>
      </c>
    </row>
    <row r="16" spans="1:19" ht="15" customHeight="1" x14ac:dyDescent="0.25">
      <c r="A16" s="231" t="s">
        <v>298</v>
      </c>
      <c r="B16" s="231" t="s">
        <v>333</v>
      </c>
      <c r="C16" s="250">
        <v>116.7</v>
      </c>
      <c r="D16" s="232" t="s">
        <v>303</v>
      </c>
      <c r="E16" s="233" t="s">
        <v>246</v>
      </c>
      <c r="F16" s="234">
        <v>210</v>
      </c>
      <c r="G16" s="235">
        <v>225</v>
      </c>
      <c r="H16" s="234">
        <v>230</v>
      </c>
      <c r="I16" s="282">
        <v>230</v>
      </c>
      <c r="J16" s="234">
        <v>145</v>
      </c>
      <c r="K16" s="234">
        <v>155</v>
      </c>
      <c r="L16" s="234">
        <v>160</v>
      </c>
      <c r="M16" s="282">
        <v>160</v>
      </c>
      <c r="N16" s="234">
        <v>255</v>
      </c>
      <c r="O16" s="234">
        <v>275</v>
      </c>
      <c r="P16" s="234">
        <v>-290</v>
      </c>
      <c r="Q16" s="282">
        <v>275</v>
      </c>
      <c r="R16" s="234">
        <v>665</v>
      </c>
      <c r="S16" s="270">
        <v>384.90201503038406</v>
      </c>
    </row>
    <row r="17" spans="1:19" ht="15" customHeight="1" x14ac:dyDescent="0.25">
      <c r="A17" s="263" t="s">
        <v>298</v>
      </c>
      <c r="B17" s="263" t="s">
        <v>334</v>
      </c>
      <c r="C17" s="264">
        <v>128.80000000000001</v>
      </c>
      <c r="D17" s="265" t="s">
        <v>304</v>
      </c>
      <c r="E17" s="266" t="s">
        <v>184</v>
      </c>
      <c r="F17" s="267">
        <v>240</v>
      </c>
      <c r="G17" s="268">
        <v>250</v>
      </c>
      <c r="H17" s="267">
        <v>255</v>
      </c>
      <c r="I17" s="281">
        <v>255</v>
      </c>
      <c r="J17" s="267">
        <v>160</v>
      </c>
      <c r="K17" s="267">
        <v>165</v>
      </c>
      <c r="L17" s="267">
        <v>-170</v>
      </c>
      <c r="M17" s="281">
        <v>165</v>
      </c>
      <c r="N17" s="267">
        <v>270</v>
      </c>
      <c r="O17" s="267">
        <v>280</v>
      </c>
      <c r="P17" s="267">
        <v>290</v>
      </c>
      <c r="Q17" s="281">
        <v>290</v>
      </c>
      <c r="R17" s="267">
        <v>710</v>
      </c>
      <c r="S17" s="269">
        <v>402.2150057554245</v>
      </c>
    </row>
    <row r="18" spans="1:19" ht="15" customHeight="1" x14ac:dyDescent="0.25">
      <c r="A18" s="231"/>
      <c r="B18" s="231"/>
      <c r="C18" s="250"/>
      <c r="D18" s="232"/>
      <c r="E18" s="233"/>
      <c r="F18" s="234"/>
      <c r="G18" s="235"/>
      <c r="H18" s="234"/>
      <c r="I18" s="282"/>
      <c r="J18" s="234"/>
      <c r="K18" s="234"/>
      <c r="L18" s="234"/>
      <c r="M18" s="282"/>
      <c r="N18" s="234"/>
      <c r="O18" s="234"/>
      <c r="P18" s="234"/>
      <c r="Q18" s="282"/>
      <c r="R18" s="234"/>
      <c r="S18" s="270"/>
    </row>
    <row r="19" spans="1:19" ht="15" customHeight="1" x14ac:dyDescent="0.25">
      <c r="A19" s="263"/>
      <c r="B19" s="263"/>
      <c r="C19" s="264"/>
      <c r="D19" s="265"/>
      <c r="E19" s="266"/>
      <c r="F19" s="267"/>
      <c r="G19" s="268"/>
      <c r="H19" s="267"/>
      <c r="I19" s="281"/>
      <c r="J19" s="267"/>
      <c r="K19" s="267"/>
      <c r="L19" s="267"/>
      <c r="M19" s="281"/>
      <c r="N19" s="267"/>
      <c r="O19" s="267"/>
      <c r="P19" s="267"/>
      <c r="Q19" s="281"/>
      <c r="R19" s="267"/>
      <c r="S19" s="269"/>
    </row>
    <row r="20" spans="1:19" x14ac:dyDescent="0.25">
      <c r="A20" s="231"/>
      <c r="B20" s="231"/>
      <c r="C20" s="250"/>
      <c r="D20" s="231"/>
      <c r="E20" s="236"/>
      <c r="F20" s="237"/>
      <c r="G20" s="234"/>
      <c r="H20" s="234"/>
      <c r="I20" s="282"/>
      <c r="J20" s="234"/>
      <c r="K20" s="234"/>
      <c r="L20" s="234"/>
      <c r="M20" s="282"/>
      <c r="N20" s="234"/>
      <c r="O20" s="234"/>
      <c r="P20" s="234"/>
      <c r="Q20" s="282"/>
      <c r="R20" s="234"/>
      <c r="S20" s="270"/>
    </row>
    <row r="21" spans="1:19" x14ac:dyDescent="0.25">
      <c r="A21" s="263"/>
      <c r="B21" s="263"/>
      <c r="C21" s="264"/>
      <c r="D21" s="263"/>
      <c r="E21" s="263"/>
      <c r="F21" s="267"/>
      <c r="G21" s="267"/>
      <c r="H21" s="267"/>
      <c r="I21" s="281"/>
      <c r="J21" s="267"/>
      <c r="K21" s="267"/>
      <c r="L21" s="267"/>
      <c r="M21" s="281"/>
      <c r="N21" s="267"/>
      <c r="O21" s="267"/>
      <c r="P21" s="267"/>
      <c r="Q21" s="281"/>
      <c r="R21" s="267"/>
      <c r="S21" s="269"/>
    </row>
    <row r="22" spans="1:19" x14ac:dyDescent="0.25">
      <c r="A22" s="231"/>
      <c r="B22" s="231"/>
      <c r="C22" s="250"/>
      <c r="D22" s="231"/>
      <c r="E22" s="231"/>
      <c r="F22" s="234"/>
      <c r="G22" s="234"/>
      <c r="H22" s="234"/>
      <c r="I22" s="282"/>
      <c r="J22" s="234"/>
      <c r="K22" s="234"/>
      <c r="L22" s="234"/>
      <c r="M22" s="282"/>
      <c r="N22" s="234"/>
      <c r="O22" s="234"/>
      <c r="P22" s="234"/>
      <c r="Q22" s="282"/>
      <c r="R22" s="234"/>
      <c r="S22" s="270"/>
    </row>
    <row r="23" spans="1:19" x14ac:dyDescent="0.25">
      <c r="A23" s="263"/>
      <c r="B23" s="263"/>
      <c r="C23" s="264"/>
      <c r="D23" s="263"/>
      <c r="E23" s="263"/>
      <c r="F23" s="267"/>
      <c r="G23" s="267"/>
      <c r="H23" s="267"/>
      <c r="I23" s="281"/>
      <c r="J23" s="267"/>
      <c r="K23" s="267"/>
      <c r="L23" s="267"/>
      <c r="M23" s="281"/>
      <c r="N23" s="267"/>
      <c r="O23" s="267"/>
      <c r="P23" s="267"/>
      <c r="Q23" s="281"/>
      <c r="R23" s="267"/>
      <c r="S23" s="269"/>
    </row>
    <row r="24" spans="1:19" x14ac:dyDescent="0.25">
      <c r="A24" s="231"/>
      <c r="B24" s="231"/>
      <c r="C24" s="250"/>
      <c r="D24" s="231"/>
      <c r="E24" s="231"/>
      <c r="F24" s="234"/>
      <c r="G24" s="234"/>
      <c r="H24" s="234"/>
      <c r="I24" s="282"/>
      <c r="J24" s="234"/>
      <c r="K24" s="234"/>
      <c r="L24" s="234"/>
      <c r="M24" s="282"/>
      <c r="N24" s="234"/>
      <c r="O24" s="234"/>
      <c r="P24" s="234"/>
      <c r="Q24" s="282"/>
      <c r="R24" s="234"/>
      <c r="S24" s="270"/>
    </row>
    <row r="25" spans="1:19" x14ac:dyDescent="0.25">
      <c r="A25" s="263"/>
      <c r="B25" s="263"/>
      <c r="C25" s="264"/>
      <c r="D25" s="263"/>
      <c r="E25" s="263"/>
      <c r="F25" s="267"/>
      <c r="G25" s="267"/>
      <c r="H25" s="267"/>
      <c r="I25" s="281"/>
      <c r="J25" s="267"/>
      <c r="K25" s="267"/>
      <c r="L25" s="267"/>
      <c r="M25" s="281"/>
      <c r="N25" s="267"/>
      <c r="O25" s="267"/>
      <c r="P25" s="267"/>
      <c r="Q25" s="281"/>
      <c r="R25" s="267"/>
      <c r="S25" s="269"/>
    </row>
    <row r="26" spans="1:19" x14ac:dyDescent="0.25">
      <c r="A26" s="238"/>
      <c r="B26" s="238"/>
      <c r="C26" s="247"/>
      <c r="D26" s="238"/>
      <c r="E26" s="238"/>
      <c r="F26" s="239"/>
      <c r="G26" s="239"/>
      <c r="H26" s="239"/>
      <c r="I26" s="239"/>
      <c r="J26" s="239"/>
      <c r="K26" s="239"/>
      <c r="L26" s="239"/>
      <c r="M26" s="239"/>
      <c r="N26" s="239"/>
      <c r="O26" s="239"/>
      <c r="P26" s="239"/>
      <c r="Q26" s="239"/>
      <c r="R26" s="239"/>
      <c r="S26" s="239"/>
    </row>
    <row r="27" spans="1:19" x14ac:dyDescent="0.25">
      <c r="A27" s="227"/>
      <c r="B27" s="227"/>
      <c r="C27" s="248"/>
      <c r="D27" s="227"/>
      <c r="E27" s="227"/>
      <c r="F27" s="227"/>
      <c r="G27" s="227"/>
      <c r="H27" s="227"/>
      <c r="I27" s="227"/>
      <c r="J27" s="227"/>
      <c r="K27" s="227"/>
      <c r="L27" s="227"/>
      <c r="M27" s="227"/>
      <c r="N27" s="227"/>
      <c r="O27" s="227"/>
      <c r="P27" s="227"/>
      <c r="Q27" s="227"/>
      <c r="R27" s="227"/>
      <c r="S27" s="227"/>
    </row>
    <row r="28" spans="1:19" x14ac:dyDescent="0.25">
      <c r="A28" s="240" t="s">
        <v>232</v>
      </c>
      <c r="B28" s="240"/>
      <c r="C28" s="249"/>
      <c r="D28" s="240"/>
      <c r="E28" s="240" t="s">
        <v>233</v>
      </c>
      <c r="F28" s="227"/>
      <c r="G28" s="240" t="s">
        <v>234</v>
      </c>
      <c r="H28" s="240"/>
      <c r="I28" s="240"/>
      <c r="J28" s="240"/>
      <c r="K28" s="240"/>
      <c r="L28" s="240"/>
      <c r="M28" s="240"/>
      <c r="N28" s="240"/>
      <c r="O28" s="240"/>
    </row>
    <row r="29" spans="1:19" ht="9.9499999999999993" customHeight="1" x14ac:dyDescent="0.25">
      <c r="F29" s="227"/>
    </row>
    <row r="30" spans="1:19" x14ac:dyDescent="0.25">
      <c r="A30" s="240" t="s">
        <v>235</v>
      </c>
      <c r="B30" s="240"/>
      <c r="C30" s="249"/>
      <c r="D30" s="240"/>
      <c r="E30" s="240" t="s">
        <v>233</v>
      </c>
      <c r="F30" s="227"/>
      <c r="G30" s="240" t="s">
        <v>236</v>
      </c>
      <c r="H30" s="240"/>
      <c r="I30" s="240"/>
      <c r="J30" s="240"/>
      <c r="K30" s="240"/>
      <c r="L30" s="240"/>
      <c r="M30" s="240"/>
      <c r="N30" s="240"/>
      <c r="O30" s="240"/>
    </row>
    <row r="31" spans="1:19" ht="9.9499999999999993" customHeight="1" x14ac:dyDescent="0.25">
      <c r="F31" s="227"/>
    </row>
    <row r="32" spans="1:19" x14ac:dyDescent="0.25">
      <c r="A32" s="240" t="s">
        <v>235</v>
      </c>
      <c r="B32" s="240"/>
      <c r="C32" s="249"/>
      <c r="D32" s="240"/>
      <c r="E32" s="240" t="s">
        <v>233</v>
      </c>
      <c r="F32" s="227"/>
    </row>
    <row r="33" spans="1:19" ht="9.9499999999999993" customHeight="1" x14ac:dyDescent="0.25">
      <c r="F33" s="227"/>
    </row>
    <row r="34" spans="1:19" x14ac:dyDescent="0.25">
      <c r="F34" s="227"/>
      <c r="G34" s="240" t="s">
        <v>237</v>
      </c>
      <c r="H34" s="240"/>
      <c r="I34" s="240"/>
      <c r="J34" s="240"/>
      <c r="K34" s="240"/>
      <c r="L34" s="240"/>
      <c r="M34" s="240"/>
      <c r="N34" s="240"/>
      <c r="O34" s="240"/>
      <c r="P34" s="240" t="s">
        <v>233</v>
      </c>
      <c r="Q34" s="240"/>
      <c r="R34" s="240"/>
      <c r="S34" s="240"/>
    </row>
    <row r="35" spans="1:19" ht="9.9499999999999993" customHeight="1" x14ac:dyDescent="0.25">
      <c r="F35" s="227"/>
      <c r="P35" s="227"/>
      <c r="Q35" s="227"/>
      <c r="R35" s="227"/>
      <c r="S35" s="227"/>
    </row>
    <row r="36" spans="1:19" x14ac:dyDescent="0.25">
      <c r="A36" s="240" t="s">
        <v>238</v>
      </c>
      <c r="B36" s="240"/>
      <c r="C36" s="249"/>
      <c r="D36" s="240"/>
      <c r="E36" s="240" t="s">
        <v>233</v>
      </c>
      <c r="F36" s="227"/>
      <c r="G36" s="240" t="s">
        <v>237</v>
      </c>
      <c r="H36" s="240"/>
      <c r="I36" s="240"/>
      <c r="J36" s="240"/>
      <c r="K36" s="240"/>
      <c r="L36" s="240"/>
      <c r="M36" s="240"/>
      <c r="N36" s="240"/>
      <c r="O36" s="240"/>
      <c r="P36" s="240" t="s">
        <v>233</v>
      </c>
      <c r="Q36" s="240"/>
      <c r="R36" s="240"/>
      <c r="S36" s="240"/>
    </row>
    <row r="37" spans="1:19" ht="9.9499999999999993" customHeight="1" x14ac:dyDescent="0.25">
      <c r="F37" s="227"/>
      <c r="P37" s="227"/>
      <c r="Q37" s="227"/>
      <c r="R37" s="227"/>
      <c r="S37" s="227"/>
    </row>
    <row r="38" spans="1:19" x14ac:dyDescent="0.25">
      <c r="A38" s="240" t="s">
        <v>239</v>
      </c>
      <c r="B38" s="240"/>
      <c r="C38" s="249"/>
      <c r="D38" s="240"/>
      <c r="E38" s="240" t="s">
        <v>233</v>
      </c>
      <c r="F38" s="227"/>
      <c r="G38" s="240" t="s">
        <v>237</v>
      </c>
      <c r="H38" s="240"/>
      <c r="I38" s="240"/>
      <c r="J38" s="240"/>
      <c r="K38" s="240"/>
      <c r="L38" s="240"/>
      <c r="M38" s="240"/>
      <c r="N38" s="240"/>
      <c r="O38" s="240"/>
      <c r="P38" s="240" t="s">
        <v>233</v>
      </c>
      <c r="Q38" s="240"/>
      <c r="R38" s="240"/>
      <c r="S38" s="240"/>
    </row>
    <row r="39" spans="1:19" ht="9.9499999999999993" customHeight="1" x14ac:dyDescent="0.25"/>
  </sheetData>
  <mergeCells count="8">
    <mergeCell ref="F7:I7"/>
    <mergeCell ref="J7:M7"/>
    <mergeCell ref="N7:Q7"/>
    <mergeCell ref="G4:H4"/>
    <mergeCell ref="I4:K4"/>
    <mergeCell ref="G5:H5"/>
    <mergeCell ref="I5:K5"/>
    <mergeCell ref="M5:P5"/>
  </mergeCells>
  <pageMargins left="0.39370078740157483" right="0.39370078740157483" top="0.39370078740157483" bottom="0.39370078740157483" header="0" footer="0"/>
  <pageSetup paperSize="9" scale="9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pageSetUpPr fitToPage="1"/>
  </sheetPr>
  <dimension ref="A1:AH3"/>
  <sheetViews>
    <sheetView workbookViewId="0">
      <selection sqref="A1:B2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23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429">
        <f ca="1">TODAY()</f>
        <v>43241</v>
      </c>
      <c r="B1" s="429"/>
      <c r="C1" s="427" t="str">
        <f>Setup!B3</f>
        <v>Serieomgång 2</v>
      </c>
      <c r="D1" s="427"/>
      <c r="E1" s="427"/>
      <c r="F1" s="427"/>
      <c r="G1" s="427"/>
      <c r="H1" s="427"/>
      <c r="I1" s="427"/>
      <c r="J1" s="427"/>
      <c r="K1" s="427"/>
      <c r="L1" s="427"/>
      <c r="M1" s="427"/>
      <c r="N1" s="427"/>
      <c r="O1" s="427"/>
      <c r="P1" s="427"/>
      <c r="Q1" s="427"/>
      <c r="R1" s="427"/>
      <c r="S1" s="427"/>
      <c r="T1" s="427"/>
      <c r="U1" s="427"/>
      <c r="V1" s="427"/>
      <c r="W1" s="427"/>
      <c r="X1" s="427"/>
      <c r="Y1" s="427"/>
      <c r="Z1" s="427"/>
      <c r="AA1" s="427"/>
      <c r="AB1" s="427"/>
      <c r="AC1" s="427"/>
      <c r="AD1" s="427"/>
      <c r="AG1" s="29">
        <f ca="1">COUNTA(A:A)+8</f>
        <v>10</v>
      </c>
    </row>
    <row r="2" spans="1:33" s="29" customFormat="1" ht="12.75" customHeight="1" x14ac:dyDescent="0.2">
      <c r="A2" s="430"/>
      <c r="B2" s="430"/>
      <c r="C2" s="428"/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  <c r="O2" s="428"/>
      <c r="P2" s="428"/>
      <c r="Q2" s="428"/>
      <c r="R2" s="428"/>
      <c r="S2" s="428"/>
      <c r="T2" s="428"/>
      <c r="U2" s="428"/>
      <c r="V2" s="428"/>
      <c r="W2" s="428"/>
      <c r="X2" s="428"/>
      <c r="Y2" s="428"/>
      <c r="Z2" s="428"/>
      <c r="AA2" s="428"/>
      <c r="AB2" s="428"/>
      <c r="AC2" s="428"/>
      <c r="AD2" s="428"/>
    </row>
    <row r="3" spans="1:33" s="189" customFormat="1" ht="25.5" x14ac:dyDescent="0.2">
      <c r="A3" s="190" t="s">
        <v>60</v>
      </c>
      <c r="B3" s="191" t="s">
        <v>0</v>
      </c>
      <c r="C3" s="192" t="s">
        <v>41</v>
      </c>
      <c r="D3" s="193" t="s">
        <v>2</v>
      </c>
      <c r="E3" s="193" t="str">
        <f>Lifting!$E$7</f>
        <v>Bwt (kg)</v>
      </c>
      <c r="F3" s="193" t="str">
        <f>IF(E3="Bwt (lb)","WtCls (lb)","WtCls (kg)")</f>
        <v>WtCls (kg)</v>
      </c>
      <c r="G3" s="193" t="s">
        <v>1</v>
      </c>
      <c r="H3" s="193" t="s">
        <v>5</v>
      </c>
      <c r="I3" s="222" t="s">
        <v>187</v>
      </c>
      <c r="J3" s="193" t="s">
        <v>4</v>
      </c>
      <c r="K3" s="193" t="s">
        <v>8</v>
      </c>
      <c r="L3" s="193" t="s">
        <v>9</v>
      </c>
      <c r="M3" s="193" t="s">
        <v>10</v>
      </c>
      <c r="N3" s="193" t="s">
        <v>11</v>
      </c>
      <c r="O3" s="193" t="s">
        <v>12</v>
      </c>
      <c r="P3" s="193" t="s">
        <v>13</v>
      </c>
      <c r="Q3" s="193" t="s">
        <v>14</v>
      </c>
      <c r="R3" s="193" t="s">
        <v>15</v>
      </c>
      <c r="S3" s="193" t="s">
        <v>16</v>
      </c>
      <c r="T3" s="193" t="s">
        <v>21</v>
      </c>
      <c r="U3" s="193" t="s">
        <v>17</v>
      </c>
      <c r="V3" s="193" t="s">
        <v>18</v>
      </c>
      <c r="W3" s="193" t="s">
        <v>19</v>
      </c>
      <c r="X3" s="193" t="s">
        <v>20</v>
      </c>
      <c r="Y3" s="193" t="s">
        <v>22</v>
      </c>
      <c r="Z3" s="194" t="s">
        <v>127</v>
      </c>
      <c r="AA3" s="194" t="s">
        <v>186</v>
      </c>
      <c r="AB3" s="194" t="s">
        <v>185</v>
      </c>
      <c r="AC3" s="193" t="s">
        <v>26</v>
      </c>
      <c r="AD3" s="193" t="s">
        <v>134</v>
      </c>
    </row>
  </sheetData>
  <mergeCells count="2">
    <mergeCell ref="C1:AD2"/>
    <mergeCell ref="A1:B2"/>
  </mergeCells>
  <phoneticPr fontId="15" type="noConversion"/>
  <conditionalFormatting sqref="Y3">
    <cfRule type="expression" dxfId="11" priority="72" stopIfTrue="1">
      <formula>AND(COLUMN(Y3)=#REF!)</formula>
    </cfRule>
  </conditionalFormatting>
  <conditionalFormatting sqref="Z4:Z64342">
    <cfRule type="expression" dxfId="10" priority="73" stopIfTrue="1">
      <formula>AND(AC4=1)</formula>
    </cfRule>
  </conditionalFormatting>
  <conditionalFormatting sqref="AA4:AA64342">
    <cfRule type="expression" dxfId="9" priority="74" stopIfTrue="1">
      <formula>AND($AC4=2)</formula>
    </cfRule>
  </conditionalFormatting>
  <conditionalFormatting sqref="AB4:AB64342">
    <cfRule type="expression" dxfId="8" priority="75" stopIfTrue="1">
      <formula>AND(AC4=3)</formula>
    </cfRule>
  </conditionalFormatting>
  <conditionalFormatting sqref="L1:X1048576">
    <cfRule type="cellIs" dxfId="7" priority="76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T30"/>
  <sheetViews>
    <sheetView topLeftCell="A2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121</v>
      </c>
      <c r="M2" s="70" t="s">
        <v>122</v>
      </c>
      <c r="O2" s="70" t="s">
        <v>120</v>
      </c>
      <c r="Q2" s="71" t="str">
        <f ca="1">OFFSET(P2,MATCH(C11,O3:O7,0),1)</f>
        <v>PL</v>
      </c>
      <c r="R2" s="71" t="s">
        <v>134</v>
      </c>
      <c r="S2" s="70" t="s">
        <v>132</v>
      </c>
    </row>
    <row r="3" spans="1:19" ht="15" customHeight="1" x14ac:dyDescent="0.25">
      <c r="A3" s="431" t="s">
        <v>177</v>
      </c>
      <c r="B3" s="432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127</v>
      </c>
      <c r="Q3" s="68" t="s">
        <v>109</v>
      </c>
      <c r="R3" s="68" t="e">
        <f ca="1">CONCATENATE("1-",$P$11,IF($P$12&gt;1,"",CONCATENATE("-",$C$8)),"-",$Q$2)</f>
        <v>#N/A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432"/>
      <c r="B4" s="432"/>
      <c r="C4" s="433" t="s">
        <v>139</v>
      </c>
      <c r="D4" s="433"/>
      <c r="K4" s="69">
        <v>47</v>
      </c>
      <c r="L4" s="69">
        <v>105</v>
      </c>
      <c r="M4" s="69">
        <v>48</v>
      </c>
      <c r="N4" s="69"/>
      <c r="O4" s="69" t="s">
        <v>128</v>
      </c>
      <c r="Q4" s="68" t="s">
        <v>116</v>
      </c>
      <c r="R4" s="68" t="e">
        <f ca="1">CONCATENATE("2-",$P$11,IF($P$12&gt;1,"",CONCATENATE("-",$C$8)),"-",$Q$2)</f>
        <v>#N/A</v>
      </c>
      <c r="S4" s="69" t="e">
        <f ca="1">MATCH(R4,ContestResults!AD:AD,0)</f>
        <v>#N/A</v>
      </c>
    </row>
    <row r="5" spans="1:19" ht="15" customHeight="1" x14ac:dyDescent="0.25">
      <c r="A5" s="432"/>
      <c r="B5" s="432"/>
      <c r="C5" s="434" t="s">
        <v>170</v>
      </c>
      <c r="D5" s="434"/>
      <c r="K5" s="69">
        <v>52</v>
      </c>
      <c r="L5" s="69">
        <v>114</v>
      </c>
      <c r="M5" s="69">
        <v>52</v>
      </c>
      <c r="N5" s="69"/>
      <c r="O5" s="69" t="s">
        <v>129</v>
      </c>
      <c r="Q5" s="68" t="s">
        <v>117</v>
      </c>
      <c r="R5" s="68" t="e">
        <f ca="1">CONCATENATE("3-",$P$11,IF($P$12&gt;1,"",CONCATENATE("-",$C$8)),"-",$Q$2)</f>
        <v>#N/A</v>
      </c>
      <c r="S5" s="69" t="e">
        <f ca="1">MATCH(R5,ContestResults!AD:AD,0)</f>
        <v>#N/A</v>
      </c>
    </row>
    <row r="6" spans="1:19" ht="15" customHeight="1" x14ac:dyDescent="0.25">
      <c r="A6" s="432"/>
      <c r="B6" s="432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130</v>
      </c>
      <c r="Q6" s="68" t="s">
        <v>118</v>
      </c>
      <c r="R6" s="68" t="e">
        <f ca="1">CONCATENATE("4-",$P$11,IF($P$12&gt;1,"",CONCATENATE("-",$C$8)),"-",$Q$2)</f>
        <v>#N/A</v>
      </c>
      <c r="S6" s="69" t="e">
        <f ca="1">MATCH(R6,ContestResults!AD:AD,0)</f>
        <v>#N/A</v>
      </c>
    </row>
    <row r="7" spans="1:19" ht="15" customHeight="1" x14ac:dyDescent="0.25">
      <c r="A7" s="432"/>
      <c r="B7" s="432"/>
      <c r="C7" s="435" t="str">
        <f>CONCATENATE("WtCls ",RIGHT('Weigh-In'!E2,4))</f>
        <v>WtCls (kg)</v>
      </c>
      <c r="D7" s="435"/>
      <c r="K7" s="69">
        <v>57</v>
      </c>
      <c r="L7" s="69">
        <v>132</v>
      </c>
      <c r="M7" s="69">
        <v>60</v>
      </c>
      <c r="N7" s="69"/>
      <c r="O7" s="69" t="s">
        <v>131</v>
      </c>
      <c r="Q7" s="68" t="s">
        <v>119</v>
      </c>
      <c r="R7" s="68" t="e">
        <f ca="1">CONCATENATE("5-",$P$11,IF($P$12&gt;1,"",CONCATENATE("-",$C$8)),"-",$Q$2)</f>
        <v>#N/A</v>
      </c>
      <c r="S7" s="69" t="e">
        <f ca="1">MATCH(R7,ContestResults!AD:AD,0)</f>
        <v>#N/A</v>
      </c>
    </row>
    <row r="8" spans="1:19" ht="15" customHeight="1" x14ac:dyDescent="0.25">
      <c r="A8" s="432"/>
      <c r="B8" s="432"/>
      <c r="C8" s="434">
        <v>83</v>
      </c>
      <c r="D8" s="434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432"/>
      <c r="B9" s="432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135</v>
      </c>
      <c r="S9" s="71"/>
    </row>
    <row r="10" spans="1:19" ht="15" customHeight="1" x14ac:dyDescent="0.25">
      <c r="A10" s="432"/>
      <c r="B10" s="432"/>
      <c r="C10" s="433" t="s">
        <v>120</v>
      </c>
      <c r="D10" s="433"/>
      <c r="K10" s="69">
        <v>66</v>
      </c>
      <c r="L10" s="69">
        <v>181</v>
      </c>
      <c r="M10" s="69">
        <v>82.5</v>
      </c>
      <c r="N10" s="69"/>
      <c r="O10" s="69" t="s">
        <v>136</v>
      </c>
      <c r="P10" s="68" t="str">
        <f>CONCATENATE("Setup!C12:C",COUNTA(Setup!B:B)+8)</f>
        <v>Setup!C12:C15</v>
      </c>
      <c r="S10" s="71"/>
    </row>
    <row r="11" spans="1:19" ht="15" customHeight="1" x14ac:dyDescent="0.25">
      <c r="A11" s="432"/>
      <c r="B11" s="432"/>
      <c r="C11" s="434" t="s">
        <v>127</v>
      </c>
      <c r="D11" s="434"/>
      <c r="K11" s="69">
        <v>72</v>
      </c>
      <c r="L11" s="69">
        <v>198</v>
      </c>
      <c r="M11" s="69">
        <v>90</v>
      </c>
      <c r="N11" s="69"/>
      <c r="O11" s="69" t="s">
        <v>137</v>
      </c>
      <c r="P11" s="69" t="e">
        <f ca="1">OFFSET(Setup!B1,MATCH(C5,Setup!C:C,0)-1,0)</f>
        <v>#N/A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123</v>
      </c>
      <c r="M12" s="69" t="s">
        <v>125</v>
      </c>
      <c r="N12" s="69"/>
      <c r="O12" s="69" t="s">
        <v>138</v>
      </c>
      <c r="P12" s="69" t="e">
        <f ca="1">OFFSET(Setup!F1,MATCH(C5,Setup!C:C,0)-1,0)</f>
        <v>#N/A</v>
      </c>
      <c r="S12" s="71"/>
    </row>
    <row r="13" spans="1:19" ht="15" customHeight="1" x14ac:dyDescent="0.25">
      <c r="A13" s="78" t="s">
        <v>140</v>
      </c>
      <c r="B13" s="66" t="s">
        <v>0</v>
      </c>
      <c r="C13" s="66" t="str">
        <f>IF(Lifting!F2="Lb","Pounds","Kilos")</f>
        <v>Kilos</v>
      </c>
      <c r="D13" s="72" t="e">
        <f ca="1">IF(P12=1,"",IF(P12=2,"Wilks Pts","Wilks-Age Pts"))</f>
        <v>#N/A</v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e">
        <f ca="1">IF(OR($P$12=1,ISERROR(S3)),"",IF(P12=2,OFFSET(ContestResults!$AA$1,S3-1,0),OFFSET(ContestResults!$AB$1,S3-1,0)))</f>
        <v>#N/A</v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e">
        <f ca="1">IF(OR($P$12=1,ISERROR(S4)),"",IF(P12=2,OFFSET(ContestResults!$AA$1,S4-1,0),OFFSET(ContestResults!$AB$1,S4-1,0)))</f>
        <v>#N/A</v>
      </c>
      <c r="K15" s="69" t="s">
        <v>167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e">
        <f ca="1">IF(OR($P$12=1,ISERROR(S5)),"",IF(P12=2,OFFSET(ContestResults!$AA$1,S5-1,0),OFFSET(ContestResults!$AB$1,S5-1,0)))</f>
        <v>#N/A</v>
      </c>
      <c r="K16" s="69">
        <v>93</v>
      </c>
      <c r="L16" s="69" t="s">
        <v>124</v>
      </c>
      <c r="M16" s="69" t="s">
        <v>126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e">
        <f ca="1">IF(OR($P$12=1,ISERROR(S6)),"",IF(P12=2,OFFSET(ContestResults!$AA$1,S6-1,0),OFFSET(ContestResults!$AB$1,S6-1,0)))</f>
        <v>#N/A</v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e">
        <f ca="1">IF(OR($P$12=1,ISERROR(S7)),"",IF(P12=2,OFFSET(ContestResults!$AA$1,S7-1,0),OFFSET(ContestResults!$AB$1,S7-1,0)))</f>
        <v>#N/A</v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165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132</v>
      </c>
      <c r="C25" s="75" t="s">
        <v>144</v>
      </c>
      <c r="D25" s="75" t="s">
        <v>142</v>
      </c>
      <c r="E25" s="75" t="s">
        <v>145</v>
      </c>
      <c r="F25" s="75" t="s">
        <v>143</v>
      </c>
      <c r="G25" s="75" t="s">
        <v>120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e">
        <f ca="1">LEFT(P11,1)</f>
        <v>#N/A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5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 xr:uid="{00000000-0002-0000-0A00-000000000000}">
      <formula1>INDIRECT($P$10)</formula1>
    </dataValidation>
    <dataValidation type="list" allowBlank="1" showInputMessage="1" showErrorMessage="1" sqref="C11" xr:uid="{00000000-0002-0000-0A00-000001000000}">
      <formula1>$O$3:$O$7</formula1>
    </dataValidation>
    <dataValidation type="list" allowBlank="1" showInputMessage="1" showErrorMessage="1" sqref="C8:D8" xr:uid="{00000000-0002-0000-0A00-000002000000}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2018-05-20T13:57:28Z</cp:lastPrinted>
  <dcterms:created xsi:type="dcterms:W3CDTF">2007-05-21T13:10:26Z</dcterms:created>
  <dcterms:modified xsi:type="dcterms:W3CDTF">2018-05-21T13:02:50Z</dcterms:modified>
</cp:coreProperties>
</file>