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BB9" i="1"/>
  <c r="BB11" i="1"/>
  <c r="AC10" i="1"/>
  <c r="AC9" i="1"/>
  <c r="AC11" i="1"/>
  <c r="BB10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8" i="1"/>
  <c r="BE5" i="1"/>
  <c r="BB8" i="1"/>
  <c r="BA6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H11" i="1"/>
  <c r="BE6" i="1"/>
  <c r="AQ11" i="1"/>
  <c r="AQ10" i="1"/>
  <c r="AQ8" i="1"/>
  <c r="AV1" i="1"/>
  <c r="AQ9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1" i="1"/>
  <c r="AY5" i="1"/>
  <c r="AY4" i="1"/>
  <c r="AH10" i="1"/>
  <c r="BD6" i="1"/>
  <c r="AH9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2" i="1"/>
  <c r="A3" i="1"/>
  <c r="AI9" i="1"/>
  <c r="AI11" i="1"/>
  <c r="AN9" i="1"/>
  <c r="P3" i="2"/>
  <c r="AK10" i="1"/>
  <c r="AN11" i="1"/>
  <c r="C2" i="1"/>
  <c r="AK9" i="1"/>
  <c r="AN8" i="1"/>
  <c r="A4" i="1"/>
  <c r="AN10" i="1"/>
  <c r="AI10" i="1"/>
  <c r="F4" i="1"/>
  <c r="AK11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<sst xmlns="http://schemas.openxmlformats.org/spreadsheetml/2006/main" count="482" uniqueCount="204">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</sst>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0" fontId="34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6" fillId="0" borderId="43" xfId="0" applyFont="1" applyFill="1" applyBorder="1" applyAlignment="1">
      <alignment horizontal="center" vertical="top" shrinkToFit="1"/>
    </xf>
    <xf numFmtId="0" fontId="36" fillId="0" borderId="36" xfId="0" applyFont="1" applyFill="1" applyBorder="1" applyAlignment="1">
      <alignment horizontal="center" vertical="top" shrinkToFit="1"/>
    </xf>
    <xf numFmtId="0" fontId="37" fillId="0" borderId="45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5" fillId="0" borderId="1" xfId="0" applyFont="1" applyFill="1" applyBorder="1" applyAlignment="1">
      <alignment horizontal="center" vertical="center" shrinkToFit="1"/>
    </xf>
    <xf numFmtId="0" fontId="36" fillId="0" borderId="44" xfId="0" applyFont="1" applyFill="1" applyBorder="1" applyAlignment="1">
      <alignment horizontal="center" vertical="top" shrinkToFit="1"/>
    </xf>
    <xf numFmtId="0" fontId="36" fillId="0" borderId="35" xfId="0" applyFont="1" applyFill="1" applyBorder="1" applyAlignment="1">
      <alignment horizontal="center" vertical="top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5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3" fillId="2" borderId="0" xfId="0" applyFont="1" applyFill="1" applyBorder="1"/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0" fontId="30" fillId="0" borderId="4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4" xfId="0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2" borderId="3" xfId="0" applyFont="1" applyFill="1" applyBorder="1" applyAlignment="1" applyProtection="1">
      <alignment horizontal="center" shrinkToFit="1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jpg"/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86" t="s">
        <v>198</v>
      </c>
      <c r="C3" s="187"/>
      <c r="D3" s="187"/>
      <c r="E3" s="187"/>
      <c r="F3" s="188"/>
      <c r="H3" s="172" t="s">
        <v>162</v>
      </c>
      <c r="I3" s="173"/>
      <c r="J3" s="174"/>
      <c r="K3" s="180" t="s">
        <v>163</v>
      </c>
      <c r="L3" s="181"/>
      <c r="M3" s="178" t="s">
        <v>177</v>
      </c>
      <c r="O3" s="156" t="s">
        <v>150</v>
      </c>
      <c r="P3" s="157"/>
      <c r="Q3" s="157"/>
      <c r="R3" s="158"/>
      <c r="W3" s="1" t="s">
        <v>62</v>
      </c>
    </row>
    <row r="4" spans="1:23" ht="13.5" customHeight="1" thickBot="1" x14ac:dyDescent="0.25">
      <c r="B4" s="189"/>
      <c r="C4" s="190"/>
      <c r="D4" s="190"/>
      <c r="E4" s="190"/>
      <c r="F4" s="191"/>
      <c r="H4" s="175"/>
      <c r="I4" s="176"/>
      <c r="J4" s="177"/>
      <c r="K4" s="182"/>
      <c r="L4" s="183"/>
      <c r="M4" s="179"/>
      <c r="O4" s="159"/>
      <c r="P4" s="160"/>
      <c r="Q4" s="160"/>
      <c r="R4" s="16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62" t="s">
        <v>152</v>
      </c>
      <c r="Q5" s="162"/>
      <c r="R5" s="16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39" t="s">
        <v>189</v>
      </c>
      <c r="Q6" s="139"/>
      <c r="R6" s="140"/>
      <c r="W6" s="1" t="s">
        <v>65</v>
      </c>
    </row>
    <row r="7" spans="1:23" x14ac:dyDescent="0.2">
      <c r="B7" s="186" t="s">
        <v>61</v>
      </c>
      <c r="C7" s="187"/>
      <c r="D7" s="187"/>
      <c r="E7" s="187"/>
      <c r="F7" s="188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53"/>
      <c r="Q7" s="139"/>
      <c r="R7" s="140"/>
      <c r="W7" s="1"/>
    </row>
    <row r="8" spans="1:23" ht="13.5" thickBot="1" x14ac:dyDescent="0.25">
      <c r="B8" s="189"/>
      <c r="C8" s="190"/>
      <c r="D8" s="190"/>
      <c r="E8" s="190"/>
      <c r="F8" s="191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53"/>
      <c r="Q8" s="139"/>
      <c r="R8" s="1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53"/>
      <c r="Q9" s="139"/>
      <c r="R9" s="1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53"/>
      <c r="Q10" s="139"/>
      <c r="R10" s="140"/>
    </row>
    <row r="11" spans="1:23" x14ac:dyDescent="0.2">
      <c r="B11" s="14" t="s">
        <v>73</v>
      </c>
      <c r="C11" s="192" t="s">
        <v>74</v>
      </c>
      <c r="D11" s="193"/>
      <c r="E11" s="194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53"/>
      <c r="Q11" s="139"/>
      <c r="R11" s="140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53"/>
      <c r="Q12" s="139"/>
      <c r="R12" s="140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53"/>
      <c r="Q13" s="139"/>
      <c r="R13" s="140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53"/>
      <c r="Q14" s="139"/>
      <c r="R14" s="140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53"/>
      <c r="Q15" s="139"/>
      <c r="R15" s="140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53"/>
      <c r="Q16" s="139"/>
      <c r="R16" s="140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53"/>
      <c r="Q17" s="139"/>
      <c r="R17" s="140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53"/>
      <c r="Q18" s="139"/>
      <c r="R18" s="140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53"/>
      <c r="Q19" s="139"/>
      <c r="R19" s="140"/>
    </row>
    <row r="20" spans="2:19" x14ac:dyDescent="0.2">
      <c r="B20" s="68"/>
      <c r="C20" s="134"/>
      <c r="D20" s="135"/>
      <c r="E20" s="136"/>
      <c r="F20" s="69"/>
      <c r="H20" s="184" t="s">
        <v>176</v>
      </c>
      <c r="I20" s="185"/>
      <c r="J20" s="98">
        <v>55</v>
      </c>
      <c r="K20" s="154" t="s">
        <v>176</v>
      </c>
      <c r="L20" s="155"/>
      <c r="M20" s="99">
        <v>25</v>
      </c>
      <c r="O20" s="11"/>
      <c r="P20" s="139"/>
      <c r="Q20" s="139"/>
      <c r="R20" s="140"/>
    </row>
    <row r="21" spans="2:19" x14ac:dyDescent="0.2">
      <c r="B21" s="68"/>
      <c r="C21" s="134"/>
      <c r="D21" s="135"/>
      <c r="E21" s="136"/>
      <c r="F21" s="69"/>
      <c r="H21" s="164">
        <f>H9*I9+H10*I10+H11*I11+H12*I12+H13*I13+H14*I14+H15*I15+H16*I16+H17*I17+H18*I18+H19*I19+55</f>
        <v>1080</v>
      </c>
      <c r="I21" s="168" t="s">
        <v>77</v>
      </c>
      <c r="J21" s="169"/>
      <c r="K21" s="166">
        <f>K9*L9+K10*L10+K11*L11+K12*L12+K13*L13+K14*L14+K15*L15+K16*L16+K17*L17+K18*L18+K19*L19+25</f>
        <v>485</v>
      </c>
      <c r="L21" s="168" t="s">
        <v>78</v>
      </c>
      <c r="M21" s="169"/>
      <c r="O21" s="11"/>
      <c r="P21" s="139"/>
      <c r="Q21" s="139"/>
      <c r="R21" s="140"/>
    </row>
    <row r="22" spans="2:19" ht="13.5" thickBot="1" x14ac:dyDescent="0.25">
      <c r="B22" s="68"/>
      <c r="C22" s="134"/>
      <c r="D22" s="135"/>
      <c r="E22" s="136"/>
      <c r="F22" s="69"/>
      <c r="H22" s="165"/>
      <c r="I22" s="170"/>
      <c r="J22" s="171"/>
      <c r="K22" s="167"/>
      <c r="L22" s="170"/>
      <c r="M22" s="171"/>
      <c r="O22" s="11"/>
      <c r="P22" s="139"/>
      <c r="Q22" s="139"/>
      <c r="R22" s="140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39"/>
      <c r="Q23" s="139"/>
      <c r="R23" s="140"/>
    </row>
    <row r="24" spans="2:19" x14ac:dyDescent="0.2">
      <c r="B24" s="68"/>
      <c r="C24" s="134"/>
      <c r="D24" s="135"/>
      <c r="E24" s="136"/>
      <c r="F24" s="69"/>
      <c r="K24" s="141" t="s">
        <v>79</v>
      </c>
      <c r="L24" s="142"/>
      <c r="M24" s="143"/>
      <c r="O24" s="11"/>
      <c r="P24" s="139"/>
      <c r="Q24" s="139"/>
      <c r="R24" s="140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44"/>
      <c r="L25" s="145"/>
      <c r="M25" s="146"/>
      <c r="N25" s="18"/>
      <c r="O25" s="11"/>
      <c r="P25" s="139"/>
      <c r="Q25" s="139"/>
      <c r="R25" s="140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47" t="s">
        <v>187</v>
      </c>
      <c r="L26" s="148"/>
      <c r="M26" s="149"/>
      <c r="N26" s="18"/>
      <c r="O26" s="11"/>
      <c r="P26" s="139"/>
      <c r="Q26" s="139"/>
      <c r="R26" s="140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50"/>
      <c r="L27" s="151"/>
      <c r="M27" s="152"/>
      <c r="N27" s="18"/>
      <c r="O27" s="11"/>
      <c r="P27" s="139"/>
      <c r="Q27" s="139"/>
      <c r="R27" s="140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39"/>
      <c r="Q28" s="139"/>
      <c r="R28" s="140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37"/>
      <c r="Q29" s="137"/>
      <c r="R29" s="138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266" customWidth="1"/>
    <col min="2" max="2" width="17.7109375" style="330" customWidth="1"/>
    <col min="3" max="3" width="9.7109375" style="236" customWidth="1"/>
    <col min="4" max="4" width="6.5703125" style="266" customWidth="1"/>
    <col min="5" max="5" width="6.28515625" style="266" customWidth="1"/>
    <col min="6" max="6" width="6.7109375" style="236" customWidth="1"/>
    <col min="7" max="7" width="6" style="266" customWidth="1"/>
    <col min="8" max="8" width="6.28515625" style="236" hidden="1" customWidth="1"/>
    <col min="9" max="9" width="7" style="331" hidden="1" customWidth="1"/>
    <col min="10" max="10" width="6.28515625" style="236" hidden="1" customWidth="1"/>
    <col min="11" max="11" width="5.28515625" style="266" customWidth="1"/>
    <col min="12" max="14" width="7.5703125" style="332" customWidth="1"/>
    <col min="15" max="15" width="7.5703125" style="266" hidden="1" customWidth="1"/>
    <col min="16" max="16" width="5.28515625" style="333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36" hidden="1" customWidth="1"/>
    <col min="34" max="34" width="18.5703125" style="334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36" hidden="1" customWidth="1"/>
    <col min="40" max="43" width="5.85546875" style="322" hidden="1" customWidth="1"/>
    <col min="44" max="47" width="9.140625" style="236" hidden="1" customWidth="1"/>
    <col min="48" max="48" width="20" style="323" hidden="1" customWidth="1"/>
    <col min="49" max="49" width="6.7109375" style="236" hidden="1" customWidth="1"/>
    <col min="50" max="63" width="9.140625" style="236" hidden="1" customWidth="1"/>
    <col min="64" max="66" width="6.85546875" style="236" hidden="1" customWidth="1"/>
    <col min="67" max="67" width="9.140625" style="325" hidden="1" customWidth="1"/>
    <col min="68" max="68" width="9.140625" style="236" hidden="1" customWidth="1"/>
    <col min="69" max="71" width="6.85546875" style="236" hidden="1" customWidth="1"/>
    <col min="72" max="72" width="9.140625" style="325" hidden="1" customWidth="1"/>
    <col min="73" max="73" width="9.140625" style="236" hidden="1" customWidth="1"/>
    <col min="74" max="76" width="6.85546875" style="236" hidden="1" customWidth="1"/>
    <col min="77" max="78" width="9.140625" style="325" hidden="1" customWidth="1"/>
    <col min="79" max="79" width="9.140625" style="236" hidden="1" customWidth="1"/>
    <col min="80" max="95" width="9.140625" style="236" customWidth="1"/>
    <col min="96" max="16384" width="9.140625" style="236"/>
  </cols>
  <sheetData>
    <row r="1" spans="1:125" ht="50.25" customHeight="1" x14ac:dyDescent="0.2">
      <c r="A1" s="220" t="s">
        <v>201</v>
      </c>
      <c r="B1" s="221"/>
      <c r="C1" s="221"/>
      <c r="D1" s="221"/>
      <c r="E1" s="221"/>
      <c r="F1" s="221"/>
      <c r="G1" s="221"/>
      <c r="H1" s="222"/>
      <c r="I1" s="223"/>
      <c r="J1" s="222"/>
      <c r="K1" s="224"/>
      <c r="L1" s="225"/>
      <c r="M1" s="225"/>
      <c r="N1" s="225"/>
      <c r="O1" s="224"/>
      <c r="P1" s="226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2"/>
      <c r="AG1" s="222"/>
      <c r="AH1" s="227"/>
      <c r="AI1" s="224"/>
      <c r="AJ1" s="224"/>
      <c r="AK1" s="224"/>
      <c r="AL1" s="224"/>
      <c r="AM1" s="222"/>
      <c r="AN1" s="228"/>
      <c r="AO1" s="228"/>
      <c r="AP1" s="228"/>
      <c r="AQ1" s="228"/>
      <c r="AR1" s="222"/>
      <c r="AS1" s="229" t="str">
        <f>CONCATENATE("Lists!E2:E",IF(Lists!E1=1,11,IF(OR(Lists!E1=4,Lists!E1=3,Lists!E1=2),5,8)))</f>
        <v>Lists!E2:E11</v>
      </c>
      <c r="AT1" s="222"/>
      <c r="AU1" s="222"/>
      <c r="AV1" s="230">
        <f ca="1">COUNTIF(INDIRECT("AU1:AU200"),1)</f>
        <v>3</v>
      </c>
      <c r="AW1" s="231"/>
      <c r="AX1" s="222"/>
      <c r="AY1" s="222"/>
      <c r="AZ1" s="232"/>
      <c r="BA1" s="233" t="s">
        <v>23</v>
      </c>
      <c r="BB1" s="233" t="s">
        <v>24</v>
      </c>
      <c r="BC1" s="233" t="s">
        <v>25</v>
      </c>
      <c r="BD1" s="233" t="s">
        <v>43</v>
      </c>
      <c r="BE1" s="233" t="s">
        <v>44</v>
      </c>
      <c r="BF1" s="233" t="s">
        <v>45</v>
      </c>
      <c r="BG1" s="233" t="s">
        <v>46</v>
      </c>
      <c r="BH1" s="233" t="s">
        <v>47</v>
      </c>
      <c r="BI1" s="234"/>
      <c r="BJ1" s="222"/>
      <c r="BK1" s="222"/>
      <c r="BL1" s="222">
        <v>1</v>
      </c>
      <c r="BM1" s="222"/>
      <c r="BN1" s="222"/>
      <c r="BO1" s="235"/>
      <c r="BP1" s="222"/>
      <c r="BQ1" s="222"/>
      <c r="BR1" s="222"/>
      <c r="BS1" s="222"/>
      <c r="BT1" s="235"/>
      <c r="BU1" s="222"/>
      <c r="BV1" s="222"/>
      <c r="BW1" s="222"/>
      <c r="BX1" s="222"/>
      <c r="BY1" s="235"/>
      <c r="BZ1" s="235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</row>
    <row r="2" spans="1:125" ht="25.5" customHeight="1" x14ac:dyDescent="0.2">
      <c r="A2" s="237" t="str">
        <f ca="1">CONCATENATE(INDIRECT(ADDRESS(AY5,6)),IF(F7="WtCls (lb)"," lb cls"," kg cls"))</f>
        <v>63 kg cls</v>
      </c>
      <c r="B2" s="238"/>
      <c r="C2" s="239">
        <f ca="1">INDIRECT(AY4)</f>
        <v>120</v>
      </c>
      <c r="D2" s="240"/>
      <c r="E2" s="241" t="str">
        <f>Setup!M3</f>
        <v>Kg</v>
      </c>
      <c r="F2" s="242">
        <f ca="1">ROUND(IF(E2="kg",C2*2.2046,C2/2.2046),1)</f>
        <v>264.60000000000002</v>
      </c>
      <c r="G2" s="243"/>
      <c r="H2" s="222"/>
      <c r="I2" s="223"/>
      <c r="J2" s="222"/>
      <c r="K2" s="224"/>
      <c r="L2" s="225"/>
      <c r="M2" s="225"/>
      <c r="N2" s="225"/>
      <c r="O2" s="224"/>
      <c r="P2" s="226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2"/>
      <c r="AG2" s="222"/>
      <c r="AH2" s="227"/>
      <c r="AI2" s="224"/>
      <c r="AJ2" s="224"/>
      <c r="AK2" s="224"/>
      <c r="AL2" s="224"/>
      <c r="AM2" s="222"/>
      <c r="AN2" s="228"/>
      <c r="AO2" s="228"/>
      <c r="AP2" s="228"/>
      <c r="AQ2" s="228"/>
      <c r="AR2" s="222"/>
      <c r="AS2" s="224" t="str">
        <f ca="1">CONCATENATE("B9:B",BA6)</f>
        <v>B9:B11</v>
      </c>
      <c r="AT2" s="244" t="s">
        <v>129</v>
      </c>
      <c r="AU2" s="224" t="s">
        <v>110</v>
      </c>
      <c r="AV2" s="245"/>
      <c r="AW2" s="231"/>
      <c r="AX2" s="222"/>
      <c r="AY2" s="222"/>
      <c r="AZ2" s="222"/>
      <c r="BA2" s="233">
        <f>IF(BA1=RIGHT($A$7,1),0,BH2+1)</f>
        <v>0</v>
      </c>
      <c r="BB2" s="233">
        <f t="shared" ref="BB2:BH2" si="0">IF(BB1=RIGHT($A$7,1),0,BA2+1)</f>
        <v>1</v>
      </c>
      <c r="BC2" s="233">
        <f t="shared" si="0"/>
        <v>2</v>
      </c>
      <c r="BD2" s="233">
        <f t="shared" si="0"/>
        <v>3</v>
      </c>
      <c r="BE2" s="233">
        <f t="shared" si="0"/>
        <v>4</v>
      </c>
      <c r="BF2" s="233">
        <f t="shared" si="0"/>
        <v>5</v>
      </c>
      <c r="BG2" s="233">
        <f t="shared" si="0"/>
        <v>6</v>
      </c>
      <c r="BH2" s="233">
        <f t="shared" si="0"/>
        <v>7</v>
      </c>
      <c r="BI2" s="246"/>
      <c r="BJ2" s="222"/>
      <c r="BK2" s="222"/>
      <c r="BL2" s="222">
        <v>1</v>
      </c>
      <c r="BM2" s="222"/>
      <c r="BN2" s="222"/>
      <c r="BO2" s="235"/>
      <c r="BP2" s="222"/>
      <c r="BQ2" s="222"/>
      <c r="BR2" s="222"/>
      <c r="BS2" s="222"/>
      <c r="BT2" s="235"/>
      <c r="BU2" s="222"/>
      <c r="BV2" s="222"/>
      <c r="BW2" s="222"/>
      <c r="BX2" s="222"/>
      <c r="BY2" s="235"/>
      <c r="BZ2" s="235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</row>
    <row r="3" spans="1:125" ht="25.5" customHeight="1" x14ac:dyDescent="0.2">
      <c r="A3" s="247" t="str">
        <f ca="1">INDIRECT(CONCATENATE("Setup!C",MATCH(INDIRECT(ADDRESS(AY5,4)),Setup!B:B,0)))</f>
        <v>Open Women</v>
      </c>
      <c r="B3" s="247"/>
      <c r="C3" s="248"/>
      <c r="D3" s="249"/>
      <c r="E3" s="250"/>
      <c r="F3" s="251" t="str">
        <f>IF(E2="Kg","Pounds", "Kilograms")</f>
        <v>Pounds</v>
      </c>
      <c r="G3" s="252"/>
      <c r="H3" s="222"/>
      <c r="I3" s="223"/>
      <c r="J3" s="222"/>
      <c r="K3" s="224"/>
      <c r="L3" s="225"/>
      <c r="M3" s="225"/>
      <c r="N3" s="225"/>
      <c r="O3" s="224"/>
      <c r="P3" s="226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2"/>
      <c r="AG3" s="222"/>
      <c r="AH3" s="227"/>
      <c r="AI3" s="224"/>
      <c r="AJ3" s="224"/>
      <c r="AK3" s="224"/>
      <c r="AL3" s="224"/>
      <c r="AM3" s="222"/>
      <c r="AN3" s="228"/>
      <c r="AO3" s="228"/>
      <c r="AP3" s="228"/>
      <c r="AQ3" s="228"/>
      <c r="AR3" s="222"/>
      <c r="AS3" s="229" t="str">
        <f>CONCATENATE("Setup!B12:B",COUNTA(Setup!B:B)+8)</f>
        <v>Setup!B12:B15</v>
      </c>
      <c r="AT3" s="244" t="s">
        <v>12</v>
      </c>
      <c r="AU3" s="224" t="s">
        <v>118</v>
      </c>
      <c r="AV3" s="253" t="s">
        <v>113</v>
      </c>
      <c r="AW3" s="254"/>
      <c r="AX3" s="254"/>
      <c r="AY3" s="255" t="s">
        <v>112</v>
      </c>
      <c r="AZ3" s="222"/>
      <c r="BA3" s="256" t="s">
        <v>50</v>
      </c>
      <c r="BB3" s="229" t="s">
        <v>7</v>
      </c>
      <c r="BC3" s="222"/>
      <c r="BD3" s="255" t="s">
        <v>55</v>
      </c>
      <c r="BE3" s="255" t="s">
        <v>51</v>
      </c>
      <c r="BF3" s="255" t="s">
        <v>54</v>
      </c>
      <c r="BG3" s="255" t="s">
        <v>149</v>
      </c>
      <c r="BH3" s="222"/>
      <c r="BI3" s="222"/>
      <c r="BJ3" s="222"/>
      <c r="BK3" s="222"/>
      <c r="BL3" s="222">
        <v>1</v>
      </c>
      <c r="BM3" s="222"/>
      <c r="BN3" s="222"/>
      <c r="BO3" s="235"/>
      <c r="BP3" s="222"/>
      <c r="BQ3" s="222"/>
      <c r="BR3" s="222"/>
      <c r="BS3" s="222"/>
      <c r="BT3" s="235"/>
      <c r="BU3" s="222"/>
      <c r="BV3" s="222"/>
      <c r="BW3" s="222"/>
      <c r="BX3" s="222"/>
      <c r="BY3" s="235"/>
      <c r="BZ3" s="235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2"/>
      <c r="I4" s="223"/>
      <c r="J4" s="222"/>
      <c r="K4" s="224"/>
      <c r="L4" s="225"/>
      <c r="M4" s="225"/>
      <c r="N4" s="225"/>
      <c r="O4" s="224"/>
      <c r="P4" s="226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2"/>
      <c r="AG4" s="222"/>
      <c r="AH4" s="227"/>
      <c r="AI4" s="224"/>
      <c r="AJ4" s="224"/>
      <c r="AK4" s="224"/>
      <c r="AL4" s="224"/>
      <c r="AM4" s="222"/>
      <c r="AN4" s="228"/>
      <c r="AO4" s="228"/>
      <c r="AP4" s="228"/>
      <c r="AQ4" s="228"/>
      <c r="AR4" s="222"/>
      <c r="AS4" s="229" t="str">
        <f>CONCATENATE("Setup!O6:O",COUNTA(Setup!O:O)+3)</f>
        <v>Setup!O6:O6</v>
      </c>
      <c r="AT4" s="244" t="s">
        <v>21</v>
      </c>
      <c r="AU4" s="224" t="s">
        <v>119</v>
      </c>
      <c r="AV4" s="253" t="s">
        <v>114</v>
      </c>
      <c r="AW4" s="222"/>
      <c r="AX4" s="222"/>
      <c r="AY4" s="224" t="str">
        <f ca="1">ADDRESS(MATCH(A1,INDIRECT(AS2),0)+8,BD4)</f>
        <v>$M$9</v>
      </c>
      <c r="AZ4" s="222"/>
      <c r="BA4" s="224" t="str">
        <f ca="1">CONCATENATE("B",$BA$5,":","B",BA6)</f>
        <v>B9:B11</v>
      </c>
      <c r="BB4" s="256">
        <v>13</v>
      </c>
      <c r="BC4" s="262" t="s">
        <v>57</v>
      </c>
      <c r="BD4" s="224">
        <f ca="1">OFFSET(Lists!C1,MATCH(C4,Attempts,0),0)</f>
        <v>13</v>
      </c>
      <c r="BE4" s="224" t="s">
        <v>23</v>
      </c>
      <c r="BF4" s="229" t="str">
        <f>CONCATENATE("$A$",BF5,":$A$",BF6)</f>
        <v>$A$9:$A$11</v>
      </c>
      <c r="BG4" s="224">
        <f>IF(C4="Squat 3",17,22)</f>
        <v>22</v>
      </c>
      <c r="BH4" s="222"/>
      <c r="BI4" s="222"/>
      <c r="BJ4" s="222"/>
      <c r="BK4" s="222"/>
      <c r="BL4" s="222">
        <v>1</v>
      </c>
      <c r="BM4" s="222"/>
      <c r="BN4" s="222"/>
      <c r="BO4" s="235"/>
      <c r="BP4" s="222"/>
      <c r="BQ4" s="222"/>
      <c r="BR4" s="222"/>
      <c r="BS4" s="222"/>
      <c r="BT4" s="235"/>
      <c r="BU4" s="222"/>
      <c r="BV4" s="222"/>
      <c r="BW4" s="222"/>
      <c r="BX4" s="222"/>
      <c r="BY4" s="235"/>
      <c r="BZ4" s="235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2"/>
      <c r="I5" s="223"/>
      <c r="J5" s="222"/>
      <c r="K5" s="224"/>
      <c r="L5" s="225"/>
      <c r="M5" s="225"/>
      <c r="N5" s="225"/>
      <c r="O5" s="224"/>
      <c r="P5" s="226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2"/>
      <c r="AG5" s="222"/>
      <c r="AH5" s="227"/>
      <c r="AI5" s="224"/>
      <c r="AJ5" s="224"/>
      <c r="AK5" s="224"/>
      <c r="AL5" s="224"/>
      <c r="AM5" s="222">
        <f ca="1">INDIRECT(ADDRESS(AY5,36))</f>
        <v>1511</v>
      </c>
      <c r="AN5" s="228"/>
      <c r="AO5" s="228"/>
      <c r="AP5" s="228"/>
      <c r="AQ5" s="228"/>
      <c r="AR5" s="222"/>
      <c r="AS5" s="222"/>
      <c r="AT5" s="244" t="s">
        <v>22</v>
      </c>
      <c r="AU5" s="224" t="s">
        <v>120</v>
      </c>
      <c r="AV5" s="270"/>
      <c r="AW5" s="256" t="s">
        <v>42</v>
      </c>
      <c r="AX5" s="224">
        <v>275</v>
      </c>
      <c r="AY5" s="224">
        <f ca="1">MATCH(A1,INDIRECT(AS2),0)+8</f>
        <v>9</v>
      </c>
      <c r="AZ5" s="224" t="s">
        <v>23</v>
      </c>
      <c r="BA5" s="224">
        <v>9</v>
      </c>
      <c r="BB5" s="256">
        <v>9</v>
      </c>
      <c r="BC5" s="262" t="s">
        <v>58</v>
      </c>
      <c r="BD5" s="224">
        <f ca="1">IF(BD4&lt;20,IF(BD4&lt;15,15,20),25)</f>
        <v>15</v>
      </c>
      <c r="BE5" s="224">
        <f ca="1">MATCH($BE$4,INDIRECT(BF4),0)+8</f>
        <v>9</v>
      </c>
      <c r="BF5" s="224">
        <v>9</v>
      </c>
      <c r="BG5" s="224">
        <f>BB6+1</f>
        <v>12</v>
      </c>
      <c r="BH5" s="222"/>
      <c r="BI5" s="222"/>
      <c r="BJ5" s="222"/>
      <c r="BK5" s="222"/>
      <c r="BL5" s="222">
        <v>1</v>
      </c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71"/>
      <c r="CA5" s="272">
        <f ca="1">NOW()-TODAY()</f>
        <v>0.56293298611126374</v>
      </c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4"/>
      <c r="X6" s="285"/>
      <c r="Y6" s="286"/>
      <c r="Z6" s="281"/>
      <c r="AA6" s="281"/>
      <c r="AB6" s="281"/>
      <c r="AC6" s="281"/>
      <c r="AD6" s="281"/>
      <c r="AE6" s="279"/>
      <c r="AF6" s="279"/>
      <c r="AG6" s="279"/>
      <c r="AH6" s="287"/>
      <c r="AI6" s="281"/>
      <c r="AJ6" s="281"/>
      <c r="AK6" s="281"/>
      <c r="AL6" s="281"/>
      <c r="AM6" s="279"/>
      <c r="AN6" s="288"/>
      <c r="AO6" s="288"/>
      <c r="AP6" s="288"/>
      <c r="AQ6" s="288"/>
      <c r="AR6" s="279"/>
      <c r="AS6" s="279"/>
      <c r="AT6" s="289" t="s">
        <v>133</v>
      </c>
      <c r="AU6" s="290" t="s">
        <v>121</v>
      </c>
      <c r="AV6" s="291" t="str">
        <f>CONCATENATE("AV9:AV",BF6)</f>
        <v>AV9:AV11</v>
      </c>
      <c r="AW6" s="292" t="s">
        <v>2</v>
      </c>
      <c r="AX6" s="281" t="s">
        <v>48</v>
      </c>
      <c r="AY6" s="279"/>
      <c r="AZ6" s="290"/>
      <c r="BA6" s="290">
        <f ca="1">COUNTIF(INDIRECT(BF4),AZ5)+8</f>
        <v>11</v>
      </c>
      <c r="BB6" s="292">
        <v>11</v>
      </c>
      <c r="BC6" s="293" t="s">
        <v>59</v>
      </c>
      <c r="BD6" s="290">
        <f ca="1">MATCH(A1,INDIRECT(AS2),0)+8</f>
        <v>9</v>
      </c>
      <c r="BE6" s="281">
        <f ca="1">COUNTIF(INDIRECT(BF4),BE4)+BE5-1</f>
        <v>11</v>
      </c>
      <c r="BF6" s="290">
        <f>COUNTA($BL:$BL)</f>
        <v>11</v>
      </c>
      <c r="BG6" s="290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4"/>
      <c r="BP6" s="279"/>
      <c r="BQ6" s="279"/>
      <c r="BR6" s="279"/>
      <c r="BS6" s="279"/>
      <c r="BT6" s="294"/>
      <c r="BU6" s="279"/>
      <c r="BV6" s="279"/>
      <c r="BW6" s="279"/>
      <c r="BX6" s="279"/>
      <c r="BY6" s="294"/>
      <c r="BZ6" s="294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8" customFormat="1" ht="27" customHeight="1" x14ac:dyDescent="0.2">
      <c r="A7" s="295" t="s">
        <v>190</v>
      </c>
      <c r="B7" s="296" t="s">
        <v>0</v>
      </c>
      <c r="C7" s="297" t="s">
        <v>41</v>
      </c>
      <c r="D7" s="297" t="s">
        <v>2</v>
      </c>
      <c r="E7" s="297" t="str">
        <f>'Weigh-In'!E2</f>
        <v>Bwt (kg)</v>
      </c>
      <c r="F7" s="297" t="str">
        <f>IF(E7="Bwt (lb)","WtCls (lb)","WtCls (kg)")</f>
        <v>WtCls (kg)</v>
      </c>
      <c r="G7" s="297" t="s">
        <v>1</v>
      </c>
      <c r="H7" s="298" t="s">
        <v>5</v>
      </c>
      <c r="I7" s="299" t="s">
        <v>195</v>
      </c>
      <c r="J7" s="297" t="s">
        <v>4</v>
      </c>
      <c r="K7" s="297" t="s">
        <v>8</v>
      </c>
      <c r="L7" s="297" t="s">
        <v>9</v>
      </c>
      <c r="M7" s="297" t="s">
        <v>10</v>
      </c>
      <c r="N7" s="297" t="s">
        <v>11</v>
      </c>
      <c r="O7" s="297" t="s">
        <v>12</v>
      </c>
      <c r="P7" s="300" t="s">
        <v>13</v>
      </c>
      <c r="Q7" s="297" t="s">
        <v>14</v>
      </c>
      <c r="R7" s="297" t="s">
        <v>15</v>
      </c>
      <c r="S7" s="297" t="s">
        <v>16</v>
      </c>
      <c r="T7" s="297" t="s">
        <v>21</v>
      </c>
      <c r="U7" s="297" t="s">
        <v>17</v>
      </c>
      <c r="V7" s="297" t="s">
        <v>18</v>
      </c>
      <c r="W7" s="301" t="s">
        <v>19</v>
      </c>
      <c r="X7" s="297" t="s">
        <v>20</v>
      </c>
      <c r="Y7" s="302" t="s">
        <v>22</v>
      </c>
      <c r="Z7" s="295" t="s">
        <v>129</v>
      </c>
      <c r="AA7" s="297" t="s">
        <v>194</v>
      </c>
      <c r="AB7" s="297" t="s">
        <v>193</v>
      </c>
      <c r="AC7" s="297" t="s">
        <v>26</v>
      </c>
      <c r="AD7" s="303" t="s">
        <v>135</v>
      </c>
      <c r="AE7" s="297" t="s">
        <v>27</v>
      </c>
      <c r="AG7" s="298">
        <v>1</v>
      </c>
      <c r="AH7" s="304" t="s">
        <v>115</v>
      </c>
      <c r="AI7" s="297" t="s">
        <v>116</v>
      </c>
      <c r="AJ7" s="297" t="s">
        <v>154</v>
      </c>
      <c r="AK7" s="297" t="s">
        <v>155</v>
      </c>
      <c r="AL7" s="297" t="s">
        <v>142</v>
      </c>
      <c r="AN7" s="305" t="s">
        <v>156</v>
      </c>
      <c r="AO7" s="305" t="s">
        <v>157</v>
      </c>
      <c r="AP7" s="305" t="s">
        <v>158</v>
      </c>
      <c r="AQ7" s="305" t="s">
        <v>159</v>
      </c>
      <c r="AU7" s="305" t="str">
        <f ca="1">OFFSET(AU1,MATCH(Z7,AT2:AT6,0),0)</f>
        <v>PL</v>
      </c>
      <c r="AW7" s="305"/>
      <c r="AX7" s="306"/>
      <c r="AY7" s="306"/>
      <c r="AZ7" s="306"/>
      <c r="BA7" s="307" t="s">
        <v>153</v>
      </c>
      <c r="BB7" s="297" t="s">
        <v>53</v>
      </c>
      <c r="BL7" s="297" t="s">
        <v>9</v>
      </c>
      <c r="BM7" s="297" t="s">
        <v>10</v>
      </c>
      <c r="BN7" s="297" t="s">
        <v>11</v>
      </c>
      <c r="BO7" s="308" t="s">
        <v>28</v>
      </c>
      <c r="BP7" s="297" t="s">
        <v>13</v>
      </c>
      <c r="BQ7" s="297" t="s">
        <v>14</v>
      </c>
      <c r="BR7" s="297" t="s">
        <v>15</v>
      </c>
      <c r="BS7" s="297" t="s">
        <v>16</v>
      </c>
      <c r="BT7" s="308" t="s">
        <v>29</v>
      </c>
      <c r="BU7" s="297" t="s">
        <v>17</v>
      </c>
      <c r="BV7" s="297" t="s">
        <v>18</v>
      </c>
      <c r="BW7" s="297" t="s">
        <v>19</v>
      </c>
      <c r="BX7" s="297" t="s">
        <v>20</v>
      </c>
      <c r="BY7" s="308" t="s">
        <v>30</v>
      </c>
      <c r="BZ7" s="308" t="s">
        <v>160</v>
      </c>
      <c r="CA7" s="298" t="s">
        <v>167</v>
      </c>
    </row>
    <row r="8" spans="1:125" ht="19.5" hidden="1" customHeight="1" x14ac:dyDescent="0.2">
      <c r="A8" s="309"/>
      <c r="B8" s="310" t="s">
        <v>111</v>
      </c>
      <c r="C8" s="310"/>
      <c r="D8" s="311"/>
      <c r="E8" s="311">
        <v>0</v>
      </c>
      <c r="F8" s="311" t="e">
        <f>IF(LEFT(D8,1)="M",VLOOKUP(IF($E$7="Bwt (kg)",E8,E8/2.2046),Lists!$B$16:$D$24,IF(ISERROR(FIND("J",D8)),3,2)),VLOOKUP(IF($E$7="Bwt (kg)",E8,E8/2.2046),Lists!$B$26:$D$33,IF(ISERROR(FIND("J",D8)),3,2)))</f>
        <v>#N/A</v>
      </c>
      <c r="G8" s="311">
        <v>0</v>
      </c>
      <c r="H8" s="312">
        <f>IF(AND(VALUE(E8)&gt;0,OR(LEFT(D8,1)="M",LEFT(D8,1)="F")),IF(LEFT(D8,1)="M",Wilks_Men(IF(RIGHT($F$7,4)="(lb)",E8/2.2046,E8)),Wilks_Women(IF(RIGHT($F$7,4)="(lb)",E8/2.2046,E8))),0)</f>
        <v>0</v>
      </c>
      <c r="I8" s="313">
        <v>0</v>
      </c>
      <c r="J8" s="266">
        <f ca="1">IF(I8,VLOOKUP(INT((NOW()-DATE(LEFT(I8,2),MID(I8,3,2),RIGHT(I8,2)))/365.25),DATA!$A$2:$B$53,2,TRUE),0)</f>
        <v>0</v>
      </c>
      <c r="K8" s="311"/>
      <c r="L8" s="314">
        <v>0</v>
      </c>
      <c r="M8" s="314"/>
      <c r="N8" s="314"/>
      <c r="O8" s="315">
        <f t="shared" ref="O8" si="1">IF(MAX(BL8:BN8)&gt;0,MAX(ABS(L8)*BL8,ABS(M8)*BM8,ABS(N8)*BN8),0)</f>
        <v>0</v>
      </c>
      <c r="P8" s="316"/>
      <c r="Q8" s="309">
        <v>0</v>
      </c>
      <c r="R8" s="309"/>
      <c r="S8" s="309"/>
      <c r="T8" s="315">
        <f t="shared" ref="T8" si="2">IF(MAX(BQ8:BS8)&gt;0,MAX(ABS(Q8)*BQ8,ABS(R8)*BR8,ABS(S8)*BS8),0)</f>
        <v>0</v>
      </c>
      <c r="U8" s="315">
        <f t="shared" ref="U8" si="3">IF(OR(O8=0,T8=0),0,O8+T8)</f>
        <v>0</v>
      </c>
      <c r="V8" s="309">
        <v>0</v>
      </c>
      <c r="W8" s="317"/>
      <c r="X8" s="309"/>
      <c r="Y8" s="318">
        <f t="shared" ref="Y8" si="4">IF(MAX(BV8:BX8)&gt;0,MAX(ABS(V8)*BV8,ABS(W8)*BW8,ABS(X8)*BX8),0)</f>
        <v>0</v>
      </c>
      <c r="Z8" s="315">
        <f t="shared" ref="Z8" ca="1" si="5">AU8*IF($AU$7="SQ",O8,IF($AU$7="BP",T8,IF($AU$7="DL",Y8,IF($AU$7="PP",IF(OR(T8=0,Y8=0),0,T8+Y8),IF(OR($U8=0,$Y8=0),0,$O8+$T8+$Y8)))))</f>
        <v>0</v>
      </c>
      <c r="AA8" s="319">
        <f t="shared" ref="AA8" ca="1" si="6">IF($E$2="Lb",Z8*H8/2.2046,Z8*H8)</f>
        <v>0</v>
      </c>
      <c r="AB8" s="319">
        <f t="shared" ref="AB8" ca="1" si="7">IF(AND(I8&gt;23,I8&lt;40),0,AA8*J8)</f>
        <v>0</v>
      </c>
      <c r="AC8" s="309" t="e">
        <f ca="1">OFFSET(Setup!$F$1,MATCH(D8,INDIRECT("Setup!B1:B100"),0)-1,0)</f>
        <v>#N/A</v>
      </c>
      <c r="AD8" s="320" t="str">
        <f t="shared" ref="AD8" ca="1" si="8">IF(OR(Z8=0,AU8=0,AH8=0),"",CONCATENATE(AL8,"-",D8,IF(AC8&gt;1,"","-"),IF(AC8&gt;1,"",F8),"-",$AU$7))</f>
        <v/>
      </c>
      <c r="AE8" s="311"/>
      <c r="AH8" s="321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22">
        <f t="shared" ref="AN8" ca="1" si="12">RANK(Z8,INDIRECT("Z1:Z200"),-1)</f>
        <v>1</v>
      </c>
      <c r="AO8" s="322">
        <f t="shared" ref="AO8" si="13">E8</f>
        <v>0</v>
      </c>
      <c r="AP8" s="322">
        <f t="shared" ref="AP8" ca="1" si="14">RANK(AO8,INDIRECT("AO1:AO200"))</f>
        <v>4</v>
      </c>
      <c r="AQ8" s="322">
        <f t="shared" ref="AQ8" ca="1" si="15">RANK(BZ8,INDIRECT("BZ:BZ"),-1)</f>
        <v>1</v>
      </c>
      <c r="AU8" s="322">
        <f t="shared" ref="AU8" ca="1" si="16">IF(ISERROR(FIND($AU$7,AE8)),0,1)</f>
        <v>0</v>
      </c>
      <c r="AW8" s="322"/>
      <c r="AX8" s="324"/>
      <c r="AY8" s="324"/>
      <c r="AZ8" s="324"/>
      <c r="BA8" s="266" t="e">
        <f t="shared" ref="BA8" si="17">HLOOKUP($A8,$BA$1:$BH$2,2,FALSE)</f>
        <v>#N/A</v>
      </c>
      <c r="BB8" s="236" t="str">
        <f t="shared" ref="BB8" ca="1" si="18">IF(OR(INDIRECT(ADDRESS(ROW(BB8),$BB$4))="",INDIRECT(ADDRESS(ROW(BB8),$BB$4))=0),"",ABS(INDIRECT(ADDRESS(ROW(BB8),$BB$4)))+0.0001*INDIRECT(ADDRESS(ROW(BB8),7)))</f>
        <v/>
      </c>
      <c r="BL8" s="236">
        <v>0</v>
      </c>
      <c r="BM8" s="236">
        <v>0</v>
      </c>
      <c r="BN8" s="236">
        <v>0</v>
      </c>
      <c r="BQ8" s="236">
        <v>0</v>
      </c>
      <c r="BR8" s="236">
        <v>0</v>
      </c>
      <c r="BS8" s="236">
        <v>0</v>
      </c>
      <c r="BV8" s="236">
        <v>0</v>
      </c>
      <c r="BW8" s="236">
        <v>0</v>
      </c>
      <c r="BX8" s="236">
        <v>0</v>
      </c>
      <c r="BY8" s="325">
        <f>IF(BX8=1,3,IF(BW8=1,2,IF(BV8=1,1,0)))</f>
        <v>0</v>
      </c>
      <c r="BZ8" s="325">
        <f t="shared" ref="BZ8" ca="1" si="19">IF($AU$7="SQ",BO8,IF($AU$7="BP",BT8,BY8))</f>
        <v>0</v>
      </c>
    </row>
    <row r="9" spans="1:125" ht="19.5" customHeight="1" x14ac:dyDescent="0.2">
      <c r="A9" s="309" t="s">
        <v>23</v>
      </c>
      <c r="B9" s="310" t="s">
        <v>201</v>
      </c>
      <c r="C9" s="310" t="s">
        <v>188</v>
      </c>
      <c r="D9" s="311" t="s">
        <v>161</v>
      </c>
      <c r="E9" s="311">
        <v>62</v>
      </c>
      <c r="F9" s="311">
        <f>IF(LEFT(D9,1)="M",VLOOKUP(IF($E$7="Bwt (kg)",E9,E9/2.2046),Lists!$B$16:$D$24,IF(ISERROR(FIND("J",D9)),3,2)),VLOOKUP(IF($E$7="Bwt (kg)",E9,E9/2.2046),Lists!$B$26:$D$33,IF(ISERROR(FIND("J",D9)),3,2)))</f>
        <v>63</v>
      </c>
      <c r="G9" s="311">
        <v>44</v>
      </c>
      <c r="H9" s="312">
        <f>IF(AND(VALUE(E9)&gt;0,OR(LEFT(D9,1)="M",LEFT(D9,1)="F")),IF(LEFT(D9,1)="M",Wilks_Men(IF(RIGHT($F$7,4)="(lb)",E9/2.2046,E9)),Wilks_Women(IF(RIGHT($F$7,4)="(lb)",E9/2.2046,E9))),0)</f>
        <v>1.0871000289916992</v>
      </c>
      <c r="I9" s="313">
        <v>990130</v>
      </c>
      <c r="J9" s="266">
        <f ca="1">IF(I9,VLOOKUP(INT((NOW()-DATE(LEFT(I9,2),MID(I9,3,2),RIGHT(I9,2)))/365.25),DATA!$A$2:$B$53,2,TRUE),0)</f>
        <v>1.06</v>
      </c>
      <c r="K9" s="311">
        <v>13</v>
      </c>
      <c r="L9" s="326">
        <v>115</v>
      </c>
      <c r="M9" s="327">
        <v>120</v>
      </c>
      <c r="N9" s="327"/>
      <c r="O9" s="315">
        <f>IF(MAX(BL9:BN9)&gt;0,MAX(ABS(L9)*BL9,ABS(M9)*BM9,ABS(N9)*BN9),0)</f>
        <v>115</v>
      </c>
      <c r="P9" s="316" t="s">
        <v>203</v>
      </c>
      <c r="Q9" s="309">
        <v>65</v>
      </c>
      <c r="R9" s="309"/>
      <c r="S9" s="309"/>
      <c r="T9" s="315">
        <f>IF(MAX(BQ9:BS9)&gt;0,MAX(ABS(Q9)*BQ9,ABS(R9)*BR9,ABS(S9)*BS9),0)</f>
        <v>0</v>
      </c>
      <c r="U9" s="315">
        <f>IF(OR(O9=0,T9=0),0,O9+T9)</f>
        <v>0</v>
      </c>
      <c r="V9" s="309">
        <v>145</v>
      </c>
      <c r="W9" s="317"/>
      <c r="X9" s="309"/>
      <c r="Y9" s="318">
        <f>IF(MAX(BV9:BX9)&gt;0,MAX(ABS(V9)*BV9,ABS(W9)*BW9,ABS(X9)*BX9),0)</f>
        <v>0</v>
      </c>
      <c r="Z9" s="315">
        <f ca="1">AU9*IF($AU$7="SQ",O9,IF($AU$7="BP",T9,IF($AU$7="DL",Y9,IF($AU$7="PP",IF(OR(T9=0,Y9=0),0,T9+Y9),IF(OR($U9=0,$Y9=0),0,$O9+$T9+$Y9)))))</f>
        <v>0</v>
      </c>
      <c r="AA9" s="319">
        <f ca="1">IF($E$2="Lb",Z9*H9/2.2046,Z9*H9)</f>
        <v>0</v>
      </c>
      <c r="AB9" s="319">
        <f ca="1">IF(AND(I9&gt;23,I9&lt;40),0,AA9*J9)</f>
        <v>0</v>
      </c>
      <c r="AC9" s="309">
        <f ca="1">OFFSET(Setup!$F$1,MATCH(D9,INDIRECT("Setup!B1:B100"),0)-1,0)</f>
        <v>1</v>
      </c>
      <c r="AD9" s="320" t="str">
        <f ca="1">IF(OR(Z9=0,AU9=0,AH9=0),"",CONCATENATE(AL9,"-",D9,IF(AC9&gt;1,"","-"),IF(AC9&gt;1,"",F9),"-",$AU$7))</f>
        <v/>
      </c>
      <c r="AE9" s="311" t="s">
        <v>110</v>
      </c>
      <c r="AH9" s="321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22">
        <f ca="1">RANK(Z9,INDIRECT("Z1:Z200"),-1)</f>
        <v>1</v>
      </c>
      <c r="AO9" s="322">
        <f>E9</f>
        <v>62</v>
      </c>
      <c r="AP9" s="322">
        <f ca="1">RANK(AO9,INDIRECT("AO1:AO200"))</f>
        <v>3</v>
      </c>
      <c r="AQ9" s="322">
        <f ca="1">RANK(BZ9,INDIRECT("BZ:BZ"),-1)</f>
        <v>1</v>
      </c>
      <c r="AU9" s="322">
        <f ca="1">IF(ISERROR(FIND($AU$7,AE9)),0,1)</f>
        <v>1</v>
      </c>
      <c r="AW9" s="322"/>
      <c r="AX9" s="324"/>
      <c r="AY9" s="324"/>
      <c r="AZ9" s="324"/>
      <c r="BA9" s="266">
        <f>HLOOKUP($A9,$BA$1:$BH$2,2,FALSE)</f>
        <v>0</v>
      </c>
      <c r="BB9" s="236">
        <f ca="1">IF(OR(INDIRECT(ADDRESS(ROW(BB9),$BB$4))="",INDIRECT(ADDRESS(ROW(BB9),$BB$4))=0),"",ABS(INDIRECT(ADDRESS(ROW(BB9),$BB$4)))+0.0001*INDIRECT(ADDRESS(ROW(BB9),7)))</f>
        <v>120.0044</v>
      </c>
      <c r="BL9" s="236">
        <v>1</v>
      </c>
      <c r="BM9" s="236">
        <v>0</v>
      </c>
      <c r="BN9" s="236">
        <v>0</v>
      </c>
      <c r="BO9" s="325">
        <v>43018.449895833335</v>
      </c>
      <c r="BQ9" s="236">
        <v>0</v>
      </c>
      <c r="BR9" s="236">
        <v>0</v>
      </c>
      <c r="BS9" s="236">
        <v>0</v>
      </c>
      <c r="BV9" s="236">
        <v>0</v>
      </c>
      <c r="BW9" s="236">
        <v>0</v>
      </c>
      <c r="BX9" s="236">
        <v>0</v>
      </c>
      <c r="BY9" s="325">
        <f>IF(BX9=1,3,IF(BW9=1,2,IF(BV9=1,1,0)))</f>
        <v>0</v>
      </c>
      <c r="BZ9" s="325">
        <f ca="1">IF($AU$7="SQ",BO9,IF($AU$7="BP",BT9,BY9))</f>
        <v>0</v>
      </c>
      <c r="CA9" s="328">
        <v>0.45059027777777777</v>
      </c>
    </row>
    <row r="10" spans="1:125" ht="19.5" customHeight="1" x14ac:dyDescent="0.2">
      <c r="A10" s="309" t="s">
        <v>23</v>
      </c>
      <c r="B10" s="310" t="s">
        <v>200</v>
      </c>
      <c r="C10" s="310" t="s">
        <v>188</v>
      </c>
      <c r="D10" s="311" t="s">
        <v>48</v>
      </c>
      <c r="E10" s="311">
        <v>92</v>
      </c>
      <c r="F10" s="311">
        <f>IF(LEFT(D10,1)="M",VLOOKUP(IF($E$7="Bwt (kg)",E10,E10/2.2046),Lists!$B$16:$D$24,IF(ISERROR(FIND("J",D10)),3,2)),VLOOKUP(IF($E$7="Bwt (kg)",E10,E10/2.2046),Lists!$B$26:$D$33,IF(ISERROR(FIND("J",D10)),3,2)))</f>
        <v>93</v>
      </c>
      <c r="G10" s="311">
        <v>32</v>
      </c>
      <c r="H10" s="312">
        <f>IF(AND(VALUE(E10)&gt;0,OR(LEFT(D10,1)="M",LEFT(D10,1)="F")),IF(LEFT(D10,1)="M",Wilks_Men(IF(RIGHT($F$7,4)="(lb)",E10/2.2046,E10)),Wilks_Women(IF(RIGHT($F$7,4)="(lb)",E10/2.2046,E10))),0)</f>
        <v>0.6315000057220459</v>
      </c>
      <c r="I10" s="313">
        <v>940605</v>
      </c>
      <c r="J10" s="266">
        <f ca="1">IF(I10,VLOOKUP(INT((NOW()-DATE(LEFT(I10,2),MID(I10,3,2),RIGHT(I10,2)))/365.25),DATA!$A$2:$B$53,2,TRUE),0)</f>
        <v>1</v>
      </c>
      <c r="K10" s="311">
        <v>13</v>
      </c>
      <c r="L10" s="326">
        <v>145</v>
      </c>
      <c r="M10" s="327">
        <v>150</v>
      </c>
      <c r="N10" s="327"/>
      <c r="O10" s="315">
        <f>IF(MAX(BL10:BN10)&gt;0,MAX(ABS(L10)*BL10,ABS(M10)*BM10,ABS(N10)*BN10),0)</f>
        <v>145</v>
      </c>
      <c r="P10" s="316" t="s">
        <v>202</v>
      </c>
      <c r="Q10" s="309">
        <v>145</v>
      </c>
      <c r="R10" s="309"/>
      <c r="S10" s="309"/>
      <c r="T10" s="315">
        <f>IF(MAX(BQ10:BS10)&gt;0,MAX(ABS(Q10)*BQ10,ABS(R10)*BR10,ABS(S10)*BS10),0)</f>
        <v>0</v>
      </c>
      <c r="U10" s="315">
        <f>IF(OR(O10=0,T10=0),0,O10+T10)</f>
        <v>0</v>
      </c>
      <c r="V10" s="309">
        <v>230</v>
      </c>
      <c r="W10" s="317"/>
      <c r="X10" s="309"/>
      <c r="Y10" s="318">
        <f>IF(MAX(BV10:BX10)&gt;0,MAX(ABS(V10)*BV10,ABS(W10)*BW10,ABS(X10)*BX10),0)</f>
        <v>0</v>
      </c>
      <c r="Z10" s="315">
        <f ca="1">AU10*IF($AU$7="SQ",O10,IF($AU$7="BP",T10,IF($AU$7="DL",Y10,IF($AU$7="PP",IF(OR(T10=0,Y10=0),0,T10+Y10),IF(OR($U10=0,$Y10=0),0,$O10+$T10+$Y10)))))</f>
        <v>0</v>
      </c>
      <c r="AA10" s="319">
        <f ca="1">IF($E$2="Lb",Z10*H10/2.2046,Z10*H10)</f>
        <v>0</v>
      </c>
      <c r="AB10" s="319">
        <f ca="1">IF(AND(I10&gt;23,I10&lt;40),0,AA10*J10)</f>
        <v>0</v>
      </c>
      <c r="AC10" s="309">
        <f ca="1">OFFSET(Setup!$F$1,MATCH(D10,INDIRECT("Setup!B1:B100"),0)-1,0)</f>
        <v>1</v>
      </c>
      <c r="AD10" s="320" t="str">
        <f ca="1">IF(OR(Z10=0,AU10=0,AH10=0),"",CONCATENATE(AL10,"-",D10,IF(AC10&gt;1,"","-"),IF(AC10&gt;1,"",F10),"-",$AU$7))</f>
        <v/>
      </c>
      <c r="AE10" s="311" t="s">
        <v>110</v>
      </c>
      <c r="AH10" s="321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22">
        <f ca="1">RANK(Z10,INDIRECT("Z1:Z200"),-1)</f>
        <v>1</v>
      </c>
      <c r="AO10" s="322">
        <f>E10</f>
        <v>92</v>
      </c>
      <c r="AP10" s="322">
        <f ca="1">RANK(AO10,INDIRECT("AO1:AO200"))</f>
        <v>1</v>
      </c>
      <c r="AQ10" s="322">
        <f ca="1">RANK(BZ10,INDIRECT("BZ:BZ"),-1)</f>
        <v>1</v>
      </c>
      <c r="AU10" s="322">
        <f ca="1">IF(ISERROR(FIND($AU$7,AE10)),0,1)</f>
        <v>1</v>
      </c>
      <c r="AW10" s="322"/>
      <c r="AX10" s="324"/>
      <c r="AY10" s="324"/>
      <c r="AZ10" s="324"/>
      <c r="BA10" s="266">
        <f>HLOOKUP($A10,$BA$1:$BH$2,2,FALSE)</f>
        <v>0</v>
      </c>
      <c r="BB10" s="236">
        <f ca="1">IF(OR(INDIRECT(ADDRESS(ROW(BB10),$BB$4))="",INDIRECT(ADDRESS(ROW(BB10),$BB$4))=0),"",ABS(INDIRECT(ADDRESS(ROW(BB10),$BB$4)))+0.0001*INDIRECT(ADDRESS(ROW(BB10),7)))</f>
        <v>150.00319999999999</v>
      </c>
      <c r="BL10" s="236">
        <v>1</v>
      </c>
      <c r="BM10" s="236">
        <v>0</v>
      </c>
      <c r="BN10" s="236">
        <v>0</v>
      </c>
      <c r="BO10" s="325">
        <v>43018.432106481479</v>
      </c>
      <c r="BQ10" s="236">
        <v>0</v>
      </c>
      <c r="BR10" s="236">
        <v>0</v>
      </c>
      <c r="BS10" s="236">
        <v>0</v>
      </c>
      <c r="BV10" s="236">
        <v>0</v>
      </c>
      <c r="BW10" s="236">
        <v>0</v>
      </c>
      <c r="BX10" s="236">
        <v>0</v>
      </c>
      <c r="BY10" s="325">
        <f>IF(BX10=1,3,IF(BW10=1,2,IF(BV10=1,1,0)))</f>
        <v>0</v>
      </c>
      <c r="BZ10" s="325">
        <f ca="1">IF($AU$7="SQ",BO10,IF($AU$7="BP",BT10,BY10))</f>
        <v>0</v>
      </c>
      <c r="CA10" s="328">
        <v>0.45098379629629631</v>
      </c>
    </row>
    <row r="11" spans="1:125" ht="19.5" customHeight="1" x14ac:dyDescent="0.2">
      <c r="A11" s="309" t="s">
        <v>23</v>
      </c>
      <c r="B11" s="310" t="s">
        <v>199</v>
      </c>
      <c r="C11" s="310" t="s">
        <v>188</v>
      </c>
      <c r="D11" s="311" t="s">
        <v>48</v>
      </c>
      <c r="E11" s="311">
        <v>77</v>
      </c>
      <c r="F11" s="311">
        <f>IF(LEFT(D11,1)="M",VLOOKUP(IF($E$7="Bwt (kg)",E11,E11/2.2046),Lists!$B$16:$D$24,IF(ISERROR(FIND("J",D11)),3,2)),VLOOKUP(IF($E$7="Bwt (kg)",E11,E11/2.2046),Lists!$B$26:$D$33,IF(ISERROR(FIND("J",D11)),3,2)))</f>
        <v>83</v>
      </c>
      <c r="G11" s="311">
        <v>15</v>
      </c>
      <c r="H11" s="312">
        <f>IF(AND(VALUE(E11)&gt;0,OR(LEFT(D11,1)="M",LEFT(D11,1)="F")),IF(LEFT(D11,1)="M",Wilks_Men(IF(RIGHT($F$7,4)="(lb)",E11/2.2046,E11)),Wilks_Women(IF(RIGHT($F$7,4)="(lb)",E11/2.2046,E11))),0)</f>
        <v>0.69989997148513794</v>
      </c>
      <c r="I11" s="313">
        <v>910429</v>
      </c>
      <c r="J11" s="266">
        <f ca="1">IF(I11,VLOOKUP(INT((NOW()-DATE(LEFT(I11,2),MID(I11,3,2),RIGHT(I11,2)))/365.25),DATA!$A$2:$B$53,2,TRUE),0)</f>
        <v>1</v>
      </c>
      <c r="K11" s="311" t="s">
        <v>191</v>
      </c>
      <c r="L11" s="329">
        <v>-190</v>
      </c>
      <c r="M11" s="327">
        <v>200</v>
      </c>
      <c r="N11" s="327"/>
      <c r="O11" s="315">
        <f>IF(MAX(BL11:BN11)&gt;0,MAX(ABS(L11)*BL11,ABS(M11)*BM11,ABS(N11)*BN11),0)</f>
        <v>0</v>
      </c>
      <c r="P11" s="316" t="s">
        <v>192</v>
      </c>
      <c r="Q11" s="309">
        <v>135</v>
      </c>
      <c r="R11" s="309"/>
      <c r="S11" s="309"/>
      <c r="T11" s="315">
        <f>IF(MAX(BQ11:BS11)&gt;0,MAX(ABS(Q11)*BQ11,ABS(R11)*BR11,ABS(S11)*BS11),0)</f>
        <v>0</v>
      </c>
      <c r="U11" s="315">
        <f>IF(OR(O11=0,T11=0),0,O11+T11)</f>
        <v>0</v>
      </c>
      <c r="V11" s="309">
        <v>200</v>
      </c>
      <c r="W11" s="309"/>
      <c r="X11" s="309"/>
      <c r="Y11" s="315">
        <f>IF(MAX(BV11:BX11)&gt;0,MAX(ABS(V11)*BV11,ABS(W11)*BW11,ABS(X11)*BX11),0)</f>
        <v>0</v>
      </c>
      <c r="Z11" s="315">
        <f ca="1">AU11*IF($AU$7="SQ",O11,IF($AU$7="BP",T11,IF($AU$7="DL",Y11,IF($AU$7="PP",IF(OR(T11=0,Y11=0),0,T11+Y11),IF(OR($U11=0,$Y11=0),0,$O11+$T11+$Y11)))))</f>
        <v>0</v>
      </c>
      <c r="AA11" s="319">
        <f ca="1">IF($E$2="Lb",Z11*H11/2.2046,Z11*H11)</f>
        <v>0</v>
      </c>
      <c r="AB11" s="319">
        <f ca="1">IF(AND(I11&gt;23,I11&lt;40),0,AA11*J11)</f>
        <v>0</v>
      </c>
      <c r="AC11" s="309">
        <f ca="1">OFFSET(Setup!$F$1,MATCH(D11,INDIRECT("Setup!B1:B100"),0)-1,0)</f>
        <v>1</v>
      </c>
      <c r="AD11" s="320" t="str">
        <f ca="1">IF(OR(Z11=0,AU11=0,AH11=0),"",CONCATENATE(AL11,"-",D11,IF(AC11&gt;1,"","-"),IF(AC11&gt;1,"",F11),"-",$AU$7))</f>
        <v/>
      </c>
      <c r="AE11" s="311" t="s">
        <v>110</v>
      </c>
      <c r="AH11" s="321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22">
        <f ca="1">RANK(Z11,INDIRECT("Z1:Z200"),-1)</f>
        <v>1</v>
      </c>
      <c r="AO11" s="322">
        <f>E11</f>
        <v>77</v>
      </c>
      <c r="AP11" s="322">
        <f ca="1">RANK(AO11,INDIRECT("AO1:AO200"))</f>
        <v>2</v>
      </c>
      <c r="AQ11" s="322">
        <f ca="1">RANK(BZ11,INDIRECT("BZ:BZ"),-1)</f>
        <v>1</v>
      </c>
      <c r="AU11" s="322">
        <f ca="1">IF(ISERROR(FIND($AU$7,AE11)),0,1)</f>
        <v>1</v>
      </c>
      <c r="AW11" s="322"/>
      <c r="AX11" s="324"/>
      <c r="AY11" s="324"/>
      <c r="AZ11" s="324"/>
      <c r="BA11" s="266">
        <f>HLOOKUP($A11,$BA$1:$BH$2,2,FALSE)</f>
        <v>0</v>
      </c>
      <c r="BB11" s="236">
        <f ca="1">IF(OR(INDIRECT(ADDRESS(ROW(BB11),$BB$4))="",INDIRECT(ADDRESS(ROW(BB11),$BB$4))=0),"",ABS(INDIRECT(ADDRESS(ROW(BB11),$BB$4)))+0.0001*INDIRECT(ADDRESS(ROW(BB11),7)))</f>
        <v>200.00149999999999</v>
      </c>
      <c r="BL11" s="236">
        <v>-1</v>
      </c>
      <c r="BM11" s="236">
        <v>0</v>
      </c>
      <c r="BN11" s="236">
        <v>0</v>
      </c>
      <c r="BO11" s="325">
        <v>43018.450682870367</v>
      </c>
      <c r="BQ11" s="236">
        <v>0</v>
      </c>
      <c r="BR11" s="236">
        <v>0</v>
      </c>
      <c r="BS11" s="236">
        <v>0</v>
      </c>
      <c r="BV11" s="236">
        <v>0</v>
      </c>
      <c r="BW11" s="236">
        <v>0</v>
      </c>
      <c r="BX11" s="236">
        <v>0</v>
      </c>
      <c r="BY11" s="325">
        <f>IF(BX11=1,3,IF(BW11=1,2,IF(BV11=1,1,0)))</f>
        <v>0</v>
      </c>
      <c r="BZ11" s="325">
        <f ca="1">IF($AU$7="SQ",BO11,IF($AU$7="BP",BT11,BY11))</f>
        <v>0</v>
      </c>
      <c r="CA11" s="328">
        <v>0.4513773148148148</v>
      </c>
    </row>
    <row r="12" spans="1:125" x14ac:dyDescent="0.2">
      <c r="J12" s="266"/>
    </row>
  </sheetData>
  <sortState ref="A9:XFD11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197" t="s">
        <v>108</v>
      </c>
      <c r="F1" s="198"/>
      <c r="G1" s="197" t="s">
        <v>109</v>
      </c>
      <c r="H1" s="19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5"/>
      <c r="E18" s="196" t="s">
        <v>105</v>
      </c>
      <c r="F18" s="196"/>
      <c r="G18" s="196"/>
      <c r="H18" s="196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5"/>
      <c r="E19" s="196"/>
      <c r="F19" s="196"/>
      <c r="G19" s="196"/>
      <c r="H19" s="19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5"/>
      <c r="E20" s="196"/>
      <c r="F20" s="196"/>
      <c r="G20" s="196"/>
      <c r="H20" s="196"/>
    </row>
    <row r="21" spans="1:24" x14ac:dyDescent="0.2">
      <c r="A21" s="27">
        <v>48</v>
      </c>
      <c r="B21" s="27">
        <v>1.097</v>
      </c>
      <c r="C21" s="195"/>
    </row>
    <row r="22" spans="1:24" x14ac:dyDescent="0.2">
      <c r="A22" s="27">
        <v>49</v>
      </c>
      <c r="B22" s="27">
        <v>1.113</v>
      </c>
      <c r="C22" s="19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5">
        <f ca="1">TODAY()</f>
        <v>43022</v>
      </c>
      <c r="C1" s="199" t="str">
        <f>Setup!B3</f>
        <v>GBG Cup</v>
      </c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1"/>
      <c r="AG1">
        <f>COUNTA(A:A)+8</f>
        <v>12</v>
      </c>
    </row>
    <row r="2" spans="1:33" ht="12.75" customHeight="1" thickBot="1" x14ac:dyDescent="0.25">
      <c r="A2" s="67"/>
      <c r="B2" s="206"/>
      <c r="C2" s="202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4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07">
        <f ca="1">TODAY()</f>
        <v>43022</v>
      </c>
      <c r="C1" s="209" t="str">
        <f>Setup!B3</f>
        <v>GBG Cup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1"/>
      <c r="AF1"/>
      <c r="AG1">
        <f>COUNTA(A:A)+4</f>
        <v>8</v>
      </c>
      <c r="AH1"/>
    </row>
    <row r="2" spans="1:77" s="29" customFormat="1" ht="12.75" customHeight="1" x14ac:dyDescent="0.2">
      <c r="A2" s="111"/>
      <c r="B2" s="208"/>
      <c r="C2" s="212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4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15" t="s">
        <v>182</v>
      </c>
      <c r="B3" s="216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16"/>
      <c r="B4" s="216"/>
      <c r="C4" s="217" t="s">
        <v>141</v>
      </c>
      <c r="D4" s="217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16"/>
      <c r="B5" s="216"/>
      <c r="C5" s="218" t="s">
        <v>174</v>
      </c>
      <c r="D5" s="218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16"/>
      <c r="B6" s="216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16"/>
      <c r="B7" s="216"/>
      <c r="C7" s="219" t="str">
        <f>CONCATENATE("WtCls ",RIGHT('Weigh-In'!E2,4))</f>
        <v>WtCls (kg)</v>
      </c>
      <c r="D7" s="219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16"/>
      <c r="B8" s="216"/>
      <c r="C8" s="218">
        <v>83</v>
      </c>
      <c r="D8" s="218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16"/>
      <c r="B9" s="216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16"/>
      <c r="B10" s="216"/>
      <c r="C10" s="217" t="s">
        <v>122</v>
      </c>
      <c r="D10" s="217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16"/>
      <c r="B11" s="216"/>
      <c r="C11" s="218" t="s">
        <v>129</v>
      </c>
      <c r="D11" s="218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2017-10-14T11:30:37Z</dcterms:modified>
</cp:coreProperties>
</file>