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Y37" i="1" l="1"/>
  <c r="Y38" i="1"/>
  <c r="Y40" i="1"/>
  <c r="Y39" i="1"/>
  <c r="Y36" i="1"/>
  <c r="Y35" i="1"/>
  <c r="Y42" i="1"/>
  <c r="Y41" i="1"/>
  <c r="Y20" i="1"/>
  <c r="Y13" i="1"/>
  <c r="Y17" i="1"/>
  <c r="Y18" i="1"/>
  <c r="Y14" i="1"/>
  <c r="Y19" i="1"/>
  <c r="Y11" i="1"/>
  <c r="Y16" i="1"/>
  <c r="Y10" i="1"/>
  <c r="Y9" i="1"/>
  <c r="Y15" i="1"/>
  <c r="Y12" i="1"/>
  <c r="Y34" i="1"/>
  <c r="Y32" i="1"/>
  <c r="Y33" i="1"/>
  <c r="Y29" i="1"/>
  <c r="Y26" i="1"/>
  <c r="Y30" i="1"/>
  <c r="Y27" i="1"/>
  <c r="Y31" i="1"/>
  <c r="Y24" i="1"/>
  <c r="Y23" i="1"/>
  <c r="Y28" i="1"/>
  <c r="Y25" i="1"/>
  <c r="Y22" i="1"/>
  <c r="Y21" i="1"/>
  <c r="T37" i="1"/>
  <c r="T38" i="1"/>
  <c r="T40" i="1"/>
  <c r="T39" i="1"/>
  <c r="T36" i="1"/>
  <c r="T35" i="1"/>
  <c r="T42" i="1"/>
  <c r="T41" i="1"/>
  <c r="T20" i="1"/>
  <c r="T13" i="1"/>
  <c r="T17" i="1"/>
  <c r="T18" i="1"/>
  <c r="T14" i="1"/>
  <c r="T19" i="1"/>
  <c r="T11" i="1"/>
  <c r="T16" i="1"/>
  <c r="T10" i="1"/>
  <c r="T9" i="1"/>
  <c r="T15" i="1"/>
  <c r="T12" i="1"/>
  <c r="T34" i="1"/>
  <c r="T32" i="1"/>
  <c r="T33" i="1"/>
  <c r="T29" i="1"/>
  <c r="T26" i="1"/>
  <c r="T30" i="1"/>
  <c r="T27" i="1"/>
  <c r="T31" i="1"/>
  <c r="T24" i="1"/>
  <c r="T23" i="1"/>
  <c r="T28" i="1"/>
  <c r="T25" i="1"/>
  <c r="T22" i="1"/>
  <c r="T21" i="1"/>
  <c r="O20" i="1"/>
  <c r="O13" i="1"/>
  <c r="O17" i="1"/>
  <c r="O18" i="1"/>
  <c r="O14" i="1"/>
  <c r="O19" i="1"/>
  <c r="O11" i="1"/>
  <c r="O16" i="1"/>
  <c r="O10" i="1"/>
  <c r="O9" i="1"/>
  <c r="O15" i="1"/>
  <c r="O12" i="1"/>
  <c r="O34" i="1"/>
  <c r="O32" i="1"/>
  <c r="O33" i="1"/>
  <c r="O29" i="1"/>
  <c r="O26" i="1"/>
  <c r="O30" i="1"/>
  <c r="O27" i="1"/>
  <c r="O31" i="1"/>
  <c r="O24" i="1"/>
  <c r="O23" i="1"/>
  <c r="O28" i="1"/>
  <c r="O25" i="1"/>
  <c r="O22" i="1"/>
  <c r="O21" i="1"/>
  <c r="Y8" i="1"/>
  <c r="O37" i="1"/>
  <c r="O38" i="1"/>
  <c r="O40" i="1"/>
  <c r="O39" i="1"/>
  <c r="O36" i="1"/>
  <c r="O35" i="1"/>
  <c r="O42" i="1"/>
  <c r="O41" i="1"/>
  <c r="O8" i="1"/>
  <c r="B12" i="10"/>
  <c r="B13" i="10"/>
  <c r="B14" i="10"/>
  <c r="B15" i="10"/>
  <c r="B16" i="10"/>
  <c r="B17" i="10"/>
  <c r="B18" i="10"/>
  <c r="B19" i="10"/>
  <c r="B20" i="10"/>
  <c r="B21" i="10"/>
  <c r="B22" i="10"/>
  <c r="F23" i="10"/>
  <c r="F27" i="10"/>
  <c r="F33" i="10"/>
  <c r="N24" i="10"/>
  <c r="J34" i="10"/>
  <c r="B29" i="10"/>
  <c r="J25" i="10"/>
  <c r="J29" i="10"/>
  <c r="F32" i="10"/>
  <c r="J30" i="10"/>
  <c r="K12" i="10"/>
  <c r="K13" i="10"/>
  <c r="K14" i="10"/>
  <c r="K15" i="10"/>
  <c r="K16" i="10"/>
  <c r="K17" i="10"/>
  <c r="K18" i="10"/>
  <c r="K19" i="10"/>
  <c r="K20" i="10"/>
  <c r="K21" i="10"/>
  <c r="K22" i="10"/>
  <c r="C30" i="10"/>
  <c r="K30" i="10"/>
  <c r="G26" i="10"/>
  <c r="K23" i="10"/>
  <c r="O24" i="10"/>
  <c r="O28" i="10"/>
  <c r="O32" i="10"/>
  <c r="C28" i="10"/>
  <c r="C33" i="10"/>
  <c r="K25" i="10"/>
  <c r="H12" i="10"/>
  <c r="H13" i="10"/>
  <c r="H14" i="10"/>
  <c r="H15" i="10"/>
  <c r="H16" i="10"/>
  <c r="H17" i="10"/>
  <c r="H18" i="10"/>
  <c r="H19" i="10"/>
  <c r="H20" i="10"/>
  <c r="H21" i="10"/>
  <c r="H22" i="10"/>
  <c r="D24" i="10"/>
  <c r="D31" i="10"/>
  <c r="H23" i="10"/>
  <c r="H27" i="10"/>
  <c r="L24" i="10"/>
  <c r="L31" i="10"/>
  <c r="P26" i="10"/>
  <c r="P30" i="10"/>
  <c r="D29" i="10"/>
  <c r="H31" i="10"/>
  <c r="I12" i="10"/>
  <c r="M13" i="10"/>
  <c r="E15" i="10"/>
  <c r="I16" i="10"/>
  <c r="M17" i="10"/>
  <c r="E19" i="10"/>
  <c r="I20" i="10"/>
  <c r="M21" i="10"/>
  <c r="D25" i="10"/>
  <c r="H24" i="10"/>
  <c r="H29" i="10"/>
  <c r="P23" i="10"/>
  <c r="P27" i="10"/>
  <c r="D30" i="10"/>
  <c r="L28" i="10"/>
  <c r="M12" i="10"/>
  <c r="I15" i="10"/>
  <c r="M16" i="10"/>
  <c r="E18" i="10"/>
  <c r="I19" i="10"/>
  <c r="E22" i="10"/>
  <c r="I18" i="10"/>
  <c r="E21" i="10"/>
  <c r="N14" i="10"/>
  <c r="N18" i="10"/>
  <c r="N20" i="10"/>
  <c r="F26" i="10"/>
  <c r="N23" i="10"/>
  <c r="B27" i="10"/>
  <c r="N28" i="10"/>
  <c r="B28" i="10"/>
  <c r="G14" i="10"/>
  <c r="G16" i="10"/>
  <c r="G19" i="10"/>
  <c r="G20" i="10"/>
  <c r="C26" i="10"/>
  <c r="G25" i="10"/>
  <c r="O23" i="10"/>
  <c r="C27" i="10"/>
  <c r="G32" i="10"/>
  <c r="D13" i="10"/>
  <c r="D16" i="10"/>
  <c r="D19" i="10"/>
  <c r="D20" i="10"/>
  <c r="D23" i="10"/>
  <c r="D28" i="10"/>
  <c r="H26" i="10"/>
  <c r="L27" i="10"/>
  <c r="D27" i="10"/>
  <c r="H28" i="10"/>
  <c r="M14" i="10"/>
  <c r="I17" i="10"/>
  <c r="E20" i="10"/>
  <c r="M22" i="10"/>
  <c r="F12" i="10"/>
  <c r="F13" i="10"/>
  <c r="F14" i="10"/>
  <c r="F15" i="10"/>
  <c r="F16" i="10"/>
  <c r="F17" i="10"/>
  <c r="F18" i="10"/>
  <c r="F19" i="10"/>
  <c r="F20" i="10"/>
  <c r="F21" i="10"/>
  <c r="F22" i="10"/>
  <c r="F24" i="10"/>
  <c r="F28" i="10"/>
  <c r="B36" i="10"/>
  <c r="N26" i="10"/>
  <c r="B24" i="10"/>
  <c r="N32" i="10"/>
  <c r="J26" i="10"/>
  <c r="N33" i="10"/>
  <c r="B23" i="10"/>
  <c r="F35" i="10"/>
  <c r="O12" i="10"/>
  <c r="O13" i="10"/>
  <c r="O14" i="10"/>
  <c r="O15" i="10"/>
  <c r="O16" i="10"/>
  <c r="O17" i="10"/>
  <c r="O18" i="10"/>
  <c r="O19" i="10"/>
  <c r="O20" i="10"/>
  <c r="O21" i="10"/>
  <c r="O22" i="10"/>
  <c r="G28" i="10"/>
  <c r="G23" i="10"/>
  <c r="G29" i="10"/>
  <c r="K24" i="10"/>
  <c r="O25" i="10"/>
  <c r="O29" i="10"/>
  <c r="C24" i="10"/>
  <c r="C29" i="10"/>
  <c r="G27" i="10"/>
  <c r="K28" i="10"/>
  <c r="L12" i="10"/>
  <c r="L13" i="10"/>
  <c r="L14" i="10"/>
  <c r="L15" i="10"/>
  <c r="L16" i="10"/>
  <c r="L17" i="10"/>
  <c r="L18" i="10"/>
  <c r="L19" i="10"/>
  <c r="L20" i="10"/>
  <c r="L21" i="10"/>
  <c r="L22" i="10"/>
  <c r="H30" i="10"/>
  <c r="L25" i="10"/>
  <c r="P31" i="10"/>
  <c r="E14" i="10"/>
  <c r="M20" i="10"/>
  <c r="I22" i="10"/>
  <c r="N12" i="10"/>
  <c r="N15" i="10"/>
  <c r="N16" i="10"/>
  <c r="N19" i="10"/>
  <c r="N22" i="10"/>
  <c r="B30" i="10"/>
  <c r="J28" i="10"/>
  <c r="G13" i="10"/>
  <c r="G15" i="10"/>
  <c r="G18" i="10"/>
  <c r="G22" i="10"/>
  <c r="K32" i="10"/>
  <c r="O31" i="10"/>
  <c r="D12" i="10"/>
  <c r="D15" i="10"/>
  <c r="D18" i="10"/>
  <c r="D22" i="10"/>
  <c r="L23" i="10"/>
  <c r="P29" i="10"/>
  <c r="I13" i="10"/>
  <c r="M18" i="10"/>
  <c r="J12" i="10"/>
  <c r="J13" i="10"/>
  <c r="J14" i="10"/>
  <c r="J15" i="10"/>
  <c r="J16" i="10"/>
  <c r="J17" i="10"/>
  <c r="J18" i="10"/>
  <c r="J19" i="10"/>
  <c r="J20" i="10"/>
  <c r="J21" i="10"/>
  <c r="J22" i="10"/>
  <c r="F25" i="10"/>
  <c r="F29" i="10"/>
  <c r="J31" i="10"/>
  <c r="N27" i="10"/>
  <c r="B26" i="10"/>
  <c r="J23" i="10"/>
  <c r="J27" i="10"/>
  <c r="N25" i="10"/>
  <c r="B25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G31" i="10"/>
  <c r="G24" i="10"/>
  <c r="K29" i="10"/>
  <c r="K27" i="10"/>
  <c r="O26" i="10"/>
  <c r="O30" i="10"/>
  <c r="C25" i="10"/>
  <c r="C31" i="10"/>
  <c r="G30" i="10"/>
  <c r="K31" i="10"/>
  <c r="P12" i="10"/>
  <c r="P13" i="10"/>
  <c r="P14" i="10"/>
  <c r="P15" i="10"/>
  <c r="P16" i="10"/>
  <c r="P17" i="10"/>
  <c r="P18" i="10"/>
  <c r="P19" i="10"/>
  <c r="P20" i="10"/>
  <c r="P21" i="10"/>
  <c r="P22" i="10"/>
  <c r="D26" i="10"/>
  <c r="L29" i="10"/>
  <c r="H25" i="10"/>
  <c r="H32" i="10"/>
  <c r="L26" i="10"/>
  <c r="P24" i="10"/>
  <c r="P28" i="10"/>
  <c r="P32" i="10"/>
  <c r="D32" i="10"/>
  <c r="L30" i="10"/>
  <c r="E13" i="10"/>
  <c r="I14" i="10"/>
  <c r="M15" i="10"/>
  <c r="E17" i="10"/>
  <c r="M19" i="10"/>
  <c r="N13" i="10"/>
  <c r="N17" i="10"/>
  <c r="N21" i="10"/>
  <c r="B31" i="10"/>
  <c r="J24" i="10"/>
  <c r="G12" i="10"/>
  <c r="G17" i="10"/>
  <c r="G21" i="10"/>
  <c r="K26" i="10"/>
  <c r="O27" i="10"/>
  <c r="C32" i="10"/>
  <c r="D14" i="10"/>
  <c r="D17" i="10"/>
  <c r="D21" i="10"/>
  <c r="L32" i="10"/>
  <c r="P25" i="10"/>
  <c r="E12" i="10"/>
  <c r="E16" i="10"/>
  <c r="I21" i="10"/>
  <c r="U42" i="1" l="1"/>
  <c r="U40" i="1"/>
  <c r="U41" i="1"/>
  <c r="U39" i="1"/>
  <c r="U15" i="1"/>
  <c r="U11" i="1"/>
  <c r="U17" i="1"/>
  <c r="U25" i="1"/>
  <c r="U31" i="1"/>
  <c r="U29" i="1"/>
  <c r="U12" i="1"/>
  <c r="U16" i="1"/>
  <c r="U18" i="1"/>
  <c r="U19" i="1"/>
  <c r="U13" i="1"/>
  <c r="U35" i="1"/>
  <c r="U9" i="1"/>
  <c r="U22" i="1"/>
  <c r="U37" i="1"/>
  <c r="U24" i="1"/>
  <c r="U26" i="1"/>
  <c r="U34" i="1"/>
  <c r="U10" i="1"/>
  <c r="U14" i="1"/>
  <c r="U20" i="1"/>
  <c r="U38" i="1"/>
  <c r="U36" i="1"/>
  <c r="U28" i="1"/>
  <c r="U27" i="1"/>
  <c r="U33" i="1"/>
  <c r="U21" i="1"/>
  <c r="U23" i="1"/>
  <c r="U30" i="1"/>
  <c r="U32" i="1"/>
  <c r="AO34" i="1"/>
  <c r="J34" i="1"/>
  <c r="AO33" i="1"/>
  <c r="J33" i="1"/>
  <c r="AO31" i="1"/>
  <c r="J31" i="1"/>
  <c r="AO30" i="1"/>
  <c r="J30" i="1"/>
  <c r="AO32" i="1"/>
  <c r="J32" i="1"/>
  <c r="AO21" i="1"/>
  <c r="J21" i="1"/>
  <c r="AO28" i="1"/>
  <c r="J28" i="1"/>
  <c r="AO25" i="1"/>
  <c r="J25" i="1"/>
  <c r="AO23" i="1"/>
  <c r="J23" i="1"/>
  <c r="AO22" i="1"/>
  <c r="J22" i="1"/>
  <c r="AO24" i="1"/>
  <c r="J24" i="1"/>
  <c r="AO27" i="1"/>
  <c r="J27" i="1"/>
  <c r="AO29" i="1"/>
  <c r="J29" i="1"/>
  <c r="AO26" i="1"/>
  <c r="J26" i="1"/>
  <c r="AO9" i="1"/>
  <c r="J9" i="1"/>
  <c r="AO16" i="1"/>
  <c r="J16" i="1"/>
  <c r="AO12" i="1"/>
  <c r="J12" i="1"/>
  <c r="AO15" i="1"/>
  <c r="J15" i="1"/>
  <c r="AO10" i="1"/>
  <c r="J10" i="1"/>
  <c r="AO20" i="1"/>
  <c r="J20" i="1"/>
  <c r="AO19" i="1"/>
  <c r="J19" i="1"/>
  <c r="AO18" i="1"/>
  <c r="J18" i="1"/>
  <c r="AO17" i="1"/>
  <c r="J17" i="1"/>
  <c r="AO14" i="1"/>
  <c r="J14" i="1"/>
  <c r="AO11" i="1"/>
  <c r="J11" i="1"/>
  <c r="AO13" i="1"/>
  <c r="J13" i="1"/>
  <c r="BY42" i="1"/>
  <c r="AO42" i="1"/>
  <c r="J42" i="1"/>
  <c r="BY36" i="1"/>
  <c r="AO36" i="1"/>
  <c r="J36" i="1"/>
  <c r="BY40" i="1"/>
  <c r="AO40" i="1"/>
  <c r="J40" i="1"/>
  <c r="BY41" i="1"/>
  <c r="AO41" i="1"/>
  <c r="J41" i="1"/>
  <c r="BY39" i="1"/>
  <c r="AO39" i="1"/>
  <c r="J39" i="1"/>
  <c r="BY38" i="1"/>
  <c r="AO38" i="1"/>
  <c r="J38" i="1"/>
  <c r="BY37" i="1"/>
  <c r="AO37" i="1"/>
  <c r="J37" i="1"/>
  <c r="BY35" i="1"/>
  <c r="AO35" i="1"/>
  <c r="J35" i="1"/>
  <c r="M25" i="10"/>
  <c r="E31" i="10"/>
  <c r="N35" i="10"/>
  <c r="P33" i="10"/>
  <c r="I23" i="10"/>
  <c r="M28" i="10"/>
  <c r="E34" i="10"/>
  <c r="B33" i="10"/>
  <c r="C35" i="10"/>
  <c r="E25" i="10"/>
  <c r="I30" i="10"/>
  <c r="M35" i="10"/>
  <c r="B35" i="10"/>
  <c r="I25" i="10"/>
  <c r="M30" i="10"/>
  <c r="E36" i="10"/>
  <c r="J35" i="10"/>
  <c r="O34" i="10"/>
  <c r="C36" i="10"/>
  <c r="F34" i="10"/>
  <c r="H33" i="10"/>
  <c r="O35" i="10"/>
  <c r="K35" i="10"/>
  <c r="Q20" i="10"/>
  <c r="Q19" i="10"/>
  <c r="Q30" i="10"/>
  <c r="Q17" i="10"/>
  <c r="O11" i="10"/>
  <c r="AC40" i="1"/>
  <c r="AC14" i="1"/>
  <c r="AC31" i="1"/>
  <c r="E11" i="10"/>
  <c r="AC11" i="1"/>
  <c r="AC30" i="1"/>
  <c r="BB35" i="1"/>
  <c r="BB34" i="1"/>
  <c r="C11" i="10"/>
  <c r="AC24" i="1"/>
  <c r="BB16" i="1"/>
  <c r="BB23" i="1"/>
  <c r="AC17" i="1"/>
  <c r="BB12" i="1"/>
  <c r="AC15" i="1"/>
  <c r="H11" i="10"/>
  <c r="BB21" i="1"/>
  <c r="Q31" i="10"/>
  <c r="Q13" i="10"/>
  <c r="BB11" i="1"/>
  <c r="BB38" i="1"/>
  <c r="I11" i="10"/>
  <c r="AC23" i="1"/>
  <c r="BB25" i="1"/>
  <c r="AC16" i="1"/>
  <c r="BB30" i="1"/>
  <c r="AC12" i="1"/>
  <c r="BB13" i="1"/>
  <c r="AC20" i="1"/>
  <c r="AC19" i="1"/>
  <c r="E27" i="10"/>
  <c r="I32" i="10"/>
  <c r="G33" i="10"/>
  <c r="N36" i="10"/>
  <c r="M24" i="10"/>
  <c r="E30" i="10"/>
  <c r="I35" i="10"/>
  <c r="N34" i="10"/>
  <c r="F36" i="10"/>
  <c r="I26" i="10"/>
  <c r="M31" i="10"/>
  <c r="N29" i="10"/>
  <c r="L35" i="10"/>
  <c r="M26" i="10"/>
  <c r="E32" i="10"/>
  <c r="F30" i="10"/>
  <c r="D34" i="10"/>
  <c r="P36" i="10"/>
  <c r="E35" i="10"/>
  <c r="L34" i="10"/>
  <c r="K34" i="10"/>
  <c r="P35" i="10"/>
  <c r="Q28" i="10"/>
  <c r="Q16" i="10"/>
  <c r="Q15" i="10"/>
  <c r="Q22" i="10"/>
  <c r="Q25" i="10"/>
  <c r="AC27" i="1"/>
  <c r="AC36" i="1"/>
  <c r="AC42" i="1"/>
  <c r="P11" i="10"/>
  <c r="BB14" i="1"/>
  <c r="E23" i="10"/>
  <c r="I28" i="10"/>
  <c r="M33" i="10"/>
  <c r="H35" i="10"/>
  <c r="K36" i="10"/>
  <c r="E26" i="10"/>
  <c r="I31" i="10"/>
  <c r="M36" i="10"/>
  <c r="D33" i="10"/>
  <c r="L36" i="10"/>
  <c r="M27" i="10"/>
  <c r="E33" i="10"/>
  <c r="N31" i="10"/>
  <c r="K33" i="10"/>
  <c r="E28" i="10"/>
  <c r="I33" i="10"/>
  <c r="B32" i="10"/>
  <c r="D36" i="10"/>
  <c r="P34" i="10"/>
  <c r="I36" i="10"/>
  <c r="J36" i="10"/>
  <c r="H36" i="10"/>
  <c r="L33" i="10"/>
  <c r="Q24" i="10"/>
  <c r="Q12" i="10"/>
  <c r="Q27" i="10"/>
  <c r="Q18" i="10"/>
  <c r="Q29" i="10"/>
  <c r="N11" i="10"/>
  <c r="AC33" i="1"/>
  <c r="AC39" i="1"/>
  <c r="BB39" i="1"/>
  <c r="AC10" i="1"/>
  <c r="D11" i="10"/>
  <c r="AC9" i="1"/>
  <c r="AC22" i="1"/>
  <c r="BB27" i="1"/>
  <c r="L11" i="10"/>
  <c r="BB15" i="1"/>
  <c r="AC25" i="1"/>
  <c r="BB36" i="1"/>
  <c r="AC29" i="1"/>
  <c r="AC13" i="1"/>
  <c r="AC21" i="1"/>
  <c r="BB42" i="1"/>
  <c r="F11" i="10"/>
  <c r="BB18" i="1"/>
  <c r="AC32" i="1"/>
  <c r="AC34" i="1"/>
  <c r="BB37" i="1"/>
  <c r="BB29" i="1"/>
  <c r="AC38" i="1"/>
  <c r="BB20" i="1"/>
  <c r="I24" i="10"/>
  <c r="M29" i="10"/>
  <c r="N30" i="10"/>
  <c r="D35" i="10"/>
  <c r="H34" i="10"/>
  <c r="I27" i="10"/>
  <c r="M32" i="10"/>
  <c r="F31" i="10"/>
  <c r="O33" i="10"/>
  <c r="M23" i="10"/>
  <c r="E29" i="10"/>
  <c r="I34" i="10"/>
  <c r="J33" i="10"/>
  <c r="E24" i="10"/>
  <c r="I29" i="10"/>
  <c r="M34" i="10"/>
  <c r="B34" i="10"/>
  <c r="G36" i="10"/>
  <c r="C34" i="10"/>
  <c r="J32" i="10"/>
  <c r="G35" i="10"/>
  <c r="O36" i="10"/>
  <c r="G34" i="10"/>
  <c r="Q32" i="10"/>
  <c r="Q23" i="10"/>
  <c r="Q26" i="10"/>
  <c r="Q14" i="10"/>
  <c r="Q21" i="10"/>
  <c r="B11" i="10"/>
  <c r="AC41" i="1"/>
  <c r="BB19" i="1"/>
  <c r="BB31" i="1"/>
  <c r="AC18" i="1"/>
  <c r="K11" i="10"/>
  <c r="AC28" i="1"/>
  <c r="AC35" i="1"/>
  <c r="AC37" i="1"/>
  <c r="M11" i="10"/>
  <c r="BB10" i="1"/>
  <c r="BB32" i="1"/>
  <c r="AC26" i="1"/>
  <c r="J11" i="10"/>
  <c r="G11" i="10"/>
  <c r="E5" i="12" l="1"/>
  <c r="I5" i="12"/>
  <c r="Q34" i="10"/>
  <c r="BB33" i="1"/>
  <c r="Q35" i="10"/>
  <c r="BB22" i="1"/>
  <c r="Q36" i="10"/>
  <c r="Q33" i="10"/>
  <c r="BB26" i="1"/>
  <c r="BB24" i="1"/>
  <c r="BB9" i="1"/>
  <c r="BB17" i="1"/>
  <c r="BB28" i="1"/>
  <c r="J8" i="1" l="1"/>
  <c r="BB40" i="1"/>
  <c r="BB41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T8" i="1"/>
  <c r="U8" i="1" s="1"/>
  <c r="BY8" i="1"/>
  <c r="AO8" i="1"/>
  <c r="E7" i="1"/>
  <c r="E31" i="6" s="1"/>
  <c r="F31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28" i="1"/>
  <c r="AP23" i="1"/>
  <c r="AP38" i="1"/>
  <c r="AP16" i="1"/>
  <c r="AP15" i="1"/>
  <c r="AP13" i="1"/>
  <c r="AP17" i="1"/>
  <c r="AP14" i="1"/>
  <c r="AP21" i="1"/>
  <c r="AP34" i="1"/>
  <c r="AP24" i="1"/>
  <c r="AP22" i="1"/>
  <c r="AP39" i="1"/>
  <c r="AP37" i="1"/>
  <c r="AP30" i="1"/>
  <c r="AP33" i="1"/>
  <c r="AP25" i="1"/>
  <c r="AP41" i="1"/>
  <c r="AP27" i="1"/>
  <c r="AP18" i="1"/>
  <c r="AP10" i="1"/>
  <c r="AP31" i="1"/>
  <c r="AP32" i="1"/>
  <c r="AP29" i="1"/>
  <c r="AP36" i="1"/>
  <c r="AP35" i="1"/>
  <c r="AP40" i="1"/>
  <c r="AP26" i="1"/>
  <c r="Z17" i="1" l="1"/>
  <c r="Z11" i="1"/>
  <c r="Z15" i="1"/>
  <c r="Z29" i="1"/>
  <c r="Z25" i="1"/>
  <c r="Z30" i="1"/>
  <c r="Z16" i="1"/>
  <c r="Z12" i="1"/>
  <c r="Z24" i="1"/>
  <c r="Z21" i="1"/>
  <c r="Z32" i="1"/>
  <c r="Z14" i="1"/>
  <c r="Z10" i="1"/>
  <c r="Z22" i="1"/>
  <c r="Z26" i="1"/>
  <c r="Z23" i="1"/>
  <c r="Z33" i="1"/>
  <c r="Z19" i="1"/>
  <c r="Z9" i="1"/>
  <c r="Z27" i="1"/>
  <c r="Z28" i="1"/>
  <c r="Z34" i="1"/>
  <c r="Z18" i="1"/>
  <c r="Z31" i="1"/>
  <c r="Z8" i="1"/>
  <c r="Z37" i="1"/>
  <c r="Z36" i="1"/>
  <c r="Z20" i="1"/>
  <c r="Z38" i="1"/>
  <c r="Z35" i="1"/>
  <c r="Z13" i="1"/>
  <c r="Z40" i="1"/>
  <c r="Z42" i="1"/>
  <c r="Z39" i="1"/>
  <c r="Z41" i="1"/>
  <c r="F34" i="1"/>
  <c r="F33" i="1"/>
  <c r="F31" i="1"/>
  <c r="F30" i="1"/>
  <c r="F32" i="1"/>
  <c r="F21" i="1"/>
  <c r="F28" i="1"/>
  <c r="F25" i="1"/>
  <c r="F23" i="1"/>
  <c r="F22" i="1"/>
  <c r="F24" i="1"/>
  <c r="F27" i="1"/>
  <c r="F29" i="1"/>
  <c r="F26" i="1"/>
  <c r="BZ34" i="1"/>
  <c r="AU34" i="1"/>
  <c r="BZ31" i="1"/>
  <c r="AU31" i="1"/>
  <c r="BZ32" i="1"/>
  <c r="AU32" i="1"/>
  <c r="BZ28" i="1"/>
  <c r="AU28" i="1"/>
  <c r="BZ23" i="1"/>
  <c r="AU23" i="1"/>
  <c r="BZ24" i="1"/>
  <c r="AU24" i="1"/>
  <c r="BZ29" i="1"/>
  <c r="AU29" i="1"/>
  <c r="BZ33" i="1"/>
  <c r="BZ27" i="1"/>
  <c r="AU26" i="1"/>
  <c r="AU21" i="1"/>
  <c r="AU25" i="1"/>
  <c r="BZ26" i="1"/>
  <c r="AU30" i="1"/>
  <c r="BZ21" i="1"/>
  <c r="BZ25" i="1"/>
  <c r="AU22" i="1"/>
  <c r="AU33" i="1"/>
  <c r="BZ30" i="1"/>
  <c r="BZ22" i="1"/>
  <c r="AU27" i="1"/>
  <c r="F9" i="1"/>
  <c r="F16" i="1"/>
  <c r="F12" i="1"/>
  <c r="F15" i="1"/>
  <c r="F10" i="1"/>
  <c r="F20" i="1"/>
  <c r="F19" i="1"/>
  <c r="F18" i="1"/>
  <c r="F17" i="1"/>
  <c r="F14" i="1"/>
  <c r="F11" i="1"/>
  <c r="F13" i="1"/>
  <c r="BZ9" i="1"/>
  <c r="AU9" i="1"/>
  <c r="BZ12" i="1"/>
  <c r="AU12" i="1"/>
  <c r="BZ10" i="1"/>
  <c r="AU10" i="1"/>
  <c r="BZ19" i="1"/>
  <c r="AU19" i="1"/>
  <c r="BZ17" i="1"/>
  <c r="AU17" i="1"/>
  <c r="BZ11" i="1"/>
  <c r="AU11" i="1"/>
  <c r="BZ16" i="1"/>
  <c r="AU16" i="1"/>
  <c r="BZ15" i="1"/>
  <c r="AU15" i="1"/>
  <c r="BZ20" i="1"/>
  <c r="AU20" i="1"/>
  <c r="BZ18" i="1"/>
  <c r="AU18" i="1"/>
  <c r="BZ14" i="1"/>
  <c r="AU14" i="1"/>
  <c r="BZ13" i="1"/>
  <c r="AU13" i="1"/>
  <c r="F42" i="1"/>
  <c r="F36" i="1"/>
  <c r="F40" i="1"/>
  <c r="F41" i="1"/>
  <c r="F39" i="1"/>
  <c r="F38" i="1"/>
  <c r="F37" i="1"/>
  <c r="F35" i="1"/>
  <c r="BZ42" i="1"/>
  <c r="AU42" i="1"/>
  <c r="BZ40" i="1"/>
  <c r="AU40" i="1"/>
  <c r="BZ39" i="1"/>
  <c r="AU39" i="1"/>
  <c r="BZ37" i="1"/>
  <c r="AU37" i="1"/>
  <c r="BZ36" i="1"/>
  <c r="AU36" i="1"/>
  <c r="BZ41" i="1"/>
  <c r="AU41" i="1"/>
  <c r="BZ38" i="1"/>
  <c r="AU38" i="1"/>
  <c r="BZ35" i="1"/>
  <c r="AU35" i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4" i="1"/>
  <c r="H39" i="1"/>
  <c r="H19" i="1"/>
  <c r="H26" i="1"/>
  <c r="H15" i="1"/>
  <c r="H13" i="1"/>
  <c r="H27" i="1"/>
  <c r="H41" i="1"/>
  <c r="H33" i="1"/>
  <c r="H21" i="1"/>
  <c r="H34" i="1"/>
  <c r="H20" i="1"/>
  <c r="H9" i="1"/>
  <c r="H10" i="1"/>
  <c r="H17" i="1"/>
  <c r="H28" i="1"/>
  <c r="H31" i="1"/>
  <c r="H22" i="1"/>
  <c r="H25" i="1"/>
  <c r="H38" i="1"/>
  <c r="H14" i="1"/>
  <c r="H35" i="1"/>
  <c r="H11" i="1"/>
  <c r="H37" i="1"/>
  <c r="H12" i="1"/>
  <c r="H42" i="1"/>
  <c r="H32" i="1"/>
  <c r="H30" i="1"/>
  <c r="H29" i="1"/>
  <c r="H36" i="1"/>
  <c r="H18" i="1"/>
  <c r="H23" i="1"/>
  <c r="H40" i="1"/>
  <c r="H16" i="1"/>
  <c r="AA36" i="1" l="1"/>
  <c r="AA38" i="1"/>
  <c r="AA40" i="1"/>
  <c r="AA41" i="1"/>
  <c r="AA42" i="1"/>
  <c r="AA35" i="1"/>
  <c r="AA39" i="1"/>
  <c r="AA37" i="1"/>
  <c r="AA27" i="1"/>
  <c r="AA22" i="1"/>
  <c r="AA24" i="1"/>
  <c r="AA28" i="1"/>
  <c r="AA31" i="1"/>
  <c r="AA25" i="1"/>
  <c r="AA21" i="1"/>
  <c r="AA29" i="1"/>
  <c r="AA23" i="1"/>
  <c r="AA32" i="1"/>
  <c r="AA34" i="1"/>
  <c r="AA33" i="1"/>
  <c r="AA30" i="1"/>
  <c r="AA26" i="1"/>
  <c r="AA13" i="1"/>
  <c r="AA18" i="1"/>
  <c r="AA15" i="1"/>
  <c r="AA11" i="1"/>
  <c r="AA19" i="1"/>
  <c r="AA12" i="1"/>
  <c r="AA14" i="1"/>
  <c r="AA20" i="1"/>
  <c r="AA16" i="1"/>
  <c r="AA17" i="1"/>
  <c r="AA10" i="1"/>
  <c r="AA9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AA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Q21" i="1"/>
  <c r="AP19" i="1"/>
  <c r="AQ37" i="1"/>
  <c r="AQ18" i="1"/>
  <c r="AQ12" i="1"/>
  <c r="AQ28" i="1"/>
  <c r="AQ19" i="1"/>
  <c r="AQ33" i="1"/>
  <c r="AQ40" i="1"/>
  <c r="AP20" i="1"/>
  <c r="AQ10" i="1"/>
  <c r="AQ27" i="1"/>
  <c r="AQ39" i="1"/>
  <c r="AP11" i="1"/>
  <c r="AQ16" i="1"/>
  <c r="AQ25" i="1"/>
  <c r="AQ35" i="1"/>
  <c r="AQ9" i="1"/>
  <c r="AQ14" i="1"/>
  <c r="AP9" i="1"/>
  <c r="AP12" i="1"/>
  <c r="AQ32" i="1"/>
  <c r="AP42" i="1"/>
  <c r="AQ34" i="1"/>
  <c r="AQ36" i="1"/>
  <c r="AQ24" i="1"/>
  <c r="AQ30" i="1"/>
  <c r="AQ42" i="1"/>
  <c r="AQ29" i="1"/>
  <c r="AQ22" i="1"/>
  <c r="AQ31" i="1"/>
  <c r="N6" i="8" l="1"/>
  <c r="B7" i="8"/>
  <c r="A6" i="8"/>
  <c r="E3" i="8"/>
  <c r="F3" i="8" s="1"/>
  <c r="E5" i="8"/>
  <c r="Q5" i="8" s="1"/>
  <c r="F5" i="8"/>
  <c r="R5" i="8" s="1"/>
  <c r="AD8" i="1"/>
  <c r="F4" i="8"/>
  <c r="AQ41" i="1"/>
  <c r="AH34" i="1"/>
  <c r="AN15" i="1"/>
  <c r="AQ11" i="1"/>
  <c r="AH25" i="1"/>
  <c r="AN21" i="1"/>
  <c r="AH42" i="1"/>
  <c r="AH33" i="1"/>
  <c r="AN12" i="1"/>
  <c r="AH22" i="1"/>
  <c r="AN20" i="1"/>
  <c r="AH27" i="1"/>
  <c r="AH13" i="1"/>
  <c r="AQ13" i="1"/>
  <c r="AN18" i="1"/>
  <c r="AH11" i="1"/>
  <c r="AN23" i="1"/>
  <c r="AN22" i="1"/>
  <c r="AH14" i="1"/>
  <c r="AH30" i="1"/>
  <c r="AH35" i="1"/>
  <c r="AN13" i="1"/>
  <c r="AH15" i="1"/>
  <c r="AQ17" i="1"/>
  <c r="AH10" i="1"/>
  <c r="AH12" i="1"/>
  <c r="AH37" i="1"/>
  <c r="AH21" i="1"/>
  <c r="AH32" i="1"/>
  <c r="AH39" i="1"/>
  <c r="AN40" i="1"/>
  <c r="AN14" i="1"/>
  <c r="AQ23" i="1"/>
  <c r="AH9" i="1"/>
  <c r="AH38" i="1"/>
  <c r="AN17" i="1"/>
  <c r="AN37" i="1"/>
  <c r="AN34" i="1"/>
  <c r="AN24" i="1"/>
  <c r="AH28" i="1"/>
  <c r="AQ26" i="1"/>
  <c r="AH36" i="1"/>
  <c r="AH40" i="1"/>
  <c r="AQ20" i="1"/>
  <c r="AN16" i="1"/>
  <c r="AN31" i="1"/>
  <c r="AH18" i="1"/>
  <c r="AH41" i="1"/>
  <c r="AQ38" i="1"/>
  <c r="AH31" i="1"/>
  <c r="AH29" i="1"/>
  <c r="AH23" i="1"/>
  <c r="AH26" i="1"/>
  <c r="AH20" i="1"/>
  <c r="AH19" i="1"/>
  <c r="AQ15" i="1"/>
  <c r="AN35" i="1"/>
  <c r="AH17" i="1"/>
  <c r="AH24" i="1"/>
  <c r="AH16" i="1"/>
  <c r="AJ38" i="1" l="1"/>
  <c r="AJ37" i="1"/>
  <c r="AJ40" i="1"/>
  <c r="AJ36" i="1"/>
  <c r="AJ41" i="1"/>
  <c r="AJ39" i="1"/>
  <c r="AJ42" i="1"/>
  <c r="AJ35" i="1"/>
  <c r="AB38" i="1"/>
  <c r="AB37" i="1"/>
  <c r="AB40" i="1"/>
  <c r="AB36" i="1"/>
  <c r="AB41" i="1"/>
  <c r="AB39" i="1"/>
  <c r="AB42" i="1"/>
  <c r="AB35" i="1"/>
  <c r="AJ34" i="1"/>
  <c r="AB34" i="1"/>
  <c r="AJ33" i="1"/>
  <c r="AB33" i="1"/>
  <c r="AJ32" i="1"/>
  <c r="AB32" i="1"/>
  <c r="AJ31" i="1"/>
  <c r="AB31" i="1"/>
  <c r="AJ30" i="1"/>
  <c r="AB30" i="1"/>
  <c r="AJ23" i="1"/>
  <c r="AB23" i="1"/>
  <c r="AJ28" i="1"/>
  <c r="AB28" i="1"/>
  <c r="AJ26" i="1"/>
  <c r="AB26" i="1"/>
  <c r="AJ29" i="1"/>
  <c r="AB29" i="1"/>
  <c r="AJ27" i="1"/>
  <c r="AB27" i="1"/>
  <c r="AJ24" i="1"/>
  <c r="AB24" i="1"/>
  <c r="AJ22" i="1"/>
  <c r="AB22" i="1"/>
  <c r="AJ21" i="1"/>
  <c r="AB21" i="1"/>
  <c r="AJ25" i="1"/>
  <c r="AB25" i="1"/>
  <c r="AJ20" i="1"/>
  <c r="AB20" i="1"/>
  <c r="AJ17" i="1"/>
  <c r="AB17" i="1"/>
  <c r="AJ15" i="1"/>
  <c r="AB15" i="1"/>
  <c r="AJ18" i="1"/>
  <c r="AB18" i="1"/>
  <c r="AJ13" i="1"/>
  <c r="AB13" i="1"/>
  <c r="AJ16" i="1"/>
  <c r="AB16" i="1"/>
  <c r="AJ14" i="1"/>
  <c r="AB14" i="1"/>
  <c r="AJ19" i="1"/>
  <c r="AB19" i="1"/>
  <c r="AJ10" i="1"/>
  <c r="AB10" i="1"/>
  <c r="AJ12" i="1"/>
  <c r="AB12" i="1"/>
  <c r="AJ11" i="1"/>
  <c r="AB11" i="1"/>
  <c r="AJ9" i="1"/>
  <c r="AB9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AK24" i="1"/>
  <c r="AN27" i="1"/>
  <c r="AN41" i="1"/>
  <c r="AN11" i="1"/>
  <c r="AK18" i="1"/>
  <c r="AK37" i="1"/>
  <c r="AK38" i="1"/>
  <c r="AI22" i="1"/>
  <c r="AI17" i="1"/>
  <c r="AI26" i="1"/>
  <c r="AI27" i="1"/>
  <c r="AK15" i="1"/>
  <c r="AI31" i="1"/>
  <c r="AI21" i="1"/>
  <c r="AN19" i="1"/>
  <c r="AI9" i="1"/>
  <c r="AK26" i="1"/>
  <c r="AI10" i="1"/>
  <c r="AK30" i="1"/>
  <c r="AK10" i="1"/>
  <c r="AI36" i="1"/>
  <c r="AN39" i="1"/>
  <c r="AK33" i="1"/>
  <c r="AI13" i="1"/>
  <c r="AK21" i="1"/>
  <c r="AN28" i="1"/>
  <c r="AI32" i="1"/>
  <c r="AN26" i="1"/>
  <c r="AK40" i="1"/>
  <c r="AI33" i="1"/>
  <c r="AK34" i="1"/>
  <c r="AN32" i="1"/>
  <c r="AN30" i="1"/>
  <c r="AK39" i="1"/>
  <c r="AI14" i="1"/>
  <c r="AN36" i="1"/>
  <c r="AI18" i="1"/>
  <c r="AI35" i="1"/>
  <c r="AN38" i="1"/>
  <c r="AI12" i="1"/>
  <c r="AI29" i="1"/>
  <c r="AI19" i="1"/>
  <c r="AK20" i="1"/>
  <c r="AN9" i="1"/>
  <c r="AI38" i="1"/>
  <c r="AI42" i="1"/>
  <c r="AI41" i="1"/>
  <c r="AK41" i="1"/>
  <c r="AI34" i="1"/>
  <c r="AK11" i="1"/>
  <c r="AN25" i="1"/>
  <c r="AI28" i="1"/>
  <c r="AI40" i="1"/>
  <c r="AI16" i="1"/>
  <c r="AN42" i="1"/>
  <c r="AI24" i="1"/>
  <c r="AN33" i="1"/>
  <c r="AI15" i="1"/>
  <c r="AI30" i="1"/>
  <c r="AI37" i="1"/>
  <c r="AI23" i="1"/>
  <c r="AN10" i="1"/>
  <c r="AI25" i="1"/>
  <c r="AI39" i="1"/>
  <c r="AI20" i="1"/>
  <c r="AK13" i="1"/>
  <c r="AN29" i="1"/>
  <c r="AI11" i="1"/>
  <c r="AK32" i="1"/>
  <c r="AK28" i="1"/>
  <c r="AK29" i="1"/>
  <c r="AK14" i="1"/>
  <c r="AK19" i="1"/>
  <c r="AK22" i="1"/>
  <c r="AK12" i="1"/>
  <c r="AL33" i="1" l="1"/>
  <c r="AD33" i="1" s="1"/>
  <c r="AL21" i="1"/>
  <c r="AD21" i="1" s="1"/>
  <c r="AL22" i="1"/>
  <c r="AD22" i="1" s="1"/>
  <c r="AL34" i="1"/>
  <c r="AD34" i="1" s="1"/>
  <c r="AL30" i="1"/>
  <c r="AD30" i="1" s="1"/>
  <c r="AL26" i="1"/>
  <c r="AD26" i="1" s="1"/>
  <c r="AL32" i="1"/>
  <c r="AD32" i="1" s="1"/>
  <c r="AL29" i="1"/>
  <c r="AD29" i="1" s="1"/>
  <c r="AL28" i="1"/>
  <c r="AD28" i="1" s="1"/>
  <c r="AL24" i="1"/>
  <c r="AD24" i="1" s="1"/>
  <c r="AL12" i="1"/>
  <c r="AD12" i="1" s="1"/>
  <c r="AL10" i="1"/>
  <c r="AD10" i="1" s="1"/>
  <c r="AL13" i="1"/>
  <c r="AD13" i="1" s="1"/>
  <c r="AL19" i="1"/>
  <c r="AD19" i="1" s="1"/>
  <c r="AL14" i="1"/>
  <c r="AD14" i="1" s="1"/>
  <c r="AL20" i="1"/>
  <c r="AD20" i="1" s="1"/>
  <c r="AL15" i="1"/>
  <c r="AD15" i="1" s="1"/>
  <c r="AL18" i="1"/>
  <c r="AD18" i="1" s="1"/>
  <c r="AL11" i="1"/>
  <c r="AD11" i="1" s="1"/>
  <c r="AL41" i="1"/>
  <c r="AD41" i="1" s="1"/>
  <c r="AL39" i="1"/>
  <c r="AD39" i="1" s="1"/>
  <c r="AL38" i="1"/>
  <c r="AD38" i="1" s="1"/>
  <c r="AL37" i="1"/>
  <c r="AD37" i="1" s="1"/>
  <c r="AL40" i="1"/>
  <c r="AD40" i="1" s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AK42" i="1"/>
  <c r="AK17" i="1"/>
  <c r="AK31" i="1"/>
  <c r="AK27" i="1"/>
  <c r="AK23" i="1"/>
  <c r="AK25" i="1"/>
  <c r="AL42" i="1" l="1"/>
  <c r="AD42" i="1" s="1"/>
  <c r="AK35" i="1"/>
  <c r="AK36" i="1"/>
  <c r="AL25" i="1" l="1"/>
  <c r="AD25" i="1" s="1"/>
  <c r="AL23" i="1"/>
  <c r="AD23" i="1" s="1"/>
  <c r="AL31" i="1"/>
  <c r="AD31" i="1" s="1"/>
  <c r="AL27" i="1"/>
  <c r="AD27" i="1" s="1"/>
  <c r="AL35" i="1"/>
  <c r="AD35" i="1" s="1"/>
  <c r="AL36" i="1"/>
  <c r="AD36" i="1" s="1"/>
  <c r="AL17" i="1"/>
  <c r="AD17" i="1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AK16" i="1"/>
  <c r="AK9" i="1"/>
  <c r="AL16" i="1" l="1"/>
  <c r="AD16" i="1" s="1"/>
  <c r="AL9" i="1"/>
  <c r="AD9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AI8" i="1"/>
  <c r="Q11" i="10"/>
  <c r="AN8" i="1"/>
  <c r="AP8" i="1"/>
  <c r="BE5" i="1"/>
  <c r="AV1" i="1"/>
  <c r="AQ8" i="1"/>
  <c r="AC8" i="1"/>
  <c r="AK8" i="1"/>
  <c r="BA6" i="1"/>
  <c r="BB8" i="1"/>
  <c r="AL8" i="1" l="1"/>
  <c r="BA4" i="1"/>
  <c r="AS2" i="1"/>
  <c r="J44" i="8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BE6" i="1"/>
  <c r="BD6" i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AY5" i="1"/>
  <c r="AY4" i="1"/>
  <c r="BI4" i="1" l="1"/>
  <c r="BI2" i="1"/>
  <c r="K37" i="2" s="1"/>
  <c r="BI3" i="1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A38" i="2"/>
  <c r="C2" i="1"/>
  <c r="A36" i="2"/>
  <c r="A3" i="1"/>
  <c r="G4" i="1"/>
  <c r="AM5" i="1"/>
  <c r="A2" i="1"/>
  <c r="B10" i="11" l="1"/>
  <c r="H2" i="10"/>
  <c r="I6" i="4"/>
  <c r="L6" i="4" s="1"/>
  <c r="M9" i="4" s="1"/>
  <c r="M10" i="4" s="1"/>
  <c r="B38" i="2"/>
  <c r="A40" i="2"/>
  <c r="H6" i="10"/>
  <c r="B21" i="1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T38" i="2"/>
  <c r="K36" i="2"/>
  <c r="T39" i="2"/>
  <c r="T40" i="2"/>
  <c r="P3" i="2"/>
  <c r="BG6" i="1"/>
  <c r="O34" i="11" l="1"/>
  <c r="Q9" i="2"/>
  <c r="R9" i="2" s="1"/>
  <c r="O39" i="2"/>
  <c r="R39" i="2" s="1"/>
  <c r="B36" i="11" s="1"/>
  <c r="O37" i="11"/>
  <c r="O31" i="11"/>
  <c r="Q7" i="2"/>
  <c r="R7" i="2" s="1"/>
  <c r="Q15" i="2"/>
  <c r="R15" i="2" s="1"/>
  <c r="Q10" i="2"/>
  <c r="R10" i="2" s="1"/>
  <c r="Q13" i="2"/>
  <c r="R13" i="2" s="1"/>
  <c r="Q8" i="2"/>
  <c r="R8" i="2" s="1"/>
  <c r="Q12" i="2"/>
  <c r="R12" i="2" s="1"/>
  <c r="P18" i="2"/>
  <c r="Q21" i="2" s="1"/>
  <c r="R21" i="2" s="1"/>
  <c r="Q6" i="2"/>
  <c r="R6" i="2" s="1"/>
  <c r="Q14" i="2"/>
  <c r="R14" i="2" s="1"/>
  <c r="Q16" i="2"/>
  <c r="R16" i="2" s="1"/>
  <c r="Q11" i="2"/>
  <c r="R11" i="2" s="1"/>
  <c r="J11" i="4"/>
  <c r="J12" i="4" s="1"/>
  <c r="J10" i="4"/>
  <c r="J15" i="4"/>
  <c r="J16" i="4" s="1"/>
  <c r="J17" i="4" s="1"/>
  <c r="J18" i="4"/>
  <c r="J19" i="4" s="1"/>
  <c r="J13" i="4"/>
  <c r="J14" i="4"/>
  <c r="J9" i="4"/>
  <c r="M11" i="4"/>
  <c r="M12" i="4" s="1"/>
  <c r="M13" i="4" s="1"/>
  <c r="M14" i="4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22" i="2" l="1"/>
  <c r="R22" i="2" s="1"/>
  <c r="Q3" i="2"/>
  <c r="J6" i="4"/>
  <c r="M15" i="4"/>
  <c r="M16" i="4" s="1"/>
  <c r="M17" i="4" s="1"/>
  <c r="M18" i="4" s="1"/>
  <c r="M19" i="4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23" i="2" l="1"/>
  <c r="R23" i="2" s="1"/>
  <c r="M6" i="4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Q24" i="2" l="1"/>
  <c r="R24" i="2" s="1"/>
  <c r="I52" i="8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Q25" i="2" l="1"/>
  <c r="R25" i="2" s="1"/>
  <c r="G55" i="8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Q26" i="2" l="1"/>
  <c r="R26" i="2" s="1"/>
  <c r="H56" i="8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Q27" i="2" l="1"/>
  <c r="R27" i="2" s="1"/>
  <c r="I56" i="8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Q28" i="2" l="1"/>
  <c r="Q29" i="2" s="1"/>
  <c r="R29" i="2" s="1"/>
  <c r="U56" i="8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R28" i="2" l="1"/>
  <c r="Q30" i="2"/>
  <c r="R30" i="2" s="1"/>
  <c r="K56" i="8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Q31" i="2" l="1"/>
  <c r="R31" i="2" s="1"/>
  <c r="O38" i="2" s="1"/>
  <c r="R38" i="2" s="1"/>
  <c r="B31" i="11" s="1"/>
  <c r="K57" i="8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Q18" i="2" l="1"/>
  <c r="F61" i="8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/>
  <c r="BD2" i="1"/>
  <c r="BE2" i="1"/>
  <c r="BF2" i="1"/>
  <c r="BG2" i="1"/>
  <c r="BH2" i="1"/>
  <c r="BA2" i="1"/>
  <c r="BA40" i="1"/>
  <c r="BA42" i="1"/>
  <c r="BA35" i="1"/>
  <c r="BA38" i="1"/>
  <c r="BA41" i="1"/>
  <c r="BA37" i="1"/>
  <c r="BA36" i="1"/>
  <c r="BA39" i="1"/>
  <c r="BA32" i="1"/>
  <c r="BA24" i="1"/>
  <c r="BA22" i="1"/>
  <c r="BA34" i="1"/>
  <c r="BA21" i="1"/>
  <c r="BA26" i="1"/>
  <c r="BA30" i="1"/>
  <c r="BA28" i="1"/>
  <c r="BA33" i="1"/>
  <c r="BA31" i="1"/>
  <c r="BA23" i="1"/>
  <c r="BA27" i="1"/>
  <c r="BA29" i="1"/>
  <c r="BA25" i="1"/>
  <c r="BA18" i="1"/>
  <c r="BA19" i="1"/>
  <c r="BA20" i="1"/>
  <c r="BA13" i="1"/>
  <c r="BA12" i="1"/>
  <c r="BA14" i="1"/>
  <c r="BA10" i="1"/>
  <c r="BA11" i="1"/>
  <c r="BA16" i="1"/>
  <c r="BA9" i="1"/>
  <c r="BA17" i="1"/>
  <c r="BA15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11:09:46 - Clock Start
SQ-1 11:10:22 70/Good
SQ-2 11:10:42 - 80
11:22:02 - Clock Start
SQ-2 11:22:33 -80/No-Lift
SQ-3 11:23:02 - 105
11:36:45 - Clock Start
SQ-3 11:37:16 -105/No-Lift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12:35:24 - Clock Start
12:35:58 - Clock Start
BP-1 12:36:25 40/Good
BP-2 12:36:45 - 50
12:49:42 - Clock Start
BP-2 12:50:16 50/Good
BP-3 12:50:46 - 55
13:02:01 - Clock Start
BP-3 13:02:40 -55/No-Lift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14:12:19 - Clock Start
DL-1 14:12:34 80/Good
DL-2 14:12:52 - 100
14:21:10 - Clock Start
DL-2 14:21:26 100/Good
DL-3 14:21:46 - 110
14:32:34 - Clock Start
DL-3 14:32:51 110/Good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11:11:01 - Clock Start
SQ-1 11:11:25 75/Good
SQ-2 11:11:44 - 80
11:23:04 - Clock Start
SQ-2 11:23:25 80/Good
SQ-3 11:23:50 - 90
11:33:56 - Clock Start
SQ-3 11:34:22 -90/No-Lift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12:36:54 - Clock Start
BP-1 12:37:18 40/Good
BP-2 12:37:33 - 45
12:48:44 - Clock Start
BP-2 12:49:10 45/Good
BP-3 12:49:38 - 50
13:00:57 - Clock Start
BP-3 13:01:26 -50/No-Lift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13:37:01 - 100
14:14:18 - Clock Start
DL-1 14:14:35 100/Good
DL-2 14:15:25 - 112,5
14:23:02 - Clock Start
DL-2 14:23:22 112,5/Good
DL-3 14:23:39 - 115
DL-2 14:24:44 - 117,5
DL-2 14:25:10 - 112,5
DL-3 14:25:48 - 115
DL-3 14:25:49 - 115
DL-3 14:25:57 - 117,5
14:35:00 - Clock Start
DL-3 14:35:20 117,5/Good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11:11:55 - Clock Start
SQ-1 11:12:21 80/Good
SQ-2 11:12:58 - 85
11:23:53 - Clock Start
SQ-2 11:24:19 85/Good
SQ-3 11:24:49 - 92,5
11:34:50 - Clock Start
SQ-3 11:35:17 92,5/Good
SQ-3 18:07:38 - 93,5
SQ-3 18:09:34 - 93
SQ-3 18:12:59 - 92,5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12:46:27 - Clock Start
BP-1 12:46:49 75/Good
BP-2 12:47:27 - 80
12:58:18 - Clock Start
BP-2 12:58:41 80/Good
BP-3 12:59:28 - 82,5
13:10:12 - Clock Start
BP-3 13:10:40 82,5/Good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14:13:07 - Clock Start
DL-1 14:13:26 100/Good
DL-2 14:14:04 - 105
14:21:57 - Clock Start
DL-2 14:22:15 105/Good
DL-3 14:22:49 - 110
14:33:25 - Clock Start
DL-3 14:33:41 110/Good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11:12:52 - Clock Start
SQ-1 11:13:22 90/Good
SQ-2 11:14:48 - 100
11:24:52 - Clock Start
SQ-2 11:25:18 -100/No-Lift
SQ-3 11:25:50 - 100
11:35:47 - Clock Start
SQ-3 11:36:15 100/Good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12:40:01 - Clock Start
BP-1 12:40:31 60/Good
BP-2 12:40:48 - 70
12:56:14 - Clock Start
BP-2 12:56:41 70/Good
BP-3 12:57:50 - 75
13:08:16 - Clock Start
BP-3 13:08:51 75/Good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14:13:46 - Clock Start
DL-1 14:14:06 100/Good
DL-2 14:14:43 - 120
14:23:56 - Clock Start
DL-2 14:24:11 120/Good
DL-3 14:24:24 - 140
14:37:11 - Clock Start
DL-3 14:37:25 140/Good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11:13:55 - Clock Start
SQ-1 11:14:19 100/Good
SQ-2 11:14:31 - 110
11:25:53 - Clock Start
SQ-2 11:26:18 110/Good
SQ-3 11:26:34 - 112,5
11:37:52 - Clock Start
SQ-3 11:38:13 -112,5/No-Lift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12:43:03 - Clock Start
BP-1 12:43:33 67,5/Good
BP-2 12:43:57 - 70
12:54:55 - Clock Start
BP-2 12:55:53 70/Good
BP-3 12:56:54 - 75
13:07:29 - Clock Start
BP-3 13:08:01 75/Good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14:16:56 - Clock Start
DL-1 14:17:13 130/Good
DL-2 14:17:32 - 140
DL-2 14:26:05 140/Good
DL-2 14:26:37 - 140
14:26:57 - Clock Start
DL-2 14:27:15 140/Good
DL-3 14:27:39 - 150
14:38:06 - Clock Start
DL-3 14:38:22 150/Good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11:14:41 - Clock Start
SQ-1 11:15:13 100/Good
SQ-2 11:15:22 - 110
11:26:40 - Clock Start
SQ-2 11:27:11 110/Good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12:39:08 - Clock Start
BP-1 12:39:41 60/Good
BP-2 12:39:53 - 65
12:52:53 - Clock Start
BP-2 12:53:26 65/Good
BP-3 12:53:48 - 67,5
13:04:14 - Clock Start
BP-3 13:04:47 67,5/Good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14:15:42 - Clock Start
DL-1 14:15:51 120/Good
DL-2 14:16:03 - 130
DL-2 14:25:13 130/Good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11:15:44 - Clock Start
SQ-1 11:16:02 110/Good
SQ-2 11:16:23 - 115
11:27:42 - Clock Start
SQ-2 11:28:05 115/Good
SQ-3 11:28:36 - 
SQ-3 11:28:38 - 
SQ-3 11:28:50 - 125
11:39:52 - Clock Start
SQ-3 11:40:11 125/Good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12:47:31 - Clock Start
BP-1 12:47:53 100/Good
BP-2 12:48:24 - 105
12:59:50 - Clock Start
BP-2 13:00:16 105/Good
BP-3 13:00:46 - 110
13:12:19 - Clock Start
BP-3 13:12:43 110/Good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14:18:26 - Clock Start
DL-1 14:18:35 150/Good
DL-2 14:18:54 - 180
14:31:18 - Clock Start
DL-2 14:31:28 180/Good
DL-3 14:31:52 - 200
14:43:05 - Clock Start
DL-3 14:43:14 200/Good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11:16:26 - Clock Start
SQ-1 11:16:47 110/Good
SQ-2 11:17:06 - 120
11:28:42 - Clock Start
SQ-2 11:28:59 120/Good
SQ-3 11:29:10 - 127,5
11:40:48 - Clock Start
SQ-3 11:41:18 -127,5/No-Lift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12:45:24 - Clock Start
BP-1 12:45:47 70/Good
BP-2 12:46:07 - 80
12:58:50 - Clock Start
BP-2 12:59:23 80/Good
BP-3 12:59:45 - 85
13:11:02 - Clock Start
BP-3 13:11:35 -85/No-Lift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14:16:06 - Clock Start
DL-1 14:16:20 120/Good
DL-2 14:16:39 - 140
14:27:42 - Clock Start
DL-2 14:27:56 140/Good
DL-3 14:28:29 - 150
14:38:55 - Clock Start
DL-3 14:39:11 -150/No-Lift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11:17:22 - Clock Start
SQ-1 11:18:05 115/Good
SQ-2 11:18:17 - 120
11:29:23 - Clock Start
SQ-2 11:29:50 120/Good
SQ-3 11:30:01 - 122,5
11:38:54 - Clock Start
SQ-3 11:39:22 -122,5/No-Lift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12:42:02 - Clock Start
BP-1 12:42:35 65/Good
BP-2 12:42:54 - 67,5
12:53:52 - Clock Start
BP-2 12:54:29 67,5/Good
BP-3 12:54:46 - 70
13:06:22 - Clock Start
BP-3 13:06:56 -70/No-Lift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14:18:57 - Clock Start
DL-1 14:19:10 150/Good
DL-2 14:19:27 - 162,5
14:29:26 - Clock Start
DL-2 14:29:41 -162,5/No-Lift
DL-3 14:31:08 - 162,5
14:40:55 - Clock Start
DL-3 14:41:13 162,5/Good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11:18:37 - Clock Start
SQ-1 11:19:13 125/Good
SQ-2 11:19:42 - 130
11:30:21 - Clock Start
SQ-2 11:30:54 130/Good
SQ-3 11:31:30 - 135
11:41:47 - Clock Start
SQ-3 11:42:16 -135/No-Lift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12:02:25 - 67,5
12:44:17 - Clock Start
BP-1 12:44:50 67,5/Good
BP-2 12:45:19 - 72,5
12:57:12 - Clock Start
BP-2 12:57:38 72,5/Good
BP-3 12:58:11 - 77,5
13:09:20 - Clock Start
BP-3 13:09:52 -77,5/No-Lift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14:17:41 - Clock Start
DL-1 14:17:58 140/Good
DL-2 14:18:16 - 150
14:28:32 - Clock Start
DL-2 14:28:45 150/Good
DL-3 14:29:10 - 160
14:39:52 - Clock Start
DL-3 14:40:14 -160/No-Lift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11:19:38 - Clock Start
SQ-1 11:20:08 130/Good
SQ-2 11:20:50 - 145
11:31:20 - Clock Start
SQ-2 11:31:54 145/Good
SQ-3 11:32:35 - 155
11:42:46 - Clock Start
SQ-3 11:43:12 -155/No-Lift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12:38:08 - Clock Start
BP-1 12:38:50 60/Good
BP-2 12:39:20 - 65
12:51:53 - Clock Start
BP-2 12:52:33 -65/No-Lift
BP-3 12:53:38 - 70
13:05:15 - Clock Start
BP-3 13:05:52 -70/No-Lift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14:15:08 - Clock Start
DL-1 14:15:30 120/Good
DL-2 14:15:46 - 130
14:24:50 - Clock Start
DL-2 14:25:02 130/Good
DL-3 14:26:20 - 135
14:36:17 - Clock Start
DL-3 14:36:36 135/Good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11:20:43 - Clock Start
SQ-1 11:21:13 160/Good
SQ-2 11:21:32 - 170
11:32:27 - Clock Start
SQ-2 11:33:03 170/Good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12:40:51 - Clock Start
BP-1 12:41:20 60/Good
BP-2 12:41:44 - 62,5
12:50:52 - Clock Start
BP-2 12:51:23 62,5/Good
BP-3 12:51:35 - 65
13:03:18 - Clock Start
BP-3 13:03:54 65/Good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14:19:43 - Clock Start
DL-1 14:19:59 160/Good
DL-2 14:20:24 - 167,5
14:30:20 - Clock Start
DL-2 14:30:38 167,5/Good
DL-3 14:30:51 - 175
14:42:01 - Clock Start
DL-3 14:42:22 175/Good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11:45:19 - Clock Start
SQ-1 11:45:43 145/Good
SQ-2 11:46:00 - 155
12:00:48 - Clock Start
SQ-2 12:01:11 155/Good
SQ-3 12:01:47 - 170
12:18:41 - Clock Start
SQ-3 12:19:08 170/Good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13:22:49 - Clock Start
BP-1 13:23:24 120/Good
BP-2 13:23:53 - 130
13:40:34 - Clock Start
BP-2 13:41:10 130/Good
BP-3 13:41:34 - 140
13:55:10 - Clock Start
BP-3 13:55:48 140/Good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14:45:54 - Clock Start
DL-1 14:46:06 190/Good
DL-2 14:46:39 - 210
14:59:42 - Clock Start
DL-2 14:59:57 210/Good
DL-3 15:00:35 - 230
15:17:43 - Clock Start
DL-3 15:17:58 230/Good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11:46:19 - Clock Start
SQ-1 11:46:45 147,5/Good
SQ-2 11:47:11 - 157,5
12:01:37 - Clock Start
SQ-2 12:02:04 157,5/Good
SQ-3 12:02:44 - 162,5
12:16:26 - Clock Start
SQ-3 12:17:00 162,5/Good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13:14:44 - Clock Start
BP-1 13:15:15 95/Good
BP-2 13:15:30 - 100
13:31:11 - Clock Start
BP-2 13:31:48 100/Good
BP-3 13:32:21 - 105
13:47:09 - Clock Start
BP-3 13:47:51 105/Good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14:07:31 - 195
14:46:41 - Clock Start
DL-1 14:46:59 195/Good
DL-2 14:47:22 - 210
14:58:00 - Clock Start
DL-2 14:58:32 -210/No-Lift
DL-3 14:58:40 - 210
15:10:27 - Clock Start
DL-3 15:11:01 210/Good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11:47:21 - Clock Start
SQ-1 11:47:52 150/Good
SQ-2 11:48:11 - 160
12:03:42 - Clock Start
SQ-2 12:04:11 -160/No-Lift
SQ-3 12:04:21 - 160
12:15:35 - Clock Start
SQ-3 12:16:00 -160/No-Lift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13:15:55 - Clock Start
BP-1 13:16:24 100/Good
BP-2 13:16:39 - 110
13:32:27 - Clock Start
BP-2 13:32:47 110/Good
BP-3 13:33:06 - 115
13:49:33 - Clock Start
BP-3 13:49:58 -115/No-Lift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14:51:26 - Clock Start
DL-1 14:51:43 230/Good
DL-2 14:52:04 - 245
15:05:14 - Clock Start
DL-2 15:05:38 245/Good
DL-3 15:06:09 - 255
15:18:32 - Clock Start
DL-3 15:19:01 255/Good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11:48:33 - Clock Start
SQ-1 11:49:14 -160/No-Lift
SQ-2 11:49:28 - 160
12:02:34 - Clock Start
SQ-2 12:03:15 160/Good
SQ-3 12:03:51 - 165
12:17:33 - Clock Start
SQ-3 12:18:17 -165/No-Lift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13:17:07 - Clock Start
BP-1 13:17:44 105/Good
BP-2 13:18:01 - 112,5
13:33:15 - Clock Start
BP-2 13:34:16 -112,5/No-Lift
BP-3 13:34:29 - 112,5
13:48:18 - Clock Start
BP-3 13:49:06 -112,5/No-Lift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14:47:27 - Clock Start
DL-1 14:47:42 200/Good
DL-2 14:47:57 - 220
15:01:40 - Clock Start
DL-2 15:02:02 220/Good
DL-3 15:02:38 - 227,5
15:14:22 - Clock Start
DL-3 15:14:47 -227,5/No-Lift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11:49:36 - Clock Start
SQ-1 11:50:11 160/Good
SQ-2 11:50:36 - 170
12:04:49 - Clock Start
SQ-2 12:05:32 170/Good
SQ-3 12:05:46 - 180
12:20:46 - Clock Start
SQ-3 12:21:29 180/Good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13:21:33 - Clock Start
BP-1 13:22:02 120/Good
BP-2 13:22:18 - 127,5
13:38:46 - Clock Start
BP-2 13:39:06 127,5/Good
BP-3 13:39:29 - 135
13:54:11 - Clock Start
BP-3 13:54:44 135/Good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14:45:21 - Clock Start
DL-1 14:45:33 185/Good
DL-2 14:45:54 - 200
DL-2 14:46:49 - 215
15:00:46 - Clock Start
DL-2 15:01:10 215/Good
DL-3 15:01:38 - 230
15:16:56 - Clock Start
DL-3 15:17:10 -230/No-Lift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11:50:50 - Clock Start
SQ-1 11:51:15 170/Good
SQ-2 11:51:38 - 180
12:06:06 - Clock Start
SQ-2 12:06:36 -180/No-Lift
SQ-3 12:06:51 - 180
12:19:38 - Clock Start
12:19:59 - Clock Start
SQ-3 12:20:28 180/Good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13:20:30 - Clock Start
BP-1 13:20:57 117,5/Good
BP-2 13:21:12 - 125
13:37:04 - Clock Start
BP-2 13:37:30 125/Good
BP-3 13:38:42 - 132,5
13:53:10 - Clock Start
BP-3 13:53:35 -132,5/No-Lift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14:49:39 - Clock Start
DL-1 14:50:02 215/Good
DL-2 14:50:21 - 222,5
15:03:17 - Clock Start
DL-2 15:03:50 222,5/Good
DL-3 15:04:14 - 227,5
15:15:15 - Clock Start
DL-3 15:15:38 -227,5/No-Lift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11:51:52 - Clock Start
SQ-1 11:52:23 175/Good
SQ-2 11:52:52 - 182,5
12:07:03 - Clock Start
SQ-2 12:07:36 -182,5/No-Lift
SQ-3 12:07:51 - 182,5
12:21:57 - Clock Start
SQ-3 12:22:23 -182,5/No-Lift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12:15:45 - 115
BP-1 12:56:08 - 112,5
BP-1 13:02:49 - 110
13:18:21 - Clock Start
BP-1 13:18:51 110/Good
BP-2 13:19:16 - 117,5
13:34:47 - Clock Start
BP-2 13:35:17 117,5/Good
BP-3 13:35:44 - 125
13:51:19 - Clock Start
BP-3 13:51:56 -125/No-Lift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12:16:12 - 200
14:48:02 - Clock Start
DL-1 14:48:25 200/Good
DL-2 14:48:52 - 210
14:58:59 - Clock Start
DL-2 14:59:21 210/Good
DL-3 14:59:54 - 215
15:11:32 - Clock Start
DL-3 15:11:50 -215/No-Lift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11:53:00 - Clock Start
SQ-1 11:53:24 180/Good
SQ-2 11:54:01 - 190
12:08:07 - Clock Start
SQ-2 12:08:31 190/Good
SQ-3 12:08:48 - 200
12:22:57 - Clock Start
SQ-3 12:23:22 200/Good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13:19:28 - Clock Start
BP-1 13:19:55 -115/No-Lift
BP-2 13:20:17 - 120
13:35:47 - Clock Start
BP-2 13:36:10 120/Good
BP-3 13:36:27 - 125
13:50:28 - Clock Start
13:50:47 - Clock Start
BP-3 13:50:58 -125/No-Lift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14:50:28 - Clock Start
DL-1 14:50:44 220/Good
DL-2 14:50:59 - 225
15:04:31 - Clock Start
DL-2 15:04:45 225/Good
DL-3 15:05:04 - 230
15:16:13 - Clock Start
DL-3 15:16:30 230/Good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11:53:51 - Clock Start
SQ-1 11:54:13 185/Good
SQ-2 11:54:37 - 195
12:08:53 - Clock Start
SQ-2 12:09:16 195/Good
SQ-3 12:09:39 - 200
12:23:38 - Clock Start
SQ-3 12:24:04 200/Good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13:23:57 - Clock Start
BP-1 13:24:23 122,5/Good
BP-2 13:24:49 - 127,5
13:39:35 - Clock Start
BP-2 13:40:06 -127,5/No-Lift
BP-3 13:40:21 - 127,5
13:52:19 - Clock Start
BP-3 13:52:48 127,5/Good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14:48:58 - Clock Start
DL-1 14:49:13 205/Good
DL-2 14:49:23 - 220
15:02:33 - Clock Start
DL-2 15:02:53 220/Good
DL-3 15:03:10 - 225
15:12:57 - Clock Start
DL-3 15:13:16 -225/No-Lift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11:54:49 - Clock Start
SQ-1 11:55:16 190/Good
SQ-2 11:55:40 - 197,5
12:09:47 - Clock Start
SQ-2 12:10:15 197,5/Good
SQ-3 12:10:40 - 210
12:24:46 - Clock Start
SQ-3 12:25:20 210/Good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13:27:40 - Clock Start
BP-1 13:28:09 155/Good
BP-2 13:28:26 - 162,5
13:43:31 - Clock Start
BP-2 13:44:10 162,5/Good
BP-3 13:44:30 - 170
13:59:39 - Clock Start
BP-3 14:00:11 -170/No-Lift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14:52:24 - Clock Start
DL-1 14:52:43 240/Good
DL-2 14:52:59 - 255
15:06:28 - Clock Start
DL-2 15:06:51 255/Good
DL-3 15:07:15 - 265
15:20:36 - Clock Start
DL-3 15:20:54 265/Good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11:37:27 - 210
11:56:01 - Clock Start
SQ-1 11:56:26 -210/No-Lift
SQ-2 11:57:14 - 210
12:10:46 - Clock Start
SQ-2 12:11:12 210/Good
SQ-3 12:11:34 - 220
12:25:55 - Clock Start
SQ-3 12:26:21 220/Good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13:26:21 - Clock Start
BP-1 13:27:00 150/Good
BP-2 13:27:24 - 160
13:42:40 - Clock Start
BP-2 13:43:07 160/Good
BP-3 13:43:20 - 165
13:57:41 - Clock Start
BP-3 13:58:08 165/Good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14:53:05 - Clock Start
DL-1 14:53:21 240/Good
DL-2 14:53:36 - 260
15:07:18 - Clock Start
DL-2 15:07:35 -260/No-Lift
DL-3 15:07:47 - 260
15:19:42 - Clock Start
DL-3 15:19:59 -260/No-Lift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11:57:06 - Clock Start
SQ-1 11:57:32 220/Good
SQ-2 11:58:23 - 232,5
12:11:50 - Clock Start
SQ-2 12:12:19 232,5/Good
SQ-3 12:12:42 - 242,5
12:26:57 - Clock Start
SQ-3 12:27:30 -242,5/No-Lift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13:28:41 - Clock Start
BP-1 13:29:11 155/Good
BP-2 13:29:26 - 162,5
13:44:37 - Clock Start
BP-2 13:45:07 162,5/Good
BP-3 13:45:31 - 167,5
13:58:27 - Clock Start
BP-3 13:59:09 167,5/Good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14:53:39 - Clock Start
DL-1 14:53:57 240/Good
DL-2 14:55:18 - 260
15:07:54 - Clock Start
DL-2 15:08:11 260/Good
DL-3 15:08:43 - 272,5
15:21:26 - Clock Start
DL-3 15:21:44 272,5/Good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11:58:26 - Clock Start
SQ-1 11:58:46 230/Good
SQ-2 11:59:16 - 240
12:12:49 - Clock Start
SQ-2 12:13:23 240/Good
SQ-3 12:13:56 - 250
12:28:15 - Clock Start
SQ-3 12:28:51 250/Good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13:25:17 - Clock Start
BP-1 13:25:51 150/Good
BP-2 13:26:17 - 157,5
13:41:41 - Clock Start
BP-2 13:42:15 157,5/Good
BP-3 13:42:30 - 165
13:56:23 - Clock Start
BP-3 13:57:07 165/Good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14:15:02 - 260
DL-1 14:54:09 260/Good
DL-1 14:54:46 - 260
14:55:20 - Clock Start
DL-1 14:55:52 260/Good
DL-2 14:55:58 - 285
15:08:52 - Clock Start
DL-2 15:09:23 285/Good
DL-3 15:09:34 - 300
15:22:41 - Clock Start
DL-3 15:23:18 -300/No-Lift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 xml:space="preserve">Squat History:
11:59:27 - Clock Start
SQ-1 11:59:57 280/Good
SQ-2 12:00:27 - 285
12:14:12 - Clock Start
SQ-2 12:14:43 285/Good
SQ-3 12:15:02 - 287,5
SQ-3 12:19:45 - 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13:29:45 - Clock Start
BP-1 13:30:21 180/Good
BP-2 13:30:56 - 185
13:45:50 - Clock Start
BP-2 13:46:22 185/Good
BP-3 13:46:31 - 190
14:00:49 - Clock Start
BP-3 14:01:21 -190/No-Lift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 xml:space="preserve">Deadlift History:
14:56:27 - Clock Start
DL-1 14:56:45 280/Good
DL-3 15:23:27 0/No-Lift
DL-3 17:05:30 - 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10:34:57 - Clock Start
BP-1 10:35:32 47,5/Good
BP-2 10:35:48 - 50
10:45:16 - Clock Start
BP-2 10:45:49 50/Good
BP-3 10:46:10 - 52,5
10:55:00 - Clock Start
BP-3 10:55:35 -52,5/No-Lift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10:36:22 - Clock Start
BP-1 10:36:58 60/Good
BP-2 10:37:33 - 65
10:46:27 - Clock Start
BP-2 10:47:00 65/Good
BP-3 10:47:30 - 70
10:56:16 - Clock Start
BP-3 10:56:49 -70/No-Lift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10:01:46 - 80
10:37:55 - Clock Start
BP-1 10:38:28 80/Good
BP-2 10:38:42 - 87,5
10:47:42 - Clock Start
BP-2 10:48:17 87,5/Good
BP-3 10:48:33 - 92,5
11:00:04 - Clock Start
BP-3 11:00:45 92,5/Good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10:39:02 - Clock Start
BP-1 10:39:41 85/Good
BP-2 10:39:51 - 90
10:48:42 - Clock Start
BP-2 10:49:28 90/Good
BP-3 10:49:41 - 92,5
10:57:38 - Clock Start
BP-3 10:58:27 92,5/Good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10:40:28 - Clock Start
BP-1 10:40:55 85/Good
BP-2 10:41:08 - 90
10:49:57 - Clock Start
BP-2 10:50:27 90/Good
BP-3 10:50:40 - 92,5
10:59:00 - Clock Start
BP-3 10:59:30 -92,5/No-Lift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10:41:24 - Clock Start
BP-1 10:41:51 85/Good
BP-2 10:42:04 - 90
10:51:00 - Clock Start
BP-2 10:51:32 90/Good
BP-3 10:51:50 - 95
11:01:21 - Clock Start
BP-3 11:01:55 95/Good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10:42:38 - Clock Start
BP-1 10:43:07 115/Good
BP-2 10:43:25 - 120
10:52:19 - Clock Start
BP-2 10:52:47 120/Good
BP-3 10:53:09 - 125
11:02:38 - Clock Start
BP-3 11:03:08 125/Good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10:43:52 - Clock Start
BP-1 10:44:23 130/Good
BP-2 10:44:42 - 135
10:53:29 - Clock Start
BP-2 10:53:58 135/Good
BP-3 10:54:18 - 140
11:03:43 - Clock Start
BP-3 11:04:13 140/Good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<sst xmlns="http://schemas.openxmlformats.org/spreadsheetml/2006/main" count="955" uniqueCount="366">
  <si>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</si>
  <si>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</si>
  <si>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</si>
  <si>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</si>
  <si>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</si>
  <si>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</si>
  <si>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</si>
  <si>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</si>
  <si>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</si>
  <si>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</si>
  <si>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</si>
  <si>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</si>
  <si>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</si>
  <si>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</si>
  <si>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</si>
  <si>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</si>
  <si>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</si>
  <si>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</si>
  <si>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</si>
  <si>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</si>
  <si>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</si>
  <si>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</si>
  <si>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</si>
  <si>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</si>
  <si>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</si>
  <si>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</si>
  <si>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</si>
  <si>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</si>
  <si>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</si>
  <si>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</si>
  <si>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</si>
  <si>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</si>
  <si>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</si>
  <si>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</si>
  <si>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</si>
  <si>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</si>
  <si>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</si>
  <si>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</si>
  <si>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</si>
  <si>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</si>
  <si>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</si>
  <si>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</si>
  <si>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</si>
  <si>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</si>
  <si>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</si>
  <si>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</si>
  <si>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</si>
  <si>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</si>
  <si>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</si>
  <si>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</si>
  <si>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</si>
  <si>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</si>
  <si>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</si>
  <si>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</si>
  <si>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</si>
  <si>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</si>
  <si>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</si>
  <si>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</si>
  <si>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</si>
  <si>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</si>
  <si>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</si>
  <si>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</si>
  <si>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</si>
  <si>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</si>
  <si>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</si>
  <si>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</si>
  <si>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</si>
  <si>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</si>
  <si>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</si>
  <si>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</si>
  <si>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</si>
  <si>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</si>
  <si>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</si>
  <si>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</si>
  <si>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</si>
  <si>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</si>
  <si>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</si>
  <si>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</si>
  <si>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</si>
  <si>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</si>
  <si>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</si>
  <si>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</si>
  <si>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</si>
  <si>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</si>
  <si>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</si>
  <si>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</si>
  <si>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</si>
  <si>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</si>
  <si>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</si>
  <si>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</si>
  <si>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</si>
  <si>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</si>
  <si>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</si>
  <si>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</si>
  <si>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</si>
  <si>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</si>
  <si>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</si>
  <si>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</si>
  <si>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</si>
  <si>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</si>
  <si>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</si>
  <si>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</si>
  <si>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</si>
  <si>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</si>
  <si>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</si>
  <si>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</si>
  <si>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</si>
  <si>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</si>
  <si>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</si>
  <si>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</si>
  <si>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</si>
  <si>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</si>
  <si>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</si>
  <si>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</si>
  <si>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</si>
  <si>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</si>
  <si>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</si>
  <si>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</si>
  <si>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</si>
  <si>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</si>
  <si>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</si>
  <si>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</si>
  <si>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</si>
  <si>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</si>
  <si>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</si>
  <si>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</si>
  <si>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</si>
  <si>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</si>
  <si>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</si>
  <si>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</si>
  <si>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</si>
  <si>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</si>
  <si>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</si>
  <si>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</si>
  <si>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</si>
  <si>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</si>
  <si>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</si>
  <si>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</si>
  <si>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</si>
  <si>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</si>
  <si>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</si>
  <si>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</si>
  <si>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</si>
  <si>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</si>
  <si>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</si>
  <si>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</si>
  <si>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</si>
  <si>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</si>
  <si>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</si>
  <si>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</si>
  <si>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</si>
  <si>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</si>
  <si>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</si>
  <si>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</si>
  <si>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</si>
  <si>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</si>
  <si>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</si>
  <si>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</si>
  <si>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</si>
  <si>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</si>
  <si>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</si>
  <si>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</si>
  <si>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</si>
  <si>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</si>
  <si>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</si>
  <si>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</si>
  <si>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</si>
  <si>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</si>
  <si>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</si>
  <si>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</si>
  <si>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</si>
  <si>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</si>
  <si>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</si>
  <si>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</si>
  <si>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</si>
  <si>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</si>
  <si>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</si>
  <si>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</si>
  <si>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</si>
  <si>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</si>
  <si>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</si>
  <si>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</si>
  <si>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</si>
  <si>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</si>
  <si>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</si>
  <si>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</si>
  <si>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</si>
  <si>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</si>
  <si>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</si>
  <si>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</si>
  <si>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</si>
  <si>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</si>
  <si>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</si>
  <si>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</si>
  <si>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</si>
  <si>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</si>
  <si>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</si>
  <si>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</si>
  <si>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</si>
  <si>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</si>
  <si>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</si>
  <si>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</si>
  <si>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</si>
  <si>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</si>
  <si>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</si>
  <si>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</si>
  <si>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</si>
  <si>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</si>
  <si>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</si>
  <si>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</si>
  <si>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</si>
  <si>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</si>
  <si>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</si>
  <si>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</si>
  <si>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</si>
  <si>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</si>
  <si>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</si>
  <si>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</si>
  <si>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</si>
  <si>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</si>
  <si>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</si>
  <si>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</si>
  <si>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</si>
  <si>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</si>
  <si>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</si>
  <si>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</si>
  <si>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</si>
  <si>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</si>
  <si>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</si>
  <si>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</si>
  <si>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</si>
  <si>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</si>
  <si>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</si>
  <si>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</si>
  <si>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</si>
  <si>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</si>
  <si>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</si>
  <si>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</si>
  <si>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</si>
  <si>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</si>
  <si>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</si>
  <si>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</si>
  <si>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</si>
  <si>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</si>
  <si>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</si>
  <si>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</si>
  <si>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</si>
  <si>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</si>
  <si>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</si>
  <si>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</si>
  <si>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</si>
  <si>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7/5a</t>
  </si>
  <si>
    <t>6/3a</t>
  </si>
  <si>
    <t>Isabelle Karlsson</t>
  </si>
  <si>
    <t>Johanna Jilsén</t>
  </si>
  <si>
    <t>Martin Krisell</t>
  </si>
  <si>
    <t>7/4</t>
  </si>
  <si>
    <t>Mikael Jansson</t>
  </si>
  <si>
    <t>Rack:</t>
  </si>
  <si>
    <t>MAK</t>
  </si>
  <si>
    <t>Muskel AK</t>
  </si>
  <si>
    <t>FAK</t>
  </si>
  <si>
    <t>Fysiken AK</t>
  </si>
  <si>
    <t>Serieomgång 1</t>
  </si>
  <si>
    <t>Sandra Eisenberg</t>
  </si>
  <si>
    <t>6/6</t>
  </si>
  <si>
    <t>Lisa Heller</t>
  </si>
  <si>
    <t>7/7</t>
  </si>
  <si>
    <t>Ellen Kerkelä</t>
  </si>
  <si>
    <t>6/7</t>
  </si>
  <si>
    <t>7/6</t>
  </si>
  <si>
    <t>Sandra Jakobsson</t>
  </si>
  <si>
    <t>5/6</t>
  </si>
  <si>
    <t>Beatrice Berthner</t>
  </si>
  <si>
    <t>4/3a</t>
  </si>
  <si>
    <t>Victor Eryd</t>
  </si>
  <si>
    <t>10/7</t>
  </si>
  <si>
    <t>Pelle Arve</t>
  </si>
  <si>
    <t>10/4</t>
  </si>
  <si>
    <t>Nathalie Pahlenstam</t>
  </si>
  <si>
    <t>Johanna Wallberg</t>
  </si>
  <si>
    <t>Frida Gustavsson</t>
  </si>
  <si>
    <t>10/6</t>
  </si>
  <si>
    <t>Ronja Andersson</t>
  </si>
  <si>
    <t>Elsa Karlsson</t>
  </si>
  <si>
    <t>Caroline Sandberg</t>
  </si>
  <si>
    <t>7/6a</t>
  </si>
  <si>
    <t>Emma Giaever</t>
  </si>
  <si>
    <t>Jenny Bohlin</t>
  </si>
  <si>
    <t>Cecilia Thulin</t>
  </si>
  <si>
    <t>7/5</t>
  </si>
  <si>
    <t>Filip Landström</t>
  </si>
  <si>
    <t>9/3a</t>
  </si>
  <si>
    <t>Simon Andersson</t>
  </si>
  <si>
    <t>Magnus Carlsson</t>
  </si>
  <si>
    <t>9/5a</t>
  </si>
  <si>
    <t>Klaes Petersson</t>
  </si>
  <si>
    <t>12/8a</t>
  </si>
  <si>
    <t>Victor Ståhl</t>
  </si>
  <si>
    <t>9/6</t>
  </si>
  <si>
    <t>Viktor Mattsson</t>
  </si>
  <si>
    <t>Kenny Johansson</t>
  </si>
  <si>
    <t>Calle Öberg</t>
  </si>
  <si>
    <t>Björn Bondemark</t>
  </si>
  <si>
    <t>8/7</t>
  </si>
  <si>
    <t>Henrik Hermansson</t>
  </si>
  <si>
    <t>Valentino Almhage</t>
  </si>
  <si>
    <t>8/4</t>
  </si>
  <si>
    <t>Albin Björkman</t>
  </si>
  <si>
    <t>7/3</t>
  </si>
  <si>
    <t>Philip Torgersson</t>
  </si>
  <si>
    <t>Kennedy Wandera</t>
  </si>
  <si>
    <t>11/4</t>
  </si>
  <si>
    <t>Kl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</si>
  <si>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</si>
  <si>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</si>
  <si>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</si>
  <si>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</si>
  <si>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</si>
  <si>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</si>
  <si>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</si>
  <si>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</si>
  <si>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</si>
  <si>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10-F-BL-PL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</si>
  <si>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</si>
  <si>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</si>
  <si>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</si>
  <si>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</si>
  <si>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</si>
  <si>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</si>
  <si>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</si>
  <si>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</si>
  <si>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</si>
  <si>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</si>
  <si>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</si>
  <si>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</si>
  <si>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</si>
  <si>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</si>
  <si>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</si>
  <si>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</si>
  <si>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Bench Press Results Name</t>
  </si>
  <si>
    <t>1-F-BL-BP</t>
  </si>
  <si>
    <t>2-F-BL-BP</t>
  </si>
  <si>
    <t>3-F-BL-BP</t>
  </si>
  <si>
    <t>4-F-BL-BP</t>
  </si>
  <si>
    <t>5-F-BL-BP</t>
  </si>
  <si>
    <t>6-F-BL-BP</t>
  </si>
  <si>
    <t>1-M-BL-BP</t>
  </si>
  <si>
    <t>2-M-BL-BP</t>
  </si>
  <si>
    <t>VSK</t>
  </si>
  <si>
    <t>Vagnhallen SK</t>
  </si>
  <si>
    <t>930930fg</t>
  </si>
  <si>
    <t>880123ct</t>
  </si>
  <si>
    <t>000815ek</t>
  </si>
  <si>
    <t>001119fl</t>
  </si>
  <si>
    <t>950406np</t>
  </si>
  <si>
    <t>970124ra</t>
  </si>
  <si>
    <t>990525sa</t>
  </si>
  <si>
    <t>890322eg</t>
  </si>
  <si>
    <t>911122ik</t>
  </si>
  <si>
    <t>940525cs</t>
  </si>
  <si>
    <t>000225jw</t>
  </si>
  <si>
    <t>921130jb</t>
  </si>
  <si>
    <t>Ctrl + Shift +</t>
  </si>
  <si>
    <t>Next Grp</t>
  </si>
  <si>
    <t>Grp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</si>
</sst>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sz val="5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 tint="0.499984740745262"/>
      </left>
      <right/>
      <top style="thin">
        <color theme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2" fillId="0" borderId="0" xfId="1" applyAlignment="1">
      <alignment horizontal="left"/>
    </xf>
    <xf numFmtId="0" fontId="29" fillId="0" borderId="4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0" fontId="59" fillId="0" borderId="0" xfId="0" applyFont="1"/>
    <xf numFmtId="2" fontId="29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8" borderId="0" xfId="0" applyFill="1"/>
    <xf numFmtId="0" fontId="63" fillId="18" borderId="0" xfId="0" applyFont="1" applyFill="1" applyAlignment="1"/>
    <xf numFmtId="0" fontId="64" fillId="18" borderId="0" xfId="0" applyFont="1" applyFill="1" applyAlignment="1">
      <alignment vertical="top"/>
    </xf>
    <xf numFmtId="0" fontId="52" fillId="18" borderId="0" xfId="0" applyFont="1" applyFill="1" applyAlignment="1">
      <alignment vertical="center"/>
    </xf>
    <xf numFmtId="0" fontId="66" fillId="18" borderId="0" xfId="0" applyFont="1" applyFill="1" applyAlignment="1">
      <alignment vertical="center"/>
    </xf>
    <xf numFmtId="0" fontId="2" fillId="0" borderId="1" xfId="0" applyFont="1" applyBorder="1" applyAlignment="1" applyProtection="1">
      <alignment horizontal="center"/>
      <protection locked="0"/>
    </xf>
    <xf numFmtId="165" fontId="57" fillId="14" borderId="1" xfId="2" applyNumberFormat="1" applyFont="1" applyFill="1" applyBorder="1" applyAlignment="1">
      <alignment horizontal="center"/>
    </xf>
    <xf numFmtId="165" fontId="57" fillId="0" borderId="1" xfId="2" applyNumberFormat="1" applyFont="1" applyBorder="1" applyAlignment="1">
      <alignment horizontal="center"/>
    </xf>
    <xf numFmtId="0" fontId="67" fillId="0" borderId="0" xfId="1" applyFont="1"/>
    <xf numFmtId="0" fontId="68" fillId="12" borderId="47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center"/>
    </xf>
    <xf numFmtId="0" fontId="68" fillId="12" borderId="34" xfId="1" applyNumberFormat="1" applyFont="1" applyFill="1" applyBorder="1" applyAlignment="1">
      <alignment horizontal="center"/>
    </xf>
    <xf numFmtId="165" fontId="68" fillId="12" borderId="49" xfId="1" applyNumberFormat="1" applyFont="1" applyFill="1" applyBorder="1" applyAlignment="1">
      <alignment horizontal="center"/>
    </xf>
    <xf numFmtId="0" fontId="68" fillId="0" borderId="50" xfId="1" applyNumberFormat="1" applyFont="1" applyFill="1" applyBorder="1" applyAlignment="1">
      <alignment horizontal="left"/>
    </xf>
    <xf numFmtId="2" fontId="68" fillId="0" borderId="50" xfId="1" applyNumberFormat="1" applyFont="1" applyFill="1" applyBorder="1" applyAlignment="1">
      <alignment horizontal="left"/>
    </xf>
    <xf numFmtId="0" fontId="68" fillId="0" borderId="50" xfId="1" applyNumberFormat="1" applyFont="1" applyFill="1" applyBorder="1" applyAlignment="1">
      <alignment horizontal="center"/>
    </xf>
    <xf numFmtId="2" fontId="68" fillId="0" borderId="51" xfId="1" applyNumberFormat="1" applyFont="1" applyFill="1" applyBorder="1" applyAlignment="1">
      <alignment horizontal="center"/>
    </xf>
    <xf numFmtId="0" fontId="69" fillId="0" borderId="52" xfId="1" applyNumberFormat="1" applyFont="1" applyFill="1" applyBorder="1" applyAlignment="1">
      <alignment horizontal="left"/>
    </xf>
    <xf numFmtId="2" fontId="69" fillId="0" borderId="52" xfId="1" applyNumberFormat="1" applyFont="1" applyFill="1" applyBorder="1" applyAlignment="1">
      <alignment horizontal="left"/>
    </xf>
    <xf numFmtId="0" fontId="69" fillId="0" borderId="52" xfId="1" applyNumberFormat="1" applyFont="1" applyFill="1" applyBorder="1" applyAlignment="1">
      <alignment horizontal="center"/>
    </xf>
    <xf numFmtId="2" fontId="69" fillId="0" borderId="53" xfId="1" applyNumberFormat="1" applyFont="1" applyFill="1" applyBorder="1" applyAlignment="1">
      <alignment horizontal="center"/>
    </xf>
    <xf numFmtId="0" fontId="69" fillId="0" borderId="54" xfId="1" applyNumberFormat="1" applyFont="1" applyFill="1" applyBorder="1" applyAlignment="1">
      <alignment horizontal="left"/>
    </xf>
    <xf numFmtId="2" fontId="69" fillId="0" borderId="54" xfId="1" applyNumberFormat="1" applyFont="1" applyFill="1" applyBorder="1" applyAlignment="1">
      <alignment horizontal="left"/>
    </xf>
    <xf numFmtId="0" fontId="69" fillId="0" borderId="54" xfId="1" applyNumberFormat="1" applyFont="1" applyFill="1" applyBorder="1" applyAlignment="1">
      <alignment horizontal="center"/>
    </xf>
    <xf numFmtId="2" fontId="69" fillId="0" borderId="55" xfId="1" applyNumberFormat="1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 applyProtection="1">
      <alignment horizontal="center" vertical="center" shrinkToFit="1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3" xfId="0" applyFill="1" applyBorder="1" applyAlignment="1" applyProtection="1">
      <alignment horizontal="center"/>
      <protection locked="0"/>
    </xf>
    <xf numFmtId="0" fontId="0" fillId="0" borderId="44" xfId="0" applyFill="1" applyBorder="1" applyAlignment="1" applyProtection="1">
      <alignment horizontal="center"/>
      <protection locked="0"/>
    </xf>
    <xf numFmtId="0" fontId="0" fillId="0" borderId="45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2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7" fillId="16" borderId="2" xfId="0" applyFont="1" applyFill="1" applyBorder="1" applyAlignment="1">
      <alignment horizontal="center" vertical="center" shrinkToFit="1"/>
    </xf>
    <xf numFmtId="0" fontId="37" fillId="16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62" fillId="0" borderId="0" xfId="0" applyFont="1" applyAlignment="1">
      <alignment horizontal="center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8" borderId="0" xfId="0" applyFont="1" applyFill="1" applyAlignment="1">
      <alignment horizontal="left" vertical="center"/>
    </xf>
    <xf numFmtId="0" fontId="62" fillId="18" borderId="0" xfId="0" applyFont="1" applyFill="1" applyAlignment="1">
      <alignment horizontal="right"/>
    </xf>
    <xf numFmtId="0" fontId="65" fillId="18" borderId="0" xfId="0" applyFont="1" applyFill="1" applyAlignment="1">
      <alignment horizontal="righ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7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1:00</a:t>
          </a:r>
        </a:p>
      </xdr:txBody>
    </xdr:sp>
    <xdr:clientData/>
  </xdr:twoCellAnchor>
  <xdr:twoCellAnchor>
    <xdr:from>
      <xdr:col>0</xdr:col>
      <xdr:colOff>30611</xdr:colOff>
      <xdr:row>3</xdr:row>
      <xdr:rowOff>25491</xdr:rowOff>
    </xdr:from>
    <xdr:to>
      <xdr:col>1</xdr:col>
      <xdr:colOff>1164166</xdr:colOff>
      <xdr:row>3</xdr:row>
      <xdr:rowOff>302762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30611" y="1311366"/>
          <a:ext cx="1419305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| Next Rack: 13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</xdr:col>
      <xdr:colOff>20240</xdr:colOff>
      <xdr:row>4</xdr:row>
      <xdr:rowOff>28575</xdr:rowOff>
    </xdr:from>
    <xdr:to>
      <xdr:col>2</xdr:col>
      <xdr:colOff>629708</xdr:colOff>
      <xdr:row>4</xdr:row>
      <xdr:rowOff>303609</xdr:rowOff>
    </xdr:to>
    <xdr:sp macro="[0]!NextGrp" textlink="">
      <xdr:nvSpPr>
        <xdr:cNvPr id="7" name="Rectangle 6">
          <a:extLst>
            <a:ext uri="{FF2B5EF4-FFF2-40B4-BE49-F238E27FC236}">
              <a16:creationId xmlns:a16="http://schemas.microsoft.com/office/drawing/2014/main" id="{6288E343-53AA-4BF6-A91B-91AA0D1B0BA6}"/>
            </a:ext>
          </a:extLst>
        </xdr:cNvPr>
        <xdr:cNvSpPr/>
      </xdr:nvSpPr>
      <xdr:spPr bwMode="auto">
        <a:xfrm>
          <a:off x="1486032" y="1637242"/>
          <a:ext cx="609468" cy="275034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75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930930,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Frida Gustavsson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3200"/>
        </a:p>
      </xdr:txBody>
    </xdr:sp>
    <xdr:clientData/>
  </xdr:twoCellAnchor>
  <xdr:twoCellAnchor>
    <xdr:from>
      <xdr:col>12</xdr:col>
      <xdr:colOff>9526</xdr:colOff>
      <xdr:row>15</xdr:row>
      <xdr:rowOff>0</xdr:rowOff>
    </xdr:from>
    <xdr:to>
      <xdr:col>18</xdr:col>
      <xdr:colOff>523876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962776" y="2514600"/>
          <a:ext cx="417195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Frida Gustavsson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4</xdr:col>
      <xdr:colOff>560388</xdr:colOff>
      <xdr:row>45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42</xdr:row>
      <xdr:rowOff>0</xdr:rowOff>
    </xdr:from>
    <xdr:to>
      <xdr:col>11</xdr:col>
      <xdr:colOff>0</xdr:colOff>
      <xdr:row>45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571500</xdr:colOff>
      <xdr:row>50</xdr:row>
      <xdr:rowOff>28575</xdr:rowOff>
    </xdr:to>
    <xdr:sp macro="" textlink="">
      <xdr:nvSpPr>
        <xdr:cNvPr id="56" name="referee1">
          <a:extLst>
            <a:ext uri="{FF2B5EF4-FFF2-40B4-BE49-F238E27FC236}">
              <a16:creationId xmlns:a16="http://schemas.microsoft.com/office/drawing/2014/main" id="{C0425D9E-9DF9-4EC7-B40B-F160236014E8}"/>
            </a:ext>
          </a:extLst>
        </xdr:cNvPr>
        <xdr:cNvSpPr/>
      </xdr:nvSpPr>
      <xdr:spPr>
        <a:xfrm>
          <a:off x="8782050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171450</xdr:colOff>
      <xdr:row>42</xdr:row>
      <xdr:rowOff>57150</xdr:rowOff>
    </xdr:from>
    <xdr:to>
      <xdr:col>15</xdr:col>
      <xdr:colOff>415925</xdr:colOff>
      <xdr:row>43</xdr:row>
      <xdr:rowOff>142875</xdr:rowOff>
    </xdr:to>
    <xdr:sp macro="[0]!white1" textlink="">
      <xdr:nvSpPr>
        <xdr:cNvPr id="57" name="white1button">
          <a:extLst>
            <a:ext uri="{FF2B5EF4-FFF2-40B4-BE49-F238E27FC236}">
              <a16:creationId xmlns:a16="http://schemas.microsoft.com/office/drawing/2014/main" id="{A0A2CC69-03D3-4D90-B4E6-034AD2D58E76}"/>
            </a:ext>
          </a:extLst>
        </xdr:cNvPr>
        <xdr:cNvSpPr/>
      </xdr:nvSpPr>
      <xdr:spPr>
        <a:xfrm>
          <a:off x="8953500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>
    <xdr:from>
      <xdr:col>15</xdr:col>
      <xdr:colOff>171450</xdr:colOff>
      <xdr:row>48</xdr:row>
      <xdr:rowOff>28575</xdr:rowOff>
    </xdr:from>
    <xdr:to>
      <xdr:col>15</xdr:col>
      <xdr:colOff>415925</xdr:colOff>
      <xdr:row>49</xdr:row>
      <xdr:rowOff>114300</xdr:rowOff>
    </xdr:to>
    <xdr:sp macro="[0]!yellow1" textlink="">
      <xdr:nvSpPr>
        <xdr:cNvPr id="58" name="yellow1button">
          <a:extLst>
            <a:ext uri="{FF2B5EF4-FFF2-40B4-BE49-F238E27FC236}">
              <a16:creationId xmlns:a16="http://schemas.microsoft.com/office/drawing/2014/main" id="{291E89F5-DC79-4EC7-B8C4-04019BEBF442}"/>
            </a:ext>
          </a:extLst>
        </xdr:cNvPr>
        <xdr:cNvSpPr/>
      </xdr:nvSpPr>
      <xdr:spPr>
        <a:xfrm>
          <a:off x="8953500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>
    <xdr:from>
      <xdr:col>15</xdr:col>
      <xdr:colOff>171450</xdr:colOff>
      <xdr:row>46</xdr:row>
      <xdr:rowOff>38100</xdr:rowOff>
    </xdr:from>
    <xdr:to>
      <xdr:col>15</xdr:col>
      <xdr:colOff>415925</xdr:colOff>
      <xdr:row>47</xdr:row>
      <xdr:rowOff>123825</xdr:rowOff>
    </xdr:to>
    <xdr:sp macro="[0]!blue1" textlink="">
      <xdr:nvSpPr>
        <xdr:cNvPr id="59" name="blue1button">
          <a:extLst>
            <a:ext uri="{FF2B5EF4-FFF2-40B4-BE49-F238E27FC236}">
              <a16:creationId xmlns:a16="http://schemas.microsoft.com/office/drawing/2014/main" id="{39A00799-7C9B-4D72-B582-D9224B90196B}"/>
            </a:ext>
          </a:extLst>
        </xdr:cNvPr>
        <xdr:cNvSpPr/>
      </xdr:nvSpPr>
      <xdr:spPr>
        <a:xfrm>
          <a:off x="8953500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>
    <xdr:from>
      <xdr:col>15</xdr:col>
      <xdr:colOff>171450</xdr:colOff>
      <xdr:row>44</xdr:row>
      <xdr:rowOff>47625</xdr:rowOff>
    </xdr:from>
    <xdr:to>
      <xdr:col>15</xdr:col>
      <xdr:colOff>415925</xdr:colOff>
      <xdr:row>45</xdr:row>
      <xdr:rowOff>133350</xdr:rowOff>
    </xdr:to>
    <xdr:sp macro="[0]!rred1" textlink="">
      <xdr:nvSpPr>
        <xdr:cNvPr id="60" name="red1button">
          <a:extLst>
            <a:ext uri="{FF2B5EF4-FFF2-40B4-BE49-F238E27FC236}">
              <a16:creationId xmlns:a16="http://schemas.microsoft.com/office/drawing/2014/main" id="{1FE28A63-AD34-466F-A7F3-AB6516C28090}"/>
            </a:ext>
          </a:extLst>
        </xdr:cNvPr>
        <xdr:cNvSpPr/>
      </xdr:nvSpPr>
      <xdr:spPr>
        <a:xfrm>
          <a:off x="8953500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>
    <xdr:from>
      <xdr:col>16</xdr:col>
      <xdr:colOff>123825</xdr:colOff>
      <xdr:row>42</xdr:row>
      <xdr:rowOff>0</xdr:rowOff>
    </xdr:from>
    <xdr:to>
      <xdr:col>17</xdr:col>
      <xdr:colOff>85725</xdr:colOff>
      <xdr:row>50</xdr:row>
      <xdr:rowOff>28575</xdr:rowOff>
    </xdr:to>
    <xdr:sp macro="" textlink="">
      <xdr:nvSpPr>
        <xdr:cNvPr id="61" name="referee2">
          <a:extLst>
            <a:ext uri="{FF2B5EF4-FFF2-40B4-BE49-F238E27FC236}">
              <a16:creationId xmlns:a16="http://schemas.microsoft.com/office/drawing/2014/main" id="{1BE80898-44F4-4F3E-BB01-427BA8B96E5A}"/>
            </a:ext>
          </a:extLst>
        </xdr:cNvPr>
        <xdr:cNvSpPr/>
      </xdr:nvSpPr>
      <xdr:spPr>
        <a:xfrm>
          <a:off x="9515475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295275</xdr:colOff>
      <xdr:row>42</xdr:row>
      <xdr:rowOff>57150</xdr:rowOff>
    </xdr:from>
    <xdr:to>
      <xdr:col>16</xdr:col>
      <xdr:colOff>539750</xdr:colOff>
      <xdr:row>43</xdr:row>
      <xdr:rowOff>142875</xdr:rowOff>
    </xdr:to>
    <xdr:sp macro="[0]!white2" textlink="">
      <xdr:nvSpPr>
        <xdr:cNvPr id="62" name="white2button">
          <a:extLst>
            <a:ext uri="{FF2B5EF4-FFF2-40B4-BE49-F238E27FC236}">
              <a16:creationId xmlns:a16="http://schemas.microsoft.com/office/drawing/2014/main" id="{79816331-C302-4503-B3B2-8804BC1960D8}"/>
            </a:ext>
          </a:extLst>
        </xdr:cNvPr>
        <xdr:cNvSpPr/>
      </xdr:nvSpPr>
      <xdr:spPr>
        <a:xfrm>
          <a:off x="9686925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16</xdr:col>
      <xdr:colOff>295275</xdr:colOff>
      <xdr:row>48</xdr:row>
      <xdr:rowOff>28575</xdr:rowOff>
    </xdr:from>
    <xdr:to>
      <xdr:col>16</xdr:col>
      <xdr:colOff>539750</xdr:colOff>
      <xdr:row>49</xdr:row>
      <xdr:rowOff>114300</xdr:rowOff>
    </xdr:to>
    <xdr:sp macro="[0]!yellow2" textlink="">
      <xdr:nvSpPr>
        <xdr:cNvPr id="63" name="yellow2button">
          <a:extLst>
            <a:ext uri="{FF2B5EF4-FFF2-40B4-BE49-F238E27FC236}">
              <a16:creationId xmlns:a16="http://schemas.microsoft.com/office/drawing/2014/main" id="{A76493DA-85EC-4939-8360-A110FA39189D}"/>
            </a:ext>
          </a:extLst>
        </xdr:cNvPr>
        <xdr:cNvSpPr/>
      </xdr:nvSpPr>
      <xdr:spPr>
        <a:xfrm>
          <a:off x="9686925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16</xdr:col>
      <xdr:colOff>295275</xdr:colOff>
      <xdr:row>46</xdr:row>
      <xdr:rowOff>38100</xdr:rowOff>
    </xdr:from>
    <xdr:to>
      <xdr:col>16</xdr:col>
      <xdr:colOff>539750</xdr:colOff>
      <xdr:row>47</xdr:row>
      <xdr:rowOff>123825</xdr:rowOff>
    </xdr:to>
    <xdr:sp macro="[0]!blue2" textlink="">
      <xdr:nvSpPr>
        <xdr:cNvPr id="64" name="blue2button">
          <a:extLst>
            <a:ext uri="{FF2B5EF4-FFF2-40B4-BE49-F238E27FC236}">
              <a16:creationId xmlns:a16="http://schemas.microsoft.com/office/drawing/2014/main" id="{FFC540FC-AE0B-4BB3-BD2D-54BF34A22D24}"/>
            </a:ext>
          </a:extLst>
        </xdr:cNvPr>
        <xdr:cNvSpPr/>
      </xdr:nvSpPr>
      <xdr:spPr>
        <a:xfrm>
          <a:off x="9686925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16</xdr:col>
      <xdr:colOff>295275</xdr:colOff>
      <xdr:row>44</xdr:row>
      <xdr:rowOff>47625</xdr:rowOff>
    </xdr:from>
    <xdr:to>
      <xdr:col>16</xdr:col>
      <xdr:colOff>539750</xdr:colOff>
      <xdr:row>45</xdr:row>
      <xdr:rowOff>133350</xdr:rowOff>
    </xdr:to>
    <xdr:sp macro="[0]!rred2" textlink="">
      <xdr:nvSpPr>
        <xdr:cNvPr id="65" name="red1button">
          <a:extLst>
            <a:ext uri="{FF2B5EF4-FFF2-40B4-BE49-F238E27FC236}">
              <a16:creationId xmlns:a16="http://schemas.microsoft.com/office/drawing/2014/main" id="{B88FBE67-E745-4DE9-839B-A08D666ECC3E}"/>
            </a:ext>
          </a:extLst>
        </xdr:cNvPr>
        <xdr:cNvSpPr/>
      </xdr:nvSpPr>
      <xdr:spPr>
        <a:xfrm>
          <a:off x="9686925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17</xdr:col>
      <xdr:colOff>266700</xdr:colOff>
      <xdr:row>42</xdr:row>
      <xdr:rowOff>9525</xdr:rowOff>
    </xdr:from>
    <xdr:to>
      <xdr:col>18</xdr:col>
      <xdr:colOff>228600</xdr:colOff>
      <xdr:row>50</xdr:row>
      <xdr:rowOff>38100</xdr:rowOff>
    </xdr:to>
    <xdr:sp macro="" textlink="">
      <xdr:nvSpPr>
        <xdr:cNvPr id="66" name="referee3">
          <a:extLst>
            <a:ext uri="{FF2B5EF4-FFF2-40B4-BE49-F238E27FC236}">
              <a16:creationId xmlns:a16="http://schemas.microsoft.com/office/drawing/2014/main" id="{B2E12EED-416E-43E5-A570-08C766E8DF0D}"/>
            </a:ext>
          </a:extLst>
        </xdr:cNvPr>
        <xdr:cNvSpPr/>
      </xdr:nvSpPr>
      <xdr:spPr>
        <a:xfrm>
          <a:off x="10267950" y="8201025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17</xdr:col>
      <xdr:colOff>428625</xdr:colOff>
      <xdr:row>42</xdr:row>
      <xdr:rowOff>66675</xdr:rowOff>
    </xdr:from>
    <xdr:to>
      <xdr:col>18</xdr:col>
      <xdr:colOff>63500</xdr:colOff>
      <xdr:row>43</xdr:row>
      <xdr:rowOff>152400</xdr:rowOff>
    </xdr:to>
    <xdr:sp macro="[0]!white3" textlink="">
      <xdr:nvSpPr>
        <xdr:cNvPr id="67" name="white3button">
          <a:extLst>
            <a:ext uri="{FF2B5EF4-FFF2-40B4-BE49-F238E27FC236}">
              <a16:creationId xmlns:a16="http://schemas.microsoft.com/office/drawing/2014/main" id="{7B85A04C-33BD-4535-BABF-9BEE971E6E1F}"/>
            </a:ext>
          </a:extLst>
        </xdr:cNvPr>
        <xdr:cNvSpPr/>
      </xdr:nvSpPr>
      <xdr:spPr>
        <a:xfrm>
          <a:off x="10429875" y="8258175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>
    <xdr:from>
      <xdr:col>17</xdr:col>
      <xdr:colOff>428625</xdr:colOff>
      <xdr:row>48</xdr:row>
      <xdr:rowOff>38100</xdr:rowOff>
    </xdr:from>
    <xdr:to>
      <xdr:col>18</xdr:col>
      <xdr:colOff>63500</xdr:colOff>
      <xdr:row>49</xdr:row>
      <xdr:rowOff>123825</xdr:rowOff>
    </xdr:to>
    <xdr:sp macro="[0]!yellow3" textlink="">
      <xdr:nvSpPr>
        <xdr:cNvPr id="68" name="yellow3button">
          <a:extLst>
            <a:ext uri="{FF2B5EF4-FFF2-40B4-BE49-F238E27FC236}">
              <a16:creationId xmlns:a16="http://schemas.microsoft.com/office/drawing/2014/main" id="{0F1F3EFA-80DA-44DA-8BAB-CA74BC688400}"/>
            </a:ext>
          </a:extLst>
        </xdr:cNvPr>
        <xdr:cNvSpPr/>
      </xdr:nvSpPr>
      <xdr:spPr>
        <a:xfrm>
          <a:off x="10429875" y="9201150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>
    <xdr:from>
      <xdr:col>17</xdr:col>
      <xdr:colOff>428625</xdr:colOff>
      <xdr:row>46</xdr:row>
      <xdr:rowOff>47625</xdr:rowOff>
    </xdr:from>
    <xdr:to>
      <xdr:col>18</xdr:col>
      <xdr:colOff>63500</xdr:colOff>
      <xdr:row>47</xdr:row>
      <xdr:rowOff>133350</xdr:rowOff>
    </xdr:to>
    <xdr:sp macro="[0]!blue3" textlink="">
      <xdr:nvSpPr>
        <xdr:cNvPr id="69" name="blue3button">
          <a:extLst>
            <a:ext uri="{FF2B5EF4-FFF2-40B4-BE49-F238E27FC236}">
              <a16:creationId xmlns:a16="http://schemas.microsoft.com/office/drawing/2014/main" id="{502A53D9-B745-4589-937E-7222C1FAFB4B}"/>
            </a:ext>
          </a:extLst>
        </xdr:cNvPr>
        <xdr:cNvSpPr/>
      </xdr:nvSpPr>
      <xdr:spPr>
        <a:xfrm>
          <a:off x="10429875" y="8886825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428625</xdr:colOff>
      <xdr:row>44</xdr:row>
      <xdr:rowOff>57150</xdr:rowOff>
    </xdr:from>
    <xdr:to>
      <xdr:col>18</xdr:col>
      <xdr:colOff>63500</xdr:colOff>
      <xdr:row>45</xdr:row>
      <xdr:rowOff>142875</xdr:rowOff>
    </xdr:to>
    <xdr:sp macro="[0]!rred3" textlink="">
      <xdr:nvSpPr>
        <xdr:cNvPr id="70" name="red3button">
          <a:extLst>
            <a:ext uri="{FF2B5EF4-FFF2-40B4-BE49-F238E27FC236}">
              <a16:creationId xmlns:a16="http://schemas.microsoft.com/office/drawing/2014/main" id="{C5F70669-2E17-4A7C-899A-888794654F60}"/>
            </a:ext>
          </a:extLst>
        </xdr:cNvPr>
        <xdr:cNvSpPr/>
      </xdr:nvSpPr>
      <xdr:spPr>
        <a:xfrm>
          <a:off x="10429875" y="8572500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6" sqref="P16:R1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70" t="s">
        <v>263</v>
      </c>
      <c r="C3" s="371"/>
      <c r="D3" s="371"/>
      <c r="E3" s="371"/>
      <c r="F3" s="372"/>
      <c r="H3" s="356" t="s">
        <v>158</v>
      </c>
      <c r="I3" s="357"/>
      <c r="J3" s="358"/>
      <c r="K3" s="364" t="s">
        <v>159</v>
      </c>
      <c r="L3" s="365"/>
      <c r="M3" s="362" t="s">
        <v>172</v>
      </c>
      <c r="O3" s="335" t="s">
        <v>147</v>
      </c>
      <c r="P3" s="336"/>
      <c r="Q3" s="336"/>
      <c r="R3" s="337"/>
      <c r="W3" s="1" t="s">
        <v>62</v>
      </c>
    </row>
    <row r="4" spans="1:23" ht="13.5" customHeight="1" thickBot="1" x14ac:dyDescent="0.25">
      <c r="B4" s="373"/>
      <c r="C4" s="374"/>
      <c r="D4" s="374"/>
      <c r="E4" s="374"/>
      <c r="F4" s="375"/>
      <c r="H4" s="359"/>
      <c r="I4" s="360"/>
      <c r="J4" s="361"/>
      <c r="K4" s="366"/>
      <c r="L4" s="367"/>
      <c r="M4" s="363"/>
      <c r="O4" s="338"/>
      <c r="P4" s="339"/>
      <c r="Q4" s="339"/>
      <c r="R4" s="340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41" t="s">
        <v>149</v>
      </c>
      <c r="Q5" s="341"/>
      <c r="R5" s="342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32" t="s">
        <v>224</v>
      </c>
      <c r="Q6" s="333"/>
      <c r="R6" s="334"/>
      <c r="W6" s="1" t="s">
        <v>65</v>
      </c>
    </row>
    <row r="7" spans="1:23" x14ac:dyDescent="0.2">
      <c r="B7" s="370" t="s">
        <v>61</v>
      </c>
      <c r="C7" s="371"/>
      <c r="D7" s="371"/>
      <c r="E7" s="371"/>
      <c r="F7" s="372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51" t="s">
        <v>215</v>
      </c>
      <c r="Q7" s="352"/>
      <c r="R7" s="353"/>
      <c r="W7" s="1"/>
    </row>
    <row r="8" spans="1:23" ht="13.5" thickBot="1" x14ac:dyDescent="0.25">
      <c r="B8" s="373"/>
      <c r="C8" s="374"/>
      <c r="D8" s="374"/>
      <c r="E8" s="374"/>
      <c r="F8" s="375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51" t="s">
        <v>225</v>
      </c>
      <c r="Q8" s="352"/>
      <c r="R8" s="353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51" t="s">
        <v>216</v>
      </c>
      <c r="Q9" s="352"/>
      <c r="R9" s="353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51" t="s">
        <v>184</v>
      </c>
      <c r="Q10" s="352"/>
      <c r="R10" s="353"/>
    </row>
    <row r="11" spans="1:23" x14ac:dyDescent="0.2">
      <c r="B11" s="14" t="s">
        <v>73</v>
      </c>
      <c r="C11" s="376" t="s">
        <v>74</v>
      </c>
      <c r="D11" s="377"/>
      <c r="E11" s="378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51" t="s">
        <v>217</v>
      </c>
      <c r="Q11" s="352"/>
      <c r="R11" s="353"/>
    </row>
    <row r="12" spans="1:23" x14ac:dyDescent="0.2">
      <c r="B12" s="61" t="s">
        <v>222</v>
      </c>
      <c r="C12" s="312" t="s">
        <v>75</v>
      </c>
      <c r="D12" s="313"/>
      <c r="E12" s="314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218</v>
      </c>
      <c r="P12" s="351" t="s">
        <v>219</v>
      </c>
      <c r="Q12" s="352"/>
      <c r="R12" s="353"/>
    </row>
    <row r="13" spans="1:23" x14ac:dyDescent="0.2">
      <c r="B13" s="61" t="s">
        <v>223</v>
      </c>
      <c r="C13" s="312" t="s">
        <v>141</v>
      </c>
      <c r="D13" s="313"/>
      <c r="E13" s="314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83" t="s">
        <v>259</v>
      </c>
      <c r="P13" s="354" t="s">
        <v>260</v>
      </c>
      <c r="Q13" s="354"/>
      <c r="R13" s="355"/>
    </row>
    <row r="14" spans="1:23" x14ac:dyDescent="0.2">
      <c r="B14" s="61" t="s">
        <v>220</v>
      </c>
      <c r="C14" s="312" t="s">
        <v>221</v>
      </c>
      <c r="D14" s="313"/>
      <c r="E14" s="314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261</v>
      </c>
      <c r="P14" s="351" t="s">
        <v>262</v>
      </c>
      <c r="Q14" s="352"/>
      <c r="R14" s="353"/>
    </row>
    <row r="15" spans="1:23" x14ac:dyDescent="0.2">
      <c r="B15" s="61"/>
      <c r="C15" s="312"/>
      <c r="D15" s="313"/>
      <c r="E15" s="314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349</v>
      </c>
      <c r="P15" s="351" t="s">
        <v>350</v>
      </c>
      <c r="Q15" s="352"/>
      <c r="R15" s="353"/>
    </row>
    <row r="16" spans="1:23" x14ac:dyDescent="0.2">
      <c r="B16" s="61"/>
      <c r="C16" s="312"/>
      <c r="D16" s="313"/>
      <c r="E16" s="314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51"/>
      <c r="Q16" s="352"/>
      <c r="R16" s="353"/>
    </row>
    <row r="17" spans="2:19" x14ac:dyDescent="0.2">
      <c r="B17" s="61"/>
      <c r="C17" s="312"/>
      <c r="D17" s="313"/>
      <c r="E17" s="314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51"/>
      <c r="Q17" s="352"/>
      <c r="R17" s="353"/>
    </row>
    <row r="18" spans="2:19" x14ac:dyDescent="0.2">
      <c r="B18" s="61"/>
      <c r="C18" s="312"/>
      <c r="D18" s="313"/>
      <c r="E18" s="314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51"/>
      <c r="Q18" s="352"/>
      <c r="R18" s="353"/>
    </row>
    <row r="19" spans="2:19" x14ac:dyDescent="0.2">
      <c r="B19" s="61"/>
      <c r="C19" s="312"/>
      <c r="D19" s="313"/>
      <c r="E19" s="314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51"/>
      <c r="Q19" s="352"/>
      <c r="R19" s="353"/>
    </row>
    <row r="20" spans="2:19" x14ac:dyDescent="0.2">
      <c r="B20" s="61"/>
      <c r="C20" s="312"/>
      <c r="D20" s="313"/>
      <c r="E20" s="314"/>
      <c r="F20" s="62"/>
      <c r="H20" s="368" t="s">
        <v>171</v>
      </c>
      <c r="I20" s="369"/>
      <c r="J20" s="84">
        <v>55</v>
      </c>
      <c r="K20" s="327" t="s">
        <v>171</v>
      </c>
      <c r="L20" s="328"/>
      <c r="M20" s="85">
        <v>25</v>
      </c>
      <c r="O20" s="11"/>
      <c r="P20" s="332"/>
      <c r="Q20" s="333"/>
      <c r="R20" s="334"/>
    </row>
    <row r="21" spans="2:19" x14ac:dyDescent="0.2">
      <c r="B21" s="61"/>
      <c r="C21" s="312"/>
      <c r="D21" s="313"/>
      <c r="E21" s="314"/>
      <c r="F21" s="62"/>
      <c r="H21" s="343">
        <f>H9*I9+H10*I10+H11*I11+H12*I12+H13*I13+H14*I14+H15*I15+H16*I16+H17*I17+H18*I18+H19*I19+55</f>
        <v>1080</v>
      </c>
      <c r="I21" s="347" t="s">
        <v>76</v>
      </c>
      <c r="J21" s="348"/>
      <c r="K21" s="345">
        <f>K9*L9+K10*L10+K11*L11+K12*L12+K13*L13+K14*L14+K15*L15+K16*L16+K17*L17+K18*L18+K19*L19+25</f>
        <v>485</v>
      </c>
      <c r="L21" s="347" t="s">
        <v>77</v>
      </c>
      <c r="M21" s="348"/>
      <c r="O21" s="11"/>
      <c r="P21" s="332"/>
      <c r="Q21" s="333"/>
      <c r="R21" s="334"/>
    </row>
    <row r="22" spans="2:19" ht="13.5" thickBot="1" x14ac:dyDescent="0.25">
      <c r="B22" s="61"/>
      <c r="C22" s="312"/>
      <c r="D22" s="313"/>
      <c r="E22" s="314"/>
      <c r="F22" s="62"/>
      <c r="H22" s="344"/>
      <c r="I22" s="349"/>
      <c r="J22" s="350"/>
      <c r="K22" s="346"/>
      <c r="L22" s="349"/>
      <c r="M22" s="350"/>
      <c r="O22" s="11"/>
      <c r="P22" s="332"/>
      <c r="Q22" s="333"/>
      <c r="R22" s="334"/>
    </row>
    <row r="23" spans="2:19" ht="13.5" thickBot="1" x14ac:dyDescent="0.25">
      <c r="B23" s="61"/>
      <c r="C23" s="312"/>
      <c r="D23" s="313"/>
      <c r="E23" s="314"/>
      <c r="F23" s="62"/>
      <c r="K23" s="8"/>
      <c r="O23" s="11"/>
      <c r="P23" s="332"/>
      <c r="Q23" s="333"/>
      <c r="R23" s="334"/>
    </row>
    <row r="24" spans="2:19" x14ac:dyDescent="0.2">
      <c r="B24" s="61"/>
      <c r="C24" s="312"/>
      <c r="D24" s="313"/>
      <c r="E24" s="314"/>
      <c r="F24" s="62"/>
      <c r="K24" s="315" t="s">
        <v>78</v>
      </c>
      <c r="L24" s="316"/>
      <c r="M24" s="317"/>
      <c r="O24" s="11"/>
      <c r="P24" s="332"/>
      <c r="Q24" s="333"/>
      <c r="R24" s="334"/>
    </row>
    <row r="25" spans="2:19" ht="13.5" thickBot="1" x14ac:dyDescent="0.25">
      <c r="B25" s="61"/>
      <c r="C25" s="312"/>
      <c r="D25" s="313"/>
      <c r="E25" s="314"/>
      <c r="F25" s="62"/>
      <c r="I25" s="82"/>
      <c r="J25" s="82"/>
      <c r="K25" s="318"/>
      <c r="L25" s="319"/>
      <c r="M25" s="320"/>
      <c r="N25" s="18"/>
      <c r="O25" s="11"/>
      <c r="P25" s="332"/>
      <c r="Q25" s="333"/>
      <c r="R25" s="334"/>
      <c r="S25" s="18"/>
    </row>
    <row r="26" spans="2:19" x14ac:dyDescent="0.2">
      <c r="B26" s="61"/>
      <c r="C26" s="312"/>
      <c r="D26" s="313"/>
      <c r="E26" s="314"/>
      <c r="F26" s="62"/>
      <c r="G26" s="18"/>
      <c r="H26" s="82"/>
      <c r="I26" s="82"/>
      <c r="J26" s="82"/>
      <c r="K26" s="321" t="s">
        <v>182</v>
      </c>
      <c r="L26" s="322"/>
      <c r="M26" s="323"/>
      <c r="N26" s="18"/>
      <c r="O26" s="11"/>
      <c r="P26" s="332"/>
      <c r="Q26" s="333"/>
      <c r="R26" s="334"/>
      <c r="S26" s="18"/>
    </row>
    <row r="27" spans="2:19" ht="12.75" customHeight="1" thickBot="1" x14ac:dyDescent="0.25">
      <c r="B27" s="61"/>
      <c r="C27" s="312"/>
      <c r="D27" s="313"/>
      <c r="E27" s="314"/>
      <c r="F27" s="62"/>
      <c r="G27" s="19"/>
      <c r="I27" s="82"/>
      <c r="J27" s="82"/>
      <c r="K27" s="324"/>
      <c r="L27" s="325"/>
      <c r="M27" s="326"/>
      <c r="N27" s="18"/>
      <c r="O27" s="11"/>
      <c r="P27" s="332"/>
      <c r="Q27" s="333"/>
      <c r="R27" s="334"/>
      <c r="S27" s="18"/>
    </row>
    <row r="28" spans="2:19" ht="12.75" customHeight="1" x14ac:dyDescent="0.2">
      <c r="B28" s="61"/>
      <c r="C28" s="312"/>
      <c r="D28" s="313"/>
      <c r="E28" s="314"/>
      <c r="F28" s="62"/>
      <c r="G28" s="19"/>
      <c r="H28" s="82"/>
      <c r="I28" s="82"/>
      <c r="J28" s="82"/>
      <c r="N28" s="18"/>
      <c r="O28" s="11"/>
      <c r="P28" s="332"/>
      <c r="Q28" s="333"/>
      <c r="R28" s="334"/>
      <c r="S28" s="18"/>
    </row>
    <row r="29" spans="2:19" ht="13.5" customHeight="1" thickBot="1" x14ac:dyDescent="0.25">
      <c r="B29" s="61"/>
      <c r="C29" s="312"/>
      <c r="D29" s="313"/>
      <c r="E29" s="314"/>
      <c r="F29" s="62"/>
      <c r="G29" s="19"/>
      <c r="N29" s="18"/>
      <c r="O29" s="20"/>
      <c r="P29" s="329"/>
      <c r="Q29" s="330"/>
      <c r="R29" s="331"/>
      <c r="S29" s="18"/>
    </row>
    <row r="30" spans="2:19" x14ac:dyDescent="0.2">
      <c r="B30" s="61"/>
      <c r="C30" s="312"/>
      <c r="D30" s="313"/>
      <c r="E30" s="314"/>
      <c r="F30" s="62"/>
      <c r="K30" s="8"/>
    </row>
    <row r="31" spans="2:19" x14ac:dyDescent="0.2">
      <c r="B31" s="61"/>
      <c r="C31" s="312"/>
      <c r="D31" s="313"/>
      <c r="E31" s="314"/>
      <c r="F31" s="62"/>
      <c r="I31" s="82"/>
      <c r="J31" s="82"/>
      <c r="K31" s="8"/>
    </row>
    <row r="32" spans="2:19" x14ac:dyDescent="0.2">
      <c r="B32" s="61"/>
      <c r="C32" s="312"/>
      <c r="D32" s="313"/>
      <c r="E32" s="314"/>
      <c r="F32" s="62"/>
      <c r="H32" s="82"/>
      <c r="I32" s="82"/>
      <c r="J32" s="82"/>
      <c r="K32" s="8"/>
    </row>
    <row r="33" spans="2:11" x14ac:dyDescent="0.2">
      <c r="B33" s="61"/>
      <c r="C33" s="312"/>
      <c r="D33" s="313"/>
      <c r="E33" s="314"/>
      <c r="F33" s="62"/>
      <c r="K33" s="8"/>
    </row>
    <row r="34" spans="2:11" x14ac:dyDescent="0.2">
      <c r="B34" s="61"/>
      <c r="C34" s="312"/>
      <c r="D34" s="313"/>
      <c r="E34" s="314"/>
      <c r="F34" s="62"/>
    </row>
    <row r="35" spans="2:11" x14ac:dyDescent="0.2">
      <c r="B35" s="61"/>
      <c r="C35" s="312"/>
      <c r="D35" s="313"/>
      <c r="E35" s="314"/>
      <c r="F35" s="62"/>
    </row>
    <row r="36" spans="2:11" x14ac:dyDescent="0.2">
      <c r="B36" s="61"/>
      <c r="C36" s="312"/>
      <c r="D36" s="313"/>
      <c r="E36" s="314"/>
      <c r="F36" s="62"/>
      <c r="K36" s="8"/>
    </row>
    <row r="37" spans="2:11" x14ac:dyDescent="0.2">
      <c r="B37" s="61"/>
      <c r="C37" s="312"/>
      <c r="D37" s="313"/>
      <c r="E37" s="314"/>
      <c r="F37" s="62"/>
    </row>
    <row r="38" spans="2:11" x14ac:dyDescent="0.2">
      <c r="B38" s="61"/>
      <c r="C38" s="312"/>
      <c r="D38" s="313"/>
      <c r="E38" s="314"/>
      <c r="F38" s="62"/>
    </row>
    <row r="39" spans="2:11" x14ac:dyDescent="0.2">
      <c r="B39" s="61"/>
      <c r="C39" s="312"/>
      <c r="D39" s="313"/>
      <c r="E39" s="314"/>
      <c r="F39" s="62"/>
    </row>
    <row r="40" spans="2:11" x14ac:dyDescent="0.2">
      <c r="B40" s="61"/>
      <c r="C40" s="312"/>
      <c r="D40" s="313"/>
      <c r="E40" s="314"/>
      <c r="F40" s="62"/>
    </row>
    <row r="41" spans="2:11" x14ac:dyDescent="0.2">
      <c r="B41" s="61"/>
      <c r="C41" s="312"/>
      <c r="D41" s="313"/>
      <c r="E41" s="314"/>
      <c r="F41" s="62"/>
    </row>
    <row r="42" spans="2:11" x14ac:dyDescent="0.2">
      <c r="B42" s="61"/>
      <c r="C42" s="312"/>
      <c r="D42" s="313"/>
      <c r="E42" s="314"/>
      <c r="F42" s="62"/>
    </row>
    <row r="43" spans="2:11" x14ac:dyDescent="0.2">
      <c r="B43" s="61"/>
      <c r="C43" s="312"/>
      <c r="D43" s="313"/>
      <c r="E43" s="314"/>
      <c r="F43" s="62"/>
    </row>
    <row r="44" spans="2:11" x14ac:dyDescent="0.2">
      <c r="B44" s="61"/>
      <c r="C44" s="312"/>
      <c r="D44" s="313"/>
      <c r="E44" s="314"/>
      <c r="F44" s="62"/>
    </row>
    <row r="45" spans="2:11" x14ac:dyDescent="0.2">
      <c r="B45" s="61"/>
      <c r="C45" s="312"/>
      <c r="D45" s="313"/>
      <c r="E45" s="314"/>
      <c r="F45" s="62"/>
    </row>
    <row r="46" spans="2:11" x14ac:dyDescent="0.2">
      <c r="B46" s="61"/>
      <c r="C46" s="312"/>
      <c r="D46" s="313"/>
      <c r="E46" s="314"/>
      <c r="F46" s="62"/>
    </row>
    <row r="47" spans="2:11" x14ac:dyDescent="0.2">
      <c r="B47" s="61"/>
      <c r="C47" s="312"/>
      <c r="D47" s="313"/>
      <c r="E47" s="314"/>
      <c r="F47" s="62"/>
    </row>
    <row r="48" spans="2:11" x14ac:dyDescent="0.2">
      <c r="B48" s="61"/>
      <c r="C48" s="312"/>
      <c r="D48" s="313"/>
      <c r="E48" s="314"/>
      <c r="F48" s="62"/>
    </row>
    <row r="49" spans="2:6" x14ac:dyDescent="0.2">
      <c r="B49" s="61"/>
      <c r="C49" s="312"/>
      <c r="D49" s="313"/>
      <c r="E49" s="314"/>
      <c r="F49" s="62"/>
    </row>
    <row r="50" spans="2:6" x14ac:dyDescent="0.2">
      <c r="B50" s="61"/>
      <c r="C50" s="312"/>
      <c r="D50" s="313"/>
      <c r="E50" s="314"/>
      <c r="F50" s="62"/>
    </row>
    <row r="51" spans="2:6" x14ac:dyDescent="0.2">
      <c r="B51" s="61"/>
      <c r="C51" s="312"/>
      <c r="D51" s="313"/>
      <c r="E51" s="314"/>
      <c r="F51" s="62"/>
    </row>
    <row r="52" spans="2:6" x14ac:dyDescent="0.2">
      <c r="B52" s="61"/>
      <c r="C52" s="312"/>
      <c r="D52" s="313"/>
      <c r="E52" s="314"/>
      <c r="F52" s="62"/>
    </row>
    <row r="53" spans="2:6" x14ac:dyDescent="0.2">
      <c r="B53" s="61"/>
      <c r="C53" s="312"/>
      <c r="D53" s="313"/>
      <c r="E53" s="314"/>
      <c r="F53" s="62"/>
    </row>
    <row r="54" spans="2:6" x14ac:dyDescent="0.2">
      <c r="B54" s="61"/>
      <c r="C54" s="312"/>
      <c r="D54" s="313"/>
      <c r="E54" s="314"/>
      <c r="F54" s="62"/>
    </row>
    <row r="55" spans="2:6" x14ac:dyDescent="0.2">
      <c r="B55" s="61"/>
      <c r="C55" s="312"/>
      <c r="D55" s="313"/>
      <c r="E55" s="314"/>
      <c r="F55" s="62"/>
    </row>
    <row r="56" spans="2:6" x14ac:dyDescent="0.2">
      <c r="B56" s="61"/>
      <c r="C56" s="312"/>
      <c r="D56" s="313"/>
      <c r="E56" s="314"/>
      <c r="F56" s="62"/>
    </row>
    <row r="57" spans="2:6" x14ac:dyDescent="0.2">
      <c r="B57" s="61"/>
      <c r="C57" s="312"/>
      <c r="D57" s="313"/>
      <c r="E57" s="314"/>
      <c r="F57" s="62"/>
    </row>
    <row r="58" spans="2:6" x14ac:dyDescent="0.2">
      <c r="B58" s="61"/>
      <c r="C58" s="312"/>
      <c r="D58" s="313"/>
      <c r="E58" s="314"/>
      <c r="F58" s="62"/>
    </row>
    <row r="59" spans="2:6" x14ac:dyDescent="0.2">
      <c r="B59" s="61"/>
      <c r="C59" s="312"/>
      <c r="D59" s="313"/>
      <c r="E59" s="314"/>
      <c r="F59" s="62"/>
    </row>
    <row r="60" spans="2:6" x14ac:dyDescent="0.2">
      <c r="B60" s="61"/>
      <c r="C60" s="312"/>
      <c r="D60" s="313"/>
      <c r="E60" s="314"/>
      <c r="F60" s="62"/>
    </row>
    <row r="61" spans="2:6" x14ac:dyDescent="0.2">
      <c r="B61" s="61"/>
      <c r="C61" s="312"/>
      <c r="D61" s="313"/>
      <c r="E61" s="314"/>
      <c r="F61" s="62"/>
    </row>
    <row r="62" spans="2:6" x14ac:dyDescent="0.2">
      <c r="B62" s="61"/>
      <c r="C62" s="312"/>
      <c r="D62" s="313"/>
      <c r="E62" s="314"/>
      <c r="F62" s="62"/>
    </row>
    <row r="63" spans="2:6" x14ac:dyDescent="0.2">
      <c r="B63" s="61"/>
      <c r="C63" s="312"/>
      <c r="D63" s="313"/>
      <c r="E63" s="314"/>
      <c r="F63" s="62"/>
    </row>
    <row r="64" spans="2:6" x14ac:dyDescent="0.2">
      <c r="B64" s="61"/>
      <c r="C64" s="312"/>
      <c r="D64" s="313"/>
      <c r="E64" s="314"/>
      <c r="F64" s="62"/>
    </row>
    <row r="65" spans="2:6" x14ac:dyDescent="0.2">
      <c r="B65" s="61"/>
      <c r="C65" s="312"/>
      <c r="D65" s="313"/>
      <c r="E65" s="314"/>
      <c r="F65" s="62"/>
    </row>
    <row r="66" spans="2:6" x14ac:dyDescent="0.2">
      <c r="B66" s="61"/>
      <c r="C66" s="312"/>
      <c r="D66" s="313"/>
      <c r="E66" s="314"/>
      <c r="F66" s="62"/>
    </row>
    <row r="67" spans="2:6" x14ac:dyDescent="0.2">
      <c r="B67" s="61"/>
      <c r="C67" s="312"/>
      <c r="D67" s="313"/>
      <c r="E67" s="314"/>
      <c r="F67" s="62"/>
    </row>
    <row r="68" spans="2:6" x14ac:dyDescent="0.2">
      <c r="B68" s="61"/>
      <c r="C68" s="312"/>
      <c r="D68" s="313"/>
      <c r="E68" s="314"/>
      <c r="F68" s="62"/>
    </row>
    <row r="69" spans="2:6" x14ac:dyDescent="0.2">
      <c r="B69" s="61"/>
      <c r="C69" s="312"/>
      <c r="D69" s="313"/>
      <c r="E69" s="314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77" priority="7" stopIfTrue="1" operator="equal">
      <formula>"Color"</formula>
    </cfRule>
  </conditionalFormatting>
  <conditionalFormatting sqref="H5:J19 H21:J22">
    <cfRule type="expression" dxfId="76" priority="3" stopIfTrue="1">
      <formula>AND($M$3="Kg")</formula>
    </cfRule>
  </conditionalFormatting>
  <conditionalFormatting sqref="K5:M19 K21:M22 K20">
    <cfRule type="expression" dxfId="75" priority="4" stopIfTrue="1">
      <formula>AND($M$3="Lb")</formula>
    </cfRule>
  </conditionalFormatting>
  <conditionalFormatting sqref="H20:J20">
    <cfRule type="expression" dxfId="74" priority="2" stopIfTrue="1">
      <formula>AND($M$3="Kg")</formula>
    </cfRule>
  </conditionalFormatting>
  <conditionalFormatting sqref="M20">
    <cfRule type="expression" dxfId="73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4"/>
  <sheetViews>
    <sheetView workbookViewId="0">
      <selection activeCell="Q23" sqref="Q2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75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75</v>
      </c>
      <c r="Q18" s="5">
        <f ca="1">2*(Q21*P21+Q22*P22+Q23*P23+Q24*P24+Q25*P25+Q26*P26+Q27*P27+Q28*P28+Q29*P29+Q30*P30+Q31*P31)+Q36</f>
        <v>75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2">
        <f ca="1">INDIRECT(ADDRESS(Lifting!AY5,9,,,"Lifting"))</f>
        <v>34242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13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4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| Next Rack: 13</v>
      </c>
      <c r="P38" s="5"/>
      <c r="Q38" s="5"/>
      <c r="R38" s="88" t="str">
        <f ca="1">IF(O38="","",CONCATENATE("Nästa vikt: ",P3," kg"))</f>
        <v>Nästa vikt: 75 kg</v>
      </c>
      <c r="T38" t="str">
        <f ca="1">IF(Lifting!$BI$2,INDIRECT(ADDRESS(9,2,,,"Lifting")),IF(NOT(Lifting!$AY$5=Lifting!$BA$6),INDIRECT(ADDRESS(Lifting!$AY$5+1,2,,,"Lifting")),""))</f>
        <v>Cecilia Thulin</v>
      </c>
    </row>
    <row r="39" spans="1:20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88" t="str">
        <f ca="1">IF(O39="","",CONCATENATE("Nästa höjd: ",TRIM(RIGHT(O39,LEN(O39)-10))))</f>
        <v>Nästa höjd: 13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Göteborg KK</v>
      </c>
    </row>
    <row r="40" spans="1:20" x14ac:dyDescent="0.2">
      <c r="A40" t="str">
        <f ca="1">IF(A36="","",CONCATENATE(RIGHT(YEAR(A36),2),TEXT(A36,"MM"),TEXT(A36,"DD"),", klass ",A38," kg"))</f>
        <v>930930,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84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1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Setup!O6:O15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B3" s="289"/>
    </row>
  </sheetData>
  <sheetProtection sheet="1" objects="1" scenarios="1"/>
  <phoneticPr fontId="0" type="noConversion"/>
  <conditionalFormatting sqref="A2:M65433">
    <cfRule type="expression" dxfId="72" priority="1" stopIfTrue="1">
      <formula>AND(ROW(A2)=$Z$1,COLUMN(A2)=$Z$2)</formula>
    </cfRule>
    <cfRule type="expression" dxfId="71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433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33"/>
    <dataValidation type="list" allowBlank="1" showInputMessage="1" showErrorMessage="1" sqref="A3:A65433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33 I3:I65433">
      <formula1>AND(MOD(I3,IF($P$2="Lb",5,2.5))=0)</formula1>
    </dataValidation>
    <dataValidation type="list" allowBlank="1" showInputMessage="1" showErrorMessage="1" sqref="D3:D65433">
      <formula1>INDIRECT($R$2)</formula1>
    </dataValidation>
    <dataValidation type="list" allowBlank="1" showInputMessage="1" showErrorMessage="1" sqref="C3:C65433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42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79" t="s">
        <v>281</v>
      </c>
      <c r="B1" s="380"/>
      <c r="C1" s="380"/>
      <c r="D1" s="380"/>
      <c r="E1" s="380"/>
      <c r="F1" s="380"/>
      <c r="G1" s="380"/>
      <c r="H1" s="105"/>
      <c r="I1" s="106"/>
      <c r="J1" s="105"/>
      <c r="K1" s="107"/>
      <c r="L1" s="108"/>
      <c r="M1" s="108"/>
      <c r="N1" s="108"/>
      <c r="O1" s="107"/>
      <c r="P1" s="109"/>
      <c r="Q1" s="262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83" t="str">
        <f ca="1">CONCATENATE("Class ",INDIRECT(ADDRESS(AY5,6))," kg")</f>
        <v>Class 84+ kg</v>
      </c>
      <c r="B2" s="384"/>
      <c r="C2" s="387">
        <f ca="1">INDIRECT(AY4)</f>
        <v>70</v>
      </c>
      <c r="D2" s="388"/>
      <c r="E2" s="388"/>
      <c r="F2" s="388" t="s">
        <v>122</v>
      </c>
      <c r="G2" s="388"/>
      <c r="H2" s="105"/>
      <c r="I2" s="106"/>
      <c r="J2" s="105"/>
      <c r="K2" s="107"/>
      <c r="L2" s="108"/>
      <c r="M2" s="108"/>
      <c r="N2" s="108"/>
      <c r="O2" s="107"/>
      <c r="P2" s="109"/>
      <c r="Q2" s="262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B9:B20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83" t="str">
        <f ca="1">OFFSET(Setup!P1,MATCH(INDIRECT(ADDRESS(AY5,3)),Setup!O:O,0)-1,0)</f>
        <v>Sommarhemmets KS</v>
      </c>
      <c r="B3" s="384"/>
      <c r="C3" s="389"/>
      <c r="D3" s="390"/>
      <c r="E3" s="390"/>
      <c r="F3" s="391"/>
      <c r="G3" s="390"/>
      <c r="H3" s="105"/>
      <c r="I3" s="106"/>
      <c r="J3" s="105"/>
      <c r="K3" s="107"/>
      <c r="L3" s="108"/>
      <c r="M3" s="108"/>
      <c r="N3" s="108"/>
      <c r="O3" s="107"/>
      <c r="P3" s="109"/>
      <c r="Q3" s="262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85"/>
      <c r="B4" s="386"/>
      <c r="C4" s="392" t="s">
        <v>32</v>
      </c>
      <c r="D4" s="393"/>
      <c r="E4" s="394"/>
      <c r="F4" s="263" t="s">
        <v>258</v>
      </c>
      <c r="G4" s="264">
        <f ca="1">IF(LEFT(C4,1)="S",INDIRECT(ADDRESS(AY5,11)),IF(LEFT(C4,1)="B",INDIRECT(ADDRESS(AY5,16)),""))</f>
        <v>15</v>
      </c>
      <c r="H4" s="105"/>
      <c r="I4" s="106"/>
      <c r="J4" s="105"/>
      <c r="K4" s="107"/>
      <c r="L4" s="108"/>
      <c r="M4" s="108"/>
      <c r="N4" s="108"/>
      <c r="O4" s="107"/>
      <c r="P4" s="109"/>
      <c r="Q4" s="262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Setup!O6:O15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B9:B20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81" t="s">
        <v>160</v>
      </c>
      <c r="B5" s="382"/>
      <c r="C5" s="310" t="s">
        <v>364</v>
      </c>
      <c r="D5" s="311" t="s">
        <v>25</v>
      </c>
      <c r="E5" s="311" t="s">
        <v>116</v>
      </c>
      <c r="F5" s="279" t="s">
        <v>6</v>
      </c>
      <c r="G5" s="280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62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21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0.41193877314799465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20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34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365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82" t="e">
        <f t="shared" ref="AA8" ca="1" si="6">IF(AE8="BP",T8*H8,Z8*H8)</f>
        <v>#VALUE!</v>
      </c>
      <c r="AB8" s="177" t="e">
        <f t="shared" ref="AB8" ca="1" si="7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27</v>
      </c>
      <c r="AJ8" s="128">
        <f t="shared" ref="AJ8" ca="1" si="10">INT(AH8/1000000)</f>
        <v>0</v>
      </c>
      <c r="AK8" s="128">
        <f t="shared" ref="AK8" ca="1" si="11">RANK(AJ8,INDIRECT("AJ1:AJ200"),0)</f>
        <v>27</v>
      </c>
      <c r="AL8" s="128">
        <f t="shared" ref="AL8" ca="1" si="12">AI8-AK8+1</f>
        <v>1</v>
      </c>
      <c r="AN8" s="180" t="e">
        <f t="shared" ref="AN8" ca="1" si="13">RANK(Z8,INDIRECT("Z1:Z200"),-1)</f>
        <v>#VALUE!</v>
      </c>
      <c r="AO8" s="180">
        <f t="shared" ref="AO8" si="14">E8</f>
        <v>0</v>
      </c>
      <c r="AP8" s="180">
        <f t="shared" ref="AP8" ca="1" si="15">RANK(AO8,INDIRECT("AO1:AO200"))</f>
        <v>35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20">IF(BX8=1,3,IF(BW8=1,2,IF(BV8=1,1,0)))</f>
        <v>0</v>
      </c>
      <c r="BZ8" s="183">
        <f t="shared" ref="BZ8" ca="1" si="21">IF($AU$7="SQ",BO8,IF($AU$7="BP",BT8,BY8))</f>
        <v>0</v>
      </c>
    </row>
    <row r="9" spans="1:125" ht="19.5" customHeight="1" x14ac:dyDescent="0.2">
      <c r="A9" s="167" t="s">
        <v>24</v>
      </c>
      <c r="B9" s="168" t="s">
        <v>281</v>
      </c>
      <c r="C9" s="168" t="s">
        <v>213</v>
      </c>
      <c r="D9" s="169" t="s">
        <v>223</v>
      </c>
      <c r="E9" s="169">
        <v>97.35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10</v>
      </c>
      <c r="H9" s="170">
        <f>IF(AND(VALUE(E9)&gt;0,OR(LEFT(D9,1)="M",LEFT(D9,1)="F")),IF(LEFT(D9,1)="M",Wilks_Men(IF(RIGHT($F$7,4)="(lb)",E9/2.2046,E9)),Wilks_Women(IF(RIGHT($F$7,4)="(lb)",E9/2.2046,E9))),0)</f>
        <v>0.83950001001358032</v>
      </c>
      <c r="I9" s="241">
        <v>34242</v>
      </c>
      <c r="J9" s="128">
        <f ca="1">IF(I9,VLOOKUP(INT((NOW()-I9)/365.25),DATA!$A$2:$B$53,2,TRUE),0)</f>
        <v>1</v>
      </c>
      <c r="K9" s="169">
        <v>15</v>
      </c>
      <c r="L9" s="243">
        <v>70</v>
      </c>
      <c r="M9" s="246">
        <v>-80</v>
      </c>
      <c r="N9" s="246">
        <v>-105</v>
      </c>
      <c r="O9" s="173">
        <f t="shared" ref="O9:O42" si="22">IF(MAX(BL9:BN9)&gt;0,MAX(ABS(L9)*BL9,ABS(M9)*BM9,ABS(N9)*BN9),"")</f>
        <v>70</v>
      </c>
      <c r="P9" s="174" t="s">
        <v>282</v>
      </c>
      <c r="Q9" s="243">
        <v>40</v>
      </c>
      <c r="R9" s="243">
        <v>50</v>
      </c>
      <c r="S9" s="246">
        <v>-55</v>
      </c>
      <c r="T9" s="173">
        <f t="shared" ref="T9:T42" si="23">IF(MAX(BQ9:BS9)&gt;0,MAX(ABS(Q9)*BQ9,ABS(R9)*BR9,ABS(S9)*BS9),0)</f>
        <v>50</v>
      </c>
      <c r="U9" s="173">
        <f t="shared" ref="U9:U42" si="24">IF(OR(O9="",T9=""),"",O9+T9)</f>
        <v>120</v>
      </c>
      <c r="V9" s="243">
        <v>80</v>
      </c>
      <c r="W9" s="248">
        <v>100</v>
      </c>
      <c r="X9" s="243">
        <v>110</v>
      </c>
      <c r="Y9" s="176">
        <f t="shared" ref="Y9:Y42" si="25">IF(MAX(BV9:BX9)&gt;0,MAX(ABS(V9)*BV9,ABS(W9)*BW9,ABS(X9)*BX9),"")</f>
        <v>110</v>
      </c>
      <c r="Z9" s="173">
        <f t="shared" ref="Z9:Z42" ca="1" si="26">IF(AE9=$AU$7,IF($AU$7="SQ",O9,IF($AU$7="BP",T9,IF($AU$7="DL",Y9,IF($AU$7="PP",IF(OR(T9="",Y9=""),"",T9+Y9),IF(OR($U9="",$Y9=""),"",$O9+$T9+$Y9))))),"")</f>
        <v>230</v>
      </c>
      <c r="AA9" s="282">
        <f t="shared" ref="AA9:AA42" ca="1" si="27">IF(AE9="BP",T9*H9,Z9*H9)</f>
        <v>193.08500230312347</v>
      </c>
      <c r="AB9" s="177">
        <f t="shared" ref="AB9:AB42" ca="1" si="28">IF(AND(I9&gt;23,I9&lt;40),0,AA9*J9)</f>
        <v>193.08500230312347</v>
      </c>
      <c r="AC9" s="167">
        <f ca="1">OFFSET(Setup!$F$1,MATCH(D9,INDIRECT("Setup!B1:B100"),0)-1,0)</f>
        <v>2</v>
      </c>
      <c r="AD9" s="178" t="str">
        <f t="shared" ref="AD9:AD42" ca="1" si="29">IF(OR(Z9=0,AU9=0,AH9=0),"",CONCATENATE(AL9,"-",D9,IF(AC9&gt;1,"","-"),IF(AC9&gt;1,"",F9),"-",$AU$7))</f>
        <v>10-F-BL-PL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1300000193.0850024</v>
      </c>
      <c r="AI9" s="128">
        <f t="shared" ref="AI9:AI42" ca="1" si="30">RANK(AH9,INDIRECT("AH1:AH200"),0)</f>
        <v>10</v>
      </c>
      <c r="AJ9" s="128">
        <f t="shared" ref="AJ9:AJ42" ca="1" si="31">INT(AH9/1000000)</f>
        <v>1300</v>
      </c>
      <c r="AK9" s="128">
        <f t="shared" ref="AK9:AK42" ca="1" si="32">RANK(AJ9,INDIRECT("AJ1:AJ200"),0)</f>
        <v>1</v>
      </c>
      <c r="AL9" s="128">
        <f t="shared" ref="AL9:AL42" ca="1" si="33">AI9-AK9+1</f>
        <v>10</v>
      </c>
      <c r="AN9" s="180">
        <f t="shared" ref="AN9:AN42" ca="1" si="34">RANK(Z9,INDIRECT("Z1:Z200"),-1)</f>
        <v>1</v>
      </c>
      <c r="AO9" s="180">
        <f t="shared" ref="AO9:AO42" si="35">E9</f>
        <v>97.35</v>
      </c>
      <c r="AP9" s="180">
        <f t="shared" ref="AP9:AP42" ca="1" si="36">RANK(AO9,INDIRECT("AO1:AO200"))</f>
        <v>6</v>
      </c>
      <c r="AQ9" s="180">
        <f t="shared" ref="AQ9:AQ42" ca="1" si="37">RANK(BZ9,INDIRECT("BZ:BZ"),-1)</f>
        <v>13</v>
      </c>
      <c r="AU9" s="180">
        <f t="shared" ref="AU9:AU42" ca="1" si="38">IF(ISERROR(FIND($AU$7,AE9)),0,1)</f>
        <v>1</v>
      </c>
      <c r="AW9" s="180"/>
      <c r="AX9" s="182"/>
      <c r="AY9" s="182"/>
      <c r="AZ9" s="182"/>
      <c r="BA9" s="128">
        <f t="shared" ref="BA9:BA42" si="39">HLOOKUP($A9,$BA$1:$BH$2,2,FALSE)</f>
        <v>0</v>
      </c>
      <c r="BB9" s="118">
        <f t="shared" ref="BB9:BB42" ca="1" si="40">IF(OR(INDIRECT(ADDRESS(ROW(BB9),$BB$4))="",INDIRECT(ADDRESS(ROW(BB9),$BB$4))=0),"",ABS(INDIRECT(ADDRESS(ROW(BB9),$BB$4)))+0.0001*INDIRECT(ADDRESS(ROW(BB9),7)))</f>
        <v>70.001000000000005</v>
      </c>
      <c r="BL9" s="118">
        <v>1</v>
      </c>
      <c r="BM9" s="118">
        <v>-1</v>
      </c>
      <c r="BN9" s="118">
        <v>-1</v>
      </c>
      <c r="BO9" s="183">
        <v>43155.465532407405</v>
      </c>
      <c r="BQ9" s="118">
        <v>1</v>
      </c>
      <c r="BR9" s="118">
        <v>1</v>
      </c>
      <c r="BS9" s="118">
        <v>-1</v>
      </c>
      <c r="BT9" s="183">
        <v>43155.534907407404</v>
      </c>
      <c r="BV9" s="118">
        <v>1</v>
      </c>
      <c r="BW9" s="118">
        <v>1</v>
      </c>
      <c r="BX9" s="118">
        <v>1</v>
      </c>
      <c r="BY9" s="183">
        <v>43155.606145833335</v>
      </c>
      <c r="BZ9" s="183">
        <f t="shared" ref="BZ9:BZ42" ca="1" si="41">IF($AU$7="SQ",BO9,IF($AU$7="BP",BT9,BY9))</f>
        <v>43155.606145833335</v>
      </c>
      <c r="CA9" s="244">
        <v>0.60684027777777783</v>
      </c>
    </row>
    <row r="10" spans="1:125" ht="19.5" customHeight="1" x14ac:dyDescent="0.2">
      <c r="A10" s="167" t="s">
        <v>24</v>
      </c>
      <c r="B10" s="168" t="s">
        <v>289</v>
      </c>
      <c r="C10" s="168" t="s">
        <v>183</v>
      </c>
      <c r="D10" s="169" t="s">
        <v>223</v>
      </c>
      <c r="E10" s="169">
        <v>80.400000000000006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33</v>
      </c>
      <c r="H10" s="170">
        <f>IF(AND(VALUE(E10)&gt;0,OR(LEFT(D10,1)="M",LEFT(D10,1)="F")),IF(LEFT(D10,1)="M",Wilks_Men(IF(RIGHT($F$7,4)="(lb)",E10/2.2046,E10)),Wilks_Women(IF(RIGHT($F$7,4)="(lb)",E10/2.2046,E10))),0)</f>
        <v>0.91250002384185791</v>
      </c>
      <c r="I10" s="241">
        <v>32165</v>
      </c>
      <c r="J10" s="128">
        <f ca="1">IF(I10,VLOOKUP(INT((NOW()-I10)/365.25),DATA!$A$2:$B$53,2,TRUE),0)</f>
        <v>1</v>
      </c>
      <c r="K10" s="169">
        <v>13</v>
      </c>
      <c r="L10" s="243">
        <v>75</v>
      </c>
      <c r="M10" s="243">
        <v>80</v>
      </c>
      <c r="N10" s="246">
        <v>-90</v>
      </c>
      <c r="O10" s="173">
        <f t="shared" si="22"/>
        <v>80</v>
      </c>
      <c r="P10" s="174" t="s">
        <v>290</v>
      </c>
      <c r="Q10" s="243">
        <v>40</v>
      </c>
      <c r="R10" s="243">
        <v>45</v>
      </c>
      <c r="S10" s="246">
        <v>-50</v>
      </c>
      <c r="T10" s="173">
        <f t="shared" si="23"/>
        <v>45</v>
      </c>
      <c r="U10" s="173">
        <f t="shared" si="24"/>
        <v>125</v>
      </c>
      <c r="V10" s="243">
        <v>100</v>
      </c>
      <c r="W10" s="248">
        <v>112.5</v>
      </c>
      <c r="X10" s="243">
        <v>117.5</v>
      </c>
      <c r="Y10" s="176">
        <f t="shared" si="25"/>
        <v>117.5</v>
      </c>
      <c r="Z10" s="173">
        <f t="shared" ca="1" si="26"/>
        <v>242.5</v>
      </c>
      <c r="AA10" s="282">
        <f t="shared" ca="1" si="27"/>
        <v>221.28125578165054</v>
      </c>
      <c r="AB10" s="177">
        <f t="shared" ca="1" si="28"/>
        <v>221.28125578165054</v>
      </c>
      <c r="AC10" s="167">
        <f ca="1">OFFSET(Setup!$F$1,MATCH(D10,INDIRECT("Setup!B1:B100"),0)-1,0)</f>
        <v>2</v>
      </c>
      <c r="AD10" s="178" t="str">
        <f t="shared" ca="1" si="29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1300000221.2812557</v>
      </c>
      <c r="AI10" s="128">
        <f t="shared" ca="1" si="30"/>
        <v>9</v>
      </c>
      <c r="AJ10" s="128">
        <f t="shared" ca="1" si="31"/>
        <v>1300</v>
      </c>
      <c r="AK10" s="128">
        <f t="shared" ca="1" si="32"/>
        <v>1</v>
      </c>
      <c r="AL10" s="128">
        <f t="shared" ca="1" si="33"/>
        <v>9</v>
      </c>
      <c r="AN10" s="180">
        <f t="shared" ca="1" si="34"/>
        <v>2</v>
      </c>
      <c r="AO10" s="180">
        <f t="shared" si="35"/>
        <v>80.400000000000006</v>
      </c>
      <c r="AP10" s="180">
        <f t="shared" ca="1" si="36"/>
        <v>17</v>
      </c>
      <c r="AQ10" s="180">
        <f t="shared" ca="1" si="37"/>
        <v>15</v>
      </c>
      <c r="AU10" s="180">
        <f t="shared" ca="1" si="38"/>
        <v>1</v>
      </c>
      <c r="AW10" s="180"/>
      <c r="AX10" s="182"/>
      <c r="AY10" s="182"/>
      <c r="AZ10" s="182"/>
      <c r="BA10" s="128">
        <f t="shared" si="39"/>
        <v>0</v>
      </c>
      <c r="BB10" s="118">
        <f t="shared" ca="1" si="40"/>
        <v>75.003299999999996</v>
      </c>
      <c r="BL10" s="118">
        <v>1</v>
      </c>
      <c r="BM10" s="118">
        <v>1</v>
      </c>
      <c r="BN10" s="118">
        <v>-1</v>
      </c>
      <c r="BO10" s="183">
        <v>43155.474594907406</v>
      </c>
      <c r="BQ10" s="118">
        <v>1</v>
      </c>
      <c r="BR10" s="118">
        <v>1</v>
      </c>
      <c r="BS10" s="118">
        <v>-1</v>
      </c>
      <c r="BT10" s="183">
        <v>43155.534143518518</v>
      </c>
      <c r="BV10" s="118">
        <v>1</v>
      </c>
      <c r="BW10" s="118">
        <v>1</v>
      </c>
      <c r="BX10" s="118">
        <v>1</v>
      </c>
      <c r="BY10" s="183">
        <v>43155.607870370368</v>
      </c>
      <c r="BZ10" s="183">
        <f t="shared" ca="1" si="41"/>
        <v>43155.607870370368</v>
      </c>
      <c r="CA10" s="244">
        <v>0.60856481481481484</v>
      </c>
    </row>
    <row r="11" spans="1:125" ht="19.5" customHeight="1" x14ac:dyDescent="0.2">
      <c r="A11" s="167" t="s">
        <v>24</v>
      </c>
      <c r="B11" s="168" t="s">
        <v>284</v>
      </c>
      <c r="C11" s="168" t="s">
        <v>213</v>
      </c>
      <c r="D11" s="169" t="s">
        <v>223</v>
      </c>
      <c r="E11" s="169">
        <v>61.3</v>
      </c>
      <c r="F11" s="169">
        <f>IF(LEFT(D11,1)="M",VLOOKUP(IF($E$7="Bwt (kg)",E11,E11/2.2046),Lists!$B$16:$D$24,IF(ISERROR(FIND("J",D11)),3,2)),VLOOKUP(IF($E$7="Bwt (kg)",E11,E11/2.2046),Lists!$B$26:$D$33,IF(ISERROR(FIND("J",D11)),3,2)))</f>
        <v>63</v>
      </c>
      <c r="G11" s="169">
        <v>14</v>
      </c>
      <c r="H11" s="170">
        <f>IF(AND(VALUE(E11)&gt;0,OR(LEFT(D11,1)="M",LEFT(D11,1)="F")),IF(LEFT(D11,1)="M",Wilks_Men(IF(RIGHT($F$7,4)="(lb)",E11/2.2046,E11)),Wilks_Women(IF(RIGHT($F$7,4)="(lb)",E11/2.2046,E11))),0)</f>
        <v>1.0966000556945801</v>
      </c>
      <c r="I11" s="241">
        <v>36753</v>
      </c>
      <c r="J11" s="128">
        <f ca="1">IF(I11,VLOOKUP(INT((NOW()-I11)/365.25),DATA!$A$2:$B$53,2,TRUE),0)</f>
        <v>1.08</v>
      </c>
      <c r="K11" s="169">
        <v>12</v>
      </c>
      <c r="L11" s="243">
        <v>80</v>
      </c>
      <c r="M11" s="243">
        <v>85</v>
      </c>
      <c r="N11" s="243">
        <v>92.5</v>
      </c>
      <c r="O11" s="173">
        <f t="shared" si="22"/>
        <v>92.5</v>
      </c>
      <c r="P11" s="174" t="s">
        <v>251</v>
      </c>
      <c r="Q11" s="243">
        <v>75</v>
      </c>
      <c r="R11" s="243">
        <v>80</v>
      </c>
      <c r="S11" s="243">
        <v>82.5</v>
      </c>
      <c r="T11" s="173">
        <f t="shared" si="23"/>
        <v>82.5</v>
      </c>
      <c r="U11" s="173">
        <f t="shared" si="24"/>
        <v>175</v>
      </c>
      <c r="V11" s="243">
        <v>100</v>
      </c>
      <c r="W11" s="248">
        <v>105</v>
      </c>
      <c r="X11" s="243">
        <v>110</v>
      </c>
      <c r="Y11" s="176">
        <f t="shared" si="25"/>
        <v>110</v>
      </c>
      <c r="Z11" s="173">
        <f t="shared" ca="1" si="26"/>
        <v>285</v>
      </c>
      <c r="AA11" s="282">
        <f t="shared" ca="1" si="27"/>
        <v>312.53101587295532</v>
      </c>
      <c r="AB11" s="177">
        <f t="shared" ca="1" si="28"/>
        <v>337.53349714279176</v>
      </c>
      <c r="AC11" s="167">
        <f ca="1">OFFSET(Setup!$F$1,MATCH(D11,INDIRECT("Setup!B1:B100"),0)-1,0)</f>
        <v>2</v>
      </c>
      <c r="AD11" s="178" t="str">
        <f t="shared" ca="1" si="29"/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1300000312.5310159</v>
      </c>
      <c r="AI11" s="128">
        <f t="shared" ca="1" si="30"/>
        <v>7</v>
      </c>
      <c r="AJ11" s="128">
        <f t="shared" ca="1" si="31"/>
        <v>1300</v>
      </c>
      <c r="AK11" s="128">
        <f t="shared" ca="1" si="32"/>
        <v>1</v>
      </c>
      <c r="AL11" s="128">
        <f t="shared" ca="1" si="33"/>
        <v>7</v>
      </c>
      <c r="AN11" s="180">
        <f t="shared" ca="1" si="34"/>
        <v>3</v>
      </c>
      <c r="AO11" s="180">
        <f t="shared" si="35"/>
        <v>61.3</v>
      </c>
      <c r="AP11" s="180">
        <f t="shared" ca="1" si="36"/>
        <v>33</v>
      </c>
      <c r="AQ11" s="180">
        <f t="shared" ca="1" si="37"/>
        <v>14</v>
      </c>
      <c r="AU11" s="180">
        <f t="shared" ca="1" si="38"/>
        <v>1</v>
      </c>
      <c r="AW11" s="180"/>
      <c r="AX11" s="182"/>
      <c r="AY11" s="182"/>
      <c r="AZ11" s="182"/>
      <c r="BA11" s="128">
        <f t="shared" si="39"/>
        <v>0</v>
      </c>
      <c r="BB11" s="118">
        <f t="shared" ca="1" si="40"/>
        <v>80.001400000000004</v>
      </c>
      <c r="BL11" s="118">
        <v>1</v>
      </c>
      <c r="BM11" s="118">
        <v>1</v>
      </c>
      <c r="BN11" s="118">
        <v>1</v>
      </c>
      <c r="BO11" s="183">
        <v>43155.482835648145</v>
      </c>
      <c r="BQ11" s="118">
        <v>1</v>
      </c>
      <c r="BR11" s="118">
        <v>1</v>
      </c>
      <c r="BS11" s="118">
        <v>1</v>
      </c>
      <c r="BT11" s="183">
        <v>43155.549074074072</v>
      </c>
      <c r="BV11" s="118">
        <v>1</v>
      </c>
      <c r="BW11" s="118">
        <v>1</v>
      </c>
      <c r="BX11" s="118">
        <v>1</v>
      </c>
      <c r="BY11" s="183">
        <v>43155.606724537036</v>
      </c>
      <c r="BZ11" s="183">
        <f t="shared" ca="1" si="41"/>
        <v>43155.606724537036</v>
      </c>
      <c r="CA11" s="244">
        <v>0.60741898148148155</v>
      </c>
    </row>
    <row r="12" spans="1:125" ht="19.5" customHeight="1" x14ac:dyDescent="0.2">
      <c r="A12" s="167" t="s">
        <v>24</v>
      </c>
      <c r="B12" s="168" t="s">
        <v>291</v>
      </c>
      <c r="C12" s="168" t="s">
        <v>259</v>
      </c>
      <c r="D12" s="169" t="s">
        <v>222</v>
      </c>
      <c r="E12" s="169">
        <v>86.45</v>
      </c>
      <c r="F12" s="169">
        <f>IF(LEFT(D12,1)="M",VLOOKUP(IF($E$7="Bwt (kg)",E12,E12/2.2046),Lists!$B$16:$D$24,IF(ISERROR(FIND("J",D12)),3,2)),VLOOKUP(IF($E$7="Bwt (kg)",E12,E12/2.2046),Lists!$B$26:$D$33,IF(ISERROR(FIND("J",D12)),3,2)))</f>
        <v>93</v>
      </c>
      <c r="G12" s="169">
        <v>19</v>
      </c>
      <c r="H12" s="170">
        <f>IF(AND(VALUE(E12)&gt;0,OR(LEFT(D12,1)="M",LEFT(D12,1)="F")),IF(LEFT(D12,1)="M",Wilks_Men(IF(RIGHT($F$7,4)="(lb)",E12/2.2046,E12)),Wilks_Women(IF(RIGHT($F$7,4)="(lb)",E12/2.2046,E12))),0)</f>
        <v>0.65210002660751343</v>
      </c>
      <c r="I12" s="241">
        <v>36849</v>
      </c>
      <c r="J12" s="128">
        <f ca="1">IF(I12,VLOOKUP(INT((NOW()-I12)/365.25),DATA!$A$2:$B$53,2,TRUE),0)</f>
        <v>1.08</v>
      </c>
      <c r="K12" s="169">
        <v>14</v>
      </c>
      <c r="L12" s="243">
        <v>90</v>
      </c>
      <c r="M12" s="246">
        <v>-100</v>
      </c>
      <c r="N12" s="243">
        <v>100</v>
      </c>
      <c r="O12" s="173">
        <f t="shared" si="22"/>
        <v>100</v>
      </c>
      <c r="P12" s="174" t="s">
        <v>292</v>
      </c>
      <c r="Q12" s="243">
        <v>60</v>
      </c>
      <c r="R12" s="243">
        <v>70</v>
      </c>
      <c r="S12" s="243">
        <v>75</v>
      </c>
      <c r="T12" s="173">
        <f t="shared" si="23"/>
        <v>75</v>
      </c>
      <c r="U12" s="173">
        <f t="shared" si="24"/>
        <v>175</v>
      </c>
      <c r="V12" s="243">
        <v>100</v>
      </c>
      <c r="W12" s="248">
        <v>120</v>
      </c>
      <c r="X12" s="243">
        <v>140</v>
      </c>
      <c r="Y12" s="176">
        <f t="shared" si="25"/>
        <v>140</v>
      </c>
      <c r="Z12" s="173">
        <f t="shared" ca="1" si="26"/>
        <v>315</v>
      </c>
      <c r="AA12" s="282">
        <f t="shared" ca="1" si="27"/>
        <v>205.41150838136673</v>
      </c>
      <c r="AB12" s="177">
        <f t="shared" ca="1" si="28"/>
        <v>221.84442905187609</v>
      </c>
      <c r="AC12" s="167">
        <f ca="1">OFFSET(Setup!$F$1,MATCH(D12,INDIRECT("Setup!B1:B100"),0)-1,0)</f>
        <v>2</v>
      </c>
      <c r="AD12" s="178" t="str">
        <f t="shared" ca="1" si="29"/>
        <v>16-M-BL-PL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1200000205.4115083</v>
      </c>
      <c r="AI12" s="128">
        <f t="shared" ca="1" si="30"/>
        <v>26</v>
      </c>
      <c r="AJ12" s="128">
        <f t="shared" ca="1" si="31"/>
        <v>1200</v>
      </c>
      <c r="AK12" s="128">
        <f t="shared" ca="1" si="32"/>
        <v>11</v>
      </c>
      <c r="AL12" s="128">
        <f t="shared" ca="1" si="33"/>
        <v>16</v>
      </c>
      <c r="AN12" s="180">
        <f t="shared" ca="1" si="34"/>
        <v>5</v>
      </c>
      <c r="AO12" s="180">
        <f t="shared" si="35"/>
        <v>86.45</v>
      </c>
      <c r="AP12" s="180">
        <f t="shared" ca="1" si="36"/>
        <v>12</v>
      </c>
      <c r="AQ12" s="180">
        <f t="shared" ca="1" si="37"/>
        <v>17</v>
      </c>
      <c r="AU12" s="180">
        <f t="shared" ca="1" si="38"/>
        <v>1</v>
      </c>
      <c r="AW12" s="180"/>
      <c r="AX12" s="182"/>
      <c r="AY12" s="182"/>
      <c r="AZ12" s="182"/>
      <c r="BA12" s="128">
        <f t="shared" si="39"/>
        <v>0</v>
      </c>
      <c r="BB12" s="118">
        <f t="shared" ca="1" si="40"/>
        <v>90.001900000000006</v>
      </c>
      <c r="BL12" s="118">
        <v>1</v>
      </c>
      <c r="BM12" s="118">
        <v>-1</v>
      </c>
      <c r="BN12" s="118">
        <v>1</v>
      </c>
      <c r="BO12" s="183">
        <v>43155.483506944445</v>
      </c>
      <c r="BQ12" s="118">
        <v>1</v>
      </c>
      <c r="BR12" s="118">
        <v>1</v>
      </c>
      <c r="BS12" s="118">
        <v>1</v>
      </c>
      <c r="BT12" s="183">
        <v>43155.547812500001</v>
      </c>
      <c r="BV12" s="118">
        <v>1</v>
      </c>
      <c r="BW12" s="118">
        <v>1</v>
      </c>
      <c r="BX12" s="118">
        <v>1</v>
      </c>
      <c r="BY12" s="183">
        <v>43155.609317129631</v>
      </c>
      <c r="BZ12" s="183">
        <f t="shared" ca="1" si="41"/>
        <v>43155.609317129631</v>
      </c>
      <c r="CA12" s="244">
        <v>0.61001157407407403</v>
      </c>
    </row>
    <row r="13" spans="1:125" ht="19.5" customHeight="1" x14ac:dyDescent="0.2">
      <c r="A13" s="167" t="s">
        <v>24</v>
      </c>
      <c r="B13" s="168" t="s">
        <v>279</v>
      </c>
      <c r="C13" s="168" t="s">
        <v>183</v>
      </c>
      <c r="D13" s="169" t="s">
        <v>223</v>
      </c>
      <c r="E13" s="169">
        <v>58.2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1</v>
      </c>
      <c r="H13" s="170">
        <f>IF(AND(VALUE(E13)&gt;0,OR(LEFT(D13,1)="M",LEFT(D13,1)="F")),IF(LEFT(D13,1)="M",Wilks_Men(IF(RIGHT($F$7,4)="(lb)",E13/2.2046,E13)),Wilks_Women(IF(RIGHT($F$7,4)="(lb)",E13/2.2046,E13))),0)</f>
        <v>1.1416000127792358</v>
      </c>
      <c r="I13" s="241">
        <v>34795</v>
      </c>
      <c r="J13" s="128">
        <f ca="1">IF(I13,VLOOKUP(INT((NOW()-I13)/365.25),DATA!$A$2:$B$53,2,TRUE),0)</f>
        <v>1.01</v>
      </c>
      <c r="K13" s="169">
        <v>10</v>
      </c>
      <c r="L13" s="243">
        <v>100</v>
      </c>
      <c r="M13" s="243">
        <v>110</v>
      </c>
      <c r="N13" s="246">
        <v>-112.5</v>
      </c>
      <c r="O13" s="173">
        <f t="shared" si="22"/>
        <v>110</v>
      </c>
      <c r="P13" s="174" t="s">
        <v>252</v>
      </c>
      <c r="Q13" s="243">
        <v>67.5</v>
      </c>
      <c r="R13" s="243">
        <v>70</v>
      </c>
      <c r="S13" s="243">
        <v>75</v>
      </c>
      <c r="T13" s="173">
        <f t="shared" si="23"/>
        <v>75</v>
      </c>
      <c r="U13" s="173">
        <f t="shared" si="24"/>
        <v>185</v>
      </c>
      <c r="V13" s="243">
        <v>130</v>
      </c>
      <c r="W13" s="248">
        <v>140</v>
      </c>
      <c r="X13" s="243">
        <v>150</v>
      </c>
      <c r="Y13" s="176">
        <f t="shared" si="25"/>
        <v>150</v>
      </c>
      <c r="Z13" s="173">
        <f t="shared" ca="1" si="26"/>
        <v>335</v>
      </c>
      <c r="AA13" s="282">
        <f t="shared" ca="1" si="27"/>
        <v>382.43600428104401</v>
      </c>
      <c r="AB13" s="177">
        <f t="shared" ca="1" si="28"/>
        <v>386.26036432385445</v>
      </c>
      <c r="AC13" s="167">
        <f ca="1">OFFSET(Setup!$F$1,MATCH(D13,INDIRECT("Setup!B1:B100"),0)-1,0)</f>
        <v>2</v>
      </c>
      <c r="AD13" s="178" t="str">
        <f t="shared" ca="1" si="29"/>
        <v>2-F-BL-PL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1300000382.4360042</v>
      </c>
      <c r="AI13" s="128">
        <f t="shared" ca="1" si="30"/>
        <v>2</v>
      </c>
      <c r="AJ13" s="128">
        <f t="shared" ca="1" si="31"/>
        <v>1300</v>
      </c>
      <c r="AK13" s="128">
        <f t="shared" ca="1" si="32"/>
        <v>1</v>
      </c>
      <c r="AL13" s="128">
        <f t="shared" ca="1" si="33"/>
        <v>2</v>
      </c>
      <c r="AN13" s="180">
        <f t="shared" ca="1" si="34"/>
        <v>6</v>
      </c>
      <c r="AO13" s="180">
        <f t="shared" si="35"/>
        <v>58.2</v>
      </c>
      <c r="AP13" s="180">
        <f t="shared" ca="1" si="36"/>
        <v>34</v>
      </c>
      <c r="AQ13" s="180">
        <f t="shared" ca="1" si="37"/>
        <v>18</v>
      </c>
      <c r="AU13" s="180">
        <f t="shared" ca="1" si="38"/>
        <v>1</v>
      </c>
      <c r="AW13" s="180"/>
      <c r="AX13" s="182"/>
      <c r="AY13" s="182"/>
      <c r="AZ13" s="182"/>
      <c r="BA13" s="128">
        <f t="shared" si="39"/>
        <v>0</v>
      </c>
      <c r="BB13" s="118">
        <f t="shared" ca="1" si="40"/>
        <v>100.0001</v>
      </c>
      <c r="BL13" s="118">
        <v>1</v>
      </c>
      <c r="BM13" s="118">
        <v>1</v>
      </c>
      <c r="BN13" s="118">
        <v>-1</v>
      </c>
      <c r="BO13" s="183">
        <v>43155.476597222223</v>
      </c>
      <c r="BQ13" s="118">
        <v>1</v>
      </c>
      <c r="BR13" s="118">
        <v>1</v>
      </c>
      <c r="BS13" s="118">
        <v>1</v>
      </c>
      <c r="BT13" s="183">
        <v>43155.547233796293</v>
      </c>
      <c r="BV13" s="118">
        <v>1</v>
      </c>
      <c r="BW13" s="118">
        <v>1</v>
      </c>
      <c r="BX13" s="118">
        <v>1</v>
      </c>
      <c r="BY13" s="183">
        <v>43155.609976851854</v>
      </c>
      <c r="BZ13" s="183">
        <f t="shared" ca="1" si="41"/>
        <v>43155.609976851854</v>
      </c>
      <c r="CA13" s="244">
        <v>0.61067129629629624</v>
      </c>
    </row>
    <row r="14" spans="1:125" ht="19.5" customHeight="1" x14ac:dyDescent="0.2">
      <c r="A14" s="167" t="s">
        <v>24</v>
      </c>
      <c r="B14" s="168" t="s">
        <v>283</v>
      </c>
      <c r="C14" s="168" t="s">
        <v>259</v>
      </c>
      <c r="D14" s="169" t="s">
        <v>223</v>
      </c>
      <c r="E14" s="169">
        <v>62.55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11</v>
      </c>
      <c r="H14" s="170">
        <f>IF(AND(VALUE(E14)&gt;0,OR(LEFT(D14,1)="M",LEFT(D14,1)="F")),IF(LEFT(D14,1)="M",Wilks_Men(IF(RIGHT($F$7,4)="(lb)",E14/2.2046,E14)),Wilks_Women(IF(RIGHT($F$7,4)="(lb)",E14/2.2046,E14))),0)</f>
        <v>1.079800009727478</v>
      </c>
      <c r="I14" s="241">
        <v>35454</v>
      </c>
      <c r="J14" s="128">
        <f ca="1">IF(I14,VLOOKUP(INT((NOW()-I14)/365.25),DATA!$A$2:$B$53,2,TRUE),0)</f>
        <v>1.02</v>
      </c>
      <c r="K14" s="169">
        <v>10</v>
      </c>
      <c r="L14" s="243">
        <v>100</v>
      </c>
      <c r="M14" s="243">
        <v>110</v>
      </c>
      <c r="N14" s="172"/>
      <c r="O14" s="173">
        <f t="shared" si="22"/>
        <v>110</v>
      </c>
      <c r="P14" s="174" t="s">
        <v>274</v>
      </c>
      <c r="Q14" s="243">
        <v>60</v>
      </c>
      <c r="R14" s="243">
        <v>65</v>
      </c>
      <c r="S14" s="243">
        <v>67.5</v>
      </c>
      <c r="T14" s="173">
        <f t="shared" si="23"/>
        <v>67.5</v>
      </c>
      <c r="U14" s="173">
        <f t="shared" si="24"/>
        <v>177.5</v>
      </c>
      <c r="V14" s="243">
        <v>120</v>
      </c>
      <c r="W14" s="248">
        <v>130</v>
      </c>
      <c r="X14" s="167"/>
      <c r="Y14" s="176">
        <f t="shared" si="25"/>
        <v>130</v>
      </c>
      <c r="Z14" s="173">
        <f t="shared" ca="1" si="26"/>
        <v>307.5</v>
      </c>
      <c r="AA14" s="282">
        <f t="shared" ca="1" si="27"/>
        <v>332.03850299119949</v>
      </c>
      <c r="AB14" s="177">
        <f t="shared" ca="1" si="28"/>
        <v>338.67927305102347</v>
      </c>
      <c r="AC14" s="167">
        <f ca="1">OFFSET(Setup!$F$1,MATCH(D14,INDIRECT("Setup!B1:B100"),0)-1,0)</f>
        <v>2</v>
      </c>
      <c r="AD14" s="178" t="str">
        <f t="shared" ca="1" si="29"/>
        <v>5-F-BL-PL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1300000332.0385029</v>
      </c>
      <c r="AI14" s="128">
        <f t="shared" ca="1" si="30"/>
        <v>5</v>
      </c>
      <c r="AJ14" s="128">
        <f t="shared" ca="1" si="31"/>
        <v>1300</v>
      </c>
      <c r="AK14" s="128">
        <f t="shared" ca="1" si="32"/>
        <v>1</v>
      </c>
      <c r="AL14" s="128">
        <f t="shared" ca="1" si="33"/>
        <v>5</v>
      </c>
      <c r="AN14" s="180">
        <f t="shared" ca="1" si="34"/>
        <v>4</v>
      </c>
      <c r="AO14" s="180">
        <f t="shared" si="35"/>
        <v>62.55</v>
      </c>
      <c r="AP14" s="180">
        <f t="shared" ca="1" si="36"/>
        <v>31</v>
      </c>
      <c r="AQ14" s="180">
        <f t="shared" ca="1" si="37"/>
        <v>10</v>
      </c>
      <c r="AU14" s="180">
        <f t="shared" ca="1" si="38"/>
        <v>1</v>
      </c>
      <c r="AW14" s="180"/>
      <c r="AX14" s="182"/>
      <c r="AY14" s="182"/>
      <c r="AZ14" s="182"/>
      <c r="BA14" s="128">
        <f t="shared" si="39"/>
        <v>0</v>
      </c>
      <c r="BB14" s="118">
        <f t="shared" ca="1" si="40"/>
        <v>100.00109999999999</v>
      </c>
      <c r="BL14" s="118">
        <v>1</v>
      </c>
      <c r="BM14" s="118">
        <v>1</v>
      </c>
      <c r="BN14" s="118">
        <v>0</v>
      </c>
      <c r="BO14" s="183">
        <v>43155.477210648147</v>
      </c>
      <c r="BQ14" s="118">
        <v>1</v>
      </c>
      <c r="BR14" s="118">
        <v>1</v>
      </c>
      <c r="BS14" s="118">
        <v>1</v>
      </c>
      <c r="BT14" s="183">
        <v>43155.544988425929</v>
      </c>
      <c r="BV14" s="118">
        <v>1</v>
      </c>
      <c r="BW14" s="118">
        <v>1</v>
      </c>
      <c r="BX14" s="118">
        <v>0</v>
      </c>
      <c r="BY14" s="183">
        <v>43155.600844907407</v>
      </c>
      <c r="BZ14" s="183">
        <f t="shared" ca="1" si="41"/>
        <v>43155.600844907407</v>
      </c>
      <c r="CA14" s="244">
        <v>0.60153935185185181</v>
      </c>
    </row>
    <row r="15" spans="1:125" ht="19.5" customHeight="1" x14ac:dyDescent="0.2">
      <c r="A15" s="167" t="s">
        <v>24</v>
      </c>
      <c r="B15" s="168" t="s">
        <v>293</v>
      </c>
      <c r="C15" s="168" t="s">
        <v>259</v>
      </c>
      <c r="D15" s="169" t="s">
        <v>222</v>
      </c>
      <c r="E15" s="169">
        <v>81.7</v>
      </c>
      <c r="F15" s="169">
        <f>IF(LEFT(D15,1)="M",VLOOKUP(IF($E$7="Bwt (kg)",E15,E15/2.2046),Lists!$B$16:$D$24,IF(ISERROR(FIND("J",D15)),3,2)),VLOOKUP(IF($E$7="Bwt (kg)",E15,E15/2.2046),Lists!$B$26:$D$33,IF(ISERROR(FIND("J",D15)),3,2)))</f>
        <v>83</v>
      </c>
      <c r="G15" s="169">
        <v>21</v>
      </c>
      <c r="H15" s="170">
        <f>IF(AND(VALUE(E15)&gt;0,OR(LEFT(D15,1)="M",LEFT(D15,1)="F")),IF(LEFT(D15,1)="M",Wilks_Men(IF(RIGHT($F$7,4)="(lb)",E15/2.2046,E15)),Wilks_Women(IF(RIGHT($F$7,4)="(lb)",E15/2.2046,E15))),0)</f>
        <v>0.67390000820159912</v>
      </c>
      <c r="I15" s="241">
        <v>36305</v>
      </c>
      <c r="J15" s="128">
        <f ca="1">IF(I15,VLOOKUP(INT((NOW()-I15)/365.25),DATA!$A$2:$B$53,2,TRUE),0)</f>
        <v>1.06</v>
      </c>
      <c r="K15" s="169">
        <v>12</v>
      </c>
      <c r="L15" s="243">
        <v>110</v>
      </c>
      <c r="M15" s="243">
        <v>115</v>
      </c>
      <c r="N15" s="243">
        <v>125</v>
      </c>
      <c r="O15" s="173">
        <f t="shared" si="22"/>
        <v>125</v>
      </c>
      <c r="P15" s="174" t="s">
        <v>292</v>
      </c>
      <c r="Q15" s="243">
        <v>100</v>
      </c>
      <c r="R15" s="243">
        <v>105</v>
      </c>
      <c r="S15" s="243">
        <v>110</v>
      </c>
      <c r="T15" s="173">
        <f t="shared" si="23"/>
        <v>110</v>
      </c>
      <c r="U15" s="173">
        <f t="shared" si="24"/>
        <v>235</v>
      </c>
      <c r="V15" s="243">
        <v>150</v>
      </c>
      <c r="W15" s="248">
        <v>180</v>
      </c>
      <c r="X15" s="243">
        <v>200</v>
      </c>
      <c r="Y15" s="176">
        <f t="shared" si="25"/>
        <v>200</v>
      </c>
      <c r="Z15" s="173">
        <f t="shared" ca="1" si="26"/>
        <v>435</v>
      </c>
      <c r="AA15" s="282">
        <f t="shared" ca="1" si="27"/>
        <v>293.14650356769562</v>
      </c>
      <c r="AB15" s="177">
        <f t="shared" ca="1" si="28"/>
        <v>310.73529378175738</v>
      </c>
      <c r="AC15" s="167">
        <f ca="1">OFFSET(Setup!$F$1,MATCH(D15,INDIRECT("Setup!B1:B100"),0)-1,0)</f>
        <v>2</v>
      </c>
      <c r="AD15" s="178" t="str">
        <f t="shared" ca="1" si="29"/>
        <v>15-M-BL-PL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1200000293.1465034</v>
      </c>
      <c r="AI15" s="128">
        <f t="shared" ca="1" si="30"/>
        <v>25</v>
      </c>
      <c r="AJ15" s="128">
        <f t="shared" ca="1" si="31"/>
        <v>1200</v>
      </c>
      <c r="AK15" s="128">
        <f t="shared" ca="1" si="32"/>
        <v>11</v>
      </c>
      <c r="AL15" s="128">
        <f t="shared" ca="1" si="33"/>
        <v>15</v>
      </c>
      <c r="AN15" s="180">
        <f t="shared" ca="1" si="34"/>
        <v>12</v>
      </c>
      <c r="AO15" s="180">
        <f t="shared" si="35"/>
        <v>81.7</v>
      </c>
      <c r="AP15" s="180">
        <f t="shared" ca="1" si="36"/>
        <v>15</v>
      </c>
      <c r="AQ15" s="180">
        <f t="shared" ca="1" si="37"/>
        <v>21</v>
      </c>
      <c r="AU15" s="180">
        <f t="shared" ca="1" si="38"/>
        <v>1</v>
      </c>
      <c r="AW15" s="180"/>
      <c r="AX15" s="182"/>
      <c r="AY15" s="182"/>
      <c r="AZ15" s="182"/>
      <c r="BA15" s="128">
        <f t="shared" si="39"/>
        <v>0</v>
      </c>
      <c r="BB15" s="118">
        <f t="shared" ca="1" si="40"/>
        <v>110.0021</v>
      </c>
      <c r="BL15" s="118">
        <v>1</v>
      </c>
      <c r="BM15" s="118">
        <v>1</v>
      </c>
      <c r="BN15" s="118">
        <v>1</v>
      </c>
      <c r="BO15" s="183">
        <v>43155.486238425925</v>
      </c>
      <c r="BQ15" s="118">
        <v>1</v>
      </c>
      <c r="BR15" s="118">
        <v>1</v>
      </c>
      <c r="BS15" s="118">
        <v>1</v>
      </c>
      <c r="BT15" s="183">
        <v>43155.550497685188</v>
      </c>
      <c r="BV15" s="118">
        <v>1</v>
      </c>
      <c r="BW15" s="118">
        <v>1</v>
      </c>
      <c r="BX15" s="118">
        <v>1</v>
      </c>
      <c r="BY15" s="183">
        <v>43155.613356481481</v>
      </c>
      <c r="BZ15" s="183">
        <f t="shared" ca="1" si="41"/>
        <v>43155.613356481481</v>
      </c>
      <c r="CA15" s="244">
        <v>0.61405092592592592</v>
      </c>
    </row>
    <row r="16" spans="1:125" ht="19.5" customHeight="1" x14ac:dyDescent="0.2">
      <c r="A16" s="167" t="s">
        <v>24</v>
      </c>
      <c r="B16" s="168" t="s">
        <v>287</v>
      </c>
      <c r="C16" s="168" t="s">
        <v>213</v>
      </c>
      <c r="D16" s="169" t="s">
        <v>223</v>
      </c>
      <c r="E16" s="169">
        <v>89.15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22</v>
      </c>
      <c r="H16" s="170">
        <f>IF(AND(VALUE(E16)&gt;0,OR(LEFT(D16,1)="M",LEFT(D16,1)="F")),IF(LEFT(D16,1)="M",Wilks_Men(IF(RIGHT($F$7,4)="(lb)",E16/2.2046,E16)),Wilks_Women(IF(RIGHT($F$7,4)="(lb)",E16/2.2046,E16))),0)</f>
        <v>0.86750000715255737</v>
      </c>
      <c r="I16" s="241">
        <v>32589</v>
      </c>
      <c r="J16" s="128">
        <f ca="1">IF(I16,VLOOKUP(INT((NOW()-I16)/365.25),DATA!$A$2:$B$53,2,TRUE),0)</f>
        <v>1</v>
      </c>
      <c r="K16" s="169">
        <v>13</v>
      </c>
      <c r="L16" s="243">
        <v>110</v>
      </c>
      <c r="M16" s="243">
        <v>120</v>
      </c>
      <c r="N16" s="246">
        <v>-127.5</v>
      </c>
      <c r="O16" s="173">
        <f t="shared" si="22"/>
        <v>120</v>
      </c>
      <c r="P16" s="174" t="s">
        <v>251</v>
      </c>
      <c r="Q16" s="243">
        <v>70</v>
      </c>
      <c r="R16" s="243">
        <v>80</v>
      </c>
      <c r="S16" s="246">
        <v>-85</v>
      </c>
      <c r="T16" s="173">
        <f t="shared" si="23"/>
        <v>80</v>
      </c>
      <c r="U16" s="173">
        <f t="shared" si="24"/>
        <v>200</v>
      </c>
      <c r="V16" s="243">
        <v>120</v>
      </c>
      <c r="W16" s="248">
        <v>140</v>
      </c>
      <c r="X16" s="246">
        <v>-150</v>
      </c>
      <c r="Y16" s="176">
        <f t="shared" si="25"/>
        <v>140</v>
      </c>
      <c r="Z16" s="173">
        <f t="shared" ca="1" si="26"/>
        <v>340</v>
      </c>
      <c r="AA16" s="282">
        <f t="shared" ca="1" si="27"/>
        <v>294.95000243186951</v>
      </c>
      <c r="AB16" s="177">
        <f t="shared" ca="1" si="28"/>
        <v>294.95000243186951</v>
      </c>
      <c r="AC16" s="167">
        <f ca="1">OFFSET(Setup!$F$1,MATCH(D16,INDIRECT("Setup!B1:B100"),0)-1,0)</f>
        <v>2</v>
      </c>
      <c r="AD16" s="178" t="str">
        <f t="shared" ca="1" si="29"/>
        <v>8-F-BL-PL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1300000294.9500024</v>
      </c>
      <c r="AI16" s="128">
        <f t="shared" ca="1" si="30"/>
        <v>8</v>
      </c>
      <c r="AJ16" s="128">
        <f t="shared" ca="1" si="31"/>
        <v>1300</v>
      </c>
      <c r="AK16" s="128">
        <f t="shared" ca="1" si="32"/>
        <v>1</v>
      </c>
      <c r="AL16" s="128">
        <f t="shared" ca="1" si="33"/>
        <v>8</v>
      </c>
      <c r="AN16" s="180">
        <f t="shared" ca="1" si="34"/>
        <v>7</v>
      </c>
      <c r="AO16" s="180">
        <f t="shared" si="35"/>
        <v>89.15</v>
      </c>
      <c r="AP16" s="180">
        <f t="shared" ca="1" si="36"/>
        <v>10</v>
      </c>
      <c r="AQ16" s="180">
        <f t="shared" ca="1" si="37"/>
        <v>11</v>
      </c>
      <c r="AU16" s="180">
        <f t="shared" ca="1" si="38"/>
        <v>1</v>
      </c>
      <c r="AW16" s="180"/>
      <c r="AX16" s="182"/>
      <c r="AY16" s="182"/>
      <c r="AZ16" s="182"/>
      <c r="BA16" s="128">
        <f t="shared" si="39"/>
        <v>0</v>
      </c>
      <c r="BB16" s="118">
        <f t="shared" ca="1" si="40"/>
        <v>110.0022</v>
      </c>
      <c r="BL16" s="118">
        <v>1</v>
      </c>
      <c r="BM16" s="118">
        <v>1</v>
      </c>
      <c r="BN16" s="118">
        <v>-1</v>
      </c>
      <c r="BO16" s="183">
        <v>43155.478460648148</v>
      </c>
      <c r="BQ16" s="118">
        <v>1</v>
      </c>
      <c r="BR16" s="118">
        <v>1</v>
      </c>
      <c r="BS16" s="118">
        <v>-1</v>
      </c>
      <c r="BT16" s="183">
        <v>43155.541238425925</v>
      </c>
      <c r="BV16" s="118">
        <v>1</v>
      </c>
      <c r="BW16" s="118">
        <v>1</v>
      </c>
      <c r="BX16" s="118">
        <v>-1</v>
      </c>
      <c r="BY16" s="183">
        <v>43155.602731481478</v>
      </c>
      <c r="BZ16" s="183">
        <f t="shared" ca="1" si="41"/>
        <v>43155.602731481478</v>
      </c>
      <c r="CA16" s="244">
        <v>0.61123842592592592</v>
      </c>
    </row>
    <row r="17" spans="1:79" ht="19.5" customHeight="1" x14ac:dyDescent="0.2">
      <c r="A17" s="167" t="s">
        <v>24</v>
      </c>
      <c r="B17" s="168" t="s">
        <v>253</v>
      </c>
      <c r="C17" s="168" t="s">
        <v>183</v>
      </c>
      <c r="D17" s="169" t="s">
        <v>223</v>
      </c>
      <c r="E17" s="169">
        <v>63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25</v>
      </c>
      <c r="H17" s="170">
        <f>IF(AND(VALUE(E17)&gt;0,OR(LEFT(D17,1)="M",LEFT(D17,1)="F")),IF(LEFT(D17,1)="M",Wilks_Men(IF(RIGHT($F$7,4)="(lb)",E17/2.2046,E17)),Wilks_Women(IF(RIGHT($F$7,4)="(lb)",E17/2.2046,E17))),0)</f>
        <v>1.0740000009536743</v>
      </c>
      <c r="I17" s="241">
        <v>33564</v>
      </c>
      <c r="J17" s="128">
        <f ca="1">IF(I17,VLOOKUP(INT((NOW()-I17)/365.25),DATA!$A$2:$B$53,2,TRUE),0)</f>
        <v>1</v>
      </c>
      <c r="K17" s="169">
        <v>12</v>
      </c>
      <c r="L17" s="243">
        <v>115</v>
      </c>
      <c r="M17" s="243">
        <v>120</v>
      </c>
      <c r="N17" s="246">
        <v>-122.5</v>
      </c>
      <c r="O17" s="173">
        <f t="shared" si="22"/>
        <v>120</v>
      </c>
      <c r="P17" s="174" t="s">
        <v>256</v>
      </c>
      <c r="Q17" s="243">
        <v>65</v>
      </c>
      <c r="R17" s="243">
        <v>67.5</v>
      </c>
      <c r="S17" s="246">
        <v>-70</v>
      </c>
      <c r="T17" s="173">
        <f t="shared" si="23"/>
        <v>67.5</v>
      </c>
      <c r="U17" s="173">
        <f t="shared" si="24"/>
        <v>187.5</v>
      </c>
      <c r="V17" s="243">
        <v>150</v>
      </c>
      <c r="W17" s="249">
        <v>-162.5</v>
      </c>
      <c r="X17" s="243">
        <v>162.5</v>
      </c>
      <c r="Y17" s="176">
        <f t="shared" si="25"/>
        <v>162.5</v>
      </c>
      <c r="Z17" s="173">
        <f t="shared" ca="1" si="26"/>
        <v>350</v>
      </c>
      <c r="AA17" s="282">
        <f t="shared" ca="1" si="27"/>
        <v>375.90000033378601</v>
      </c>
      <c r="AB17" s="177">
        <f t="shared" ca="1" si="28"/>
        <v>375.90000033378601</v>
      </c>
      <c r="AC17" s="167">
        <f ca="1">OFFSET(Setup!$F$1,MATCH(D17,INDIRECT("Setup!B1:B100"),0)-1,0)</f>
        <v>2</v>
      </c>
      <c r="AD17" s="178" t="str">
        <f t="shared" ca="1" si="29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1300000375.9000003</v>
      </c>
      <c r="AI17" s="128">
        <f t="shared" ca="1" si="30"/>
        <v>3</v>
      </c>
      <c r="AJ17" s="128">
        <f t="shared" ca="1" si="31"/>
        <v>1300</v>
      </c>
      <c r="AK17" s="128">
        <f t="shared" ca="1" si="32"/>
        <v>1</v>
      </c>
      <c r="AL17" s="128">
        <f t="shared" ca="1" si="33"/>
        <v>3</v>
      </c>
      <c r="AN17" s="180">
        <f t="shared" ca="1" si="34"/>
        <v>9</v>
      </c>
      <c r="AO17" s="180">
        <f t="shared" si="35"/>
        <v>63</v>
      </c>
      <c r="AP17" s="180">
        <f t="shared" ca="1" si="36"/>
        <v>30</v>
      </c>
      <c r="AQ17" s="180">
        <f t="shared" ca="1" si="37"/>
        <v>19</v>
      </c>
      <c r="AU17" s="180">
        <f t="shared" ca="1" si="38"/>
        <v>1</v>
      </c>
      <c r="AW17" s="180"/>
      <c r="AX17" s="182"/>
      <c r="AY17" s="182"/>
      <c r="AZ17" s="182"/>
      <c r="BA17" s="128">
        <f t="shared" si="39"/>
        <v>0</v>
      </c>
      <c r="BB17" s="118">
        <f t="shared" ca="1" si="40"/>
        <v>115.0025</v>
      </c>
      <c r="BL17" s="118">
        <v>1</v>
      </c>
      <c r="BM17" s="118">
        <v>1</v>
      </c>
      <c r="BN17" s="118">
        <v>-1</v>
      </c>
      <c r="BO17" s="183">
        <v>43155.479050925926</v>
      </c>
      <c r="BQ17" s="118">
        <v>1</v>
      </c>
      <c r="BR17" s="118">
        <v>1</v>
      </c>
      <c r="BS17" s="118">
        <v>-1</v>
      </c>
      <c r="BT17" s="183">
        <v>43155.537835648145</v>
      </c>
      <c r="BV17" s="118">
        <v>1</v>
      </c>
      <c r="BW17" s="118">
        <v>-1</v>
      </c>
      <c r="BX17" s="118">
        <v>1</v>
      </c>
      <c r="BY17" s="183">
        <v>43155.611956018518</v>
      </c>
      <c r="BZ17" s="183">
        <f t="shared" ca="1" si="41"/>
        <v>43155.611956018518</v>
      </c>
      <c r="CA17" s="244">
        <v>0.61265046296296299</v>
      </c>
    </row>
    <row r="18" spans="1:79" ht="19.5" customHeight="1" x14ac:dyDescent="0.2">
      <c r="A18" s="167" t="s">
        <v>24</v>
      </c>
      <c r="B18" s="168" t="s">
        <v>285</v>
      </c>
      <c r="C18" s="168" t="s">
        <v>183</v>
      </c>
      <c r="D18" s="169" t="s">
        <v>223</v>
      </c>
      <c r="E18" s="169">
        <v>70.55</v>
      </c>
      <c r="F18" s="169">
        <f>IF(LEFT(D18,1)="M",VLOOKUP(IF($E$7="Bwt (kg)",E18,E18/2.2046),Lists!$B$16:$D$24,IF(ISERROR(FIND("J",D18)),3,2)),VLOOKUP(IF($E$7="Bwt (kg)",E18,E18/2.2046),Lists!$B$26:$D$33,IF(ISERROR(FIND("J",D18)),3,2)))</f>
        <v>72</v>
      </c>
      <c r="G18" s="169">
        <v>15</v>
      </c>
      <c r="H18" s="170">
        <f>IF(AND(VALUE(E18)&gt;0,OR(LEFT(D18,1)="M",LEFT(D18,1)="F")),IF(LEFT(D18,1)="M",Wilks_Men(IF(RIGHT($F$7,4)="(lb)",E18/2.2046,E18)),Wilks_Women(IF(RIGHT($F$7,4)="(lb)",E18/2.2046,E18))),0)</f>
        <v>0.98949998617172241</v>
      </c>
      <c r="I18" s="241">
        <v>34479</v>
      </c>
      <c r="J18" s="128">
        <f ca="1">IF(I18,VLOOKUP(INT((NOW()-I18)/365.25),DATA!$A$2:$B$53,2,TRUE),0)</f>
        <v>1</v>
      </c>
      <c r="K18" s="169">
        <v>12</v>
      </c>
      <c r="L18" s="243">
        <v>125</v>
      </c>
      <c r="M18" s="243">
        <v>130</v>
      </c>
      <c r="N18" s="246">
        <v>-135</v>
      </c>
      <c r="O18" s="173">
        <f t="shared" si="22"/>
        <v>130</v>
      </c>
      <c r="P18" s="174" t="s">
        <v>286</v>
      </c>
      <c r="Q18" s="243">
        <v>67.5</v>
      </c>
      <c r="R18" s="243">
        <v>72.5</v>
      </c>
      <c r="S18" s="246">
        <v>-77.5</v>
      </c>
      <c r="T18" s="173">
        <f t="shared" si="23"/>
        <v>72.5</v>
      </c>
      <c r="U18" s="173">
        <f t="shared" si="24"/>
        <v>202.5</v>
      </c>
      <c r="V18" s="243">
        <v>140</v>
      </c>
      <c r="W18" s="248">
        <v>150</v>
      </c>
      <c r="X18" s="246">
        <v>-160</v>
      </c>
      <c r="Y18" s="176">
        <f t="shared" si="25"/>
        <v>150</v>
      </c>
      <c r="Z18" s="173">
        <f t="shared" ca="1" si="26"/>
        <v>352.5</v>
      </c>
      <c r="AA18" s="282">
        <f t="shared" ca="1" si="27"/>
        <v>348.79874512553215</v>
      </c>
      <c r="AB18" s="177">
        <f t="shared" ca="1" si="28"/>
        <v>348.79874512553215</v>
      </c>
      <c r="AC18" s="167">
        <f ca="1">OFFSET(Setup!$F$1,MATCH(D18,INDIRECT("Setup!B1:B100"),0)-1,0)</f>
        <v>2</v>
      </c>
      <c r="AD18" s="178" t="str">
        <f t="shared" ca="1" si="29"/>
        <v>4-F-BL-PL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1300000348.7987452</v>
      </c>
      <c r="AI18" s="128">
        <f t="shared" ca="1" si="30"/>
        <v>4</v>
      </c>
      <c r="AJ18" s="128">
        <f t="shared" ca="1" si="31"/>
        <v>1300</v>
      </c>
      <c r="AK18" s="128">
        <f t="shared" ca="1" si="32"/>
        <v>1</v>
      </c>
      <c r="AL18" s="128">
        <f t="shared" ca="1" si="33"/>
        <v>4</v>
      </c>
      <c r="AN18" s="180">
        <f t="shared" ca="1" si="34"/>
        <v>10</v>
      </c>
      <c r="AO18" s="180">
        <f t="shared" si="35"/>
        <v>70.55</v>
      </c>
      <c r="AP18" s="180">
        <f t="shared" ca="1" si="36"/>
        <v>28</v>
      </c>
      <c r="AQ18" s="180">
        <f t="shared" ca="1" si="37"/>
        <v>12</v>
      </c>
      <c r="AU18" s="180">
        <f t="shared" ca="1" si="38"/>
        <v>1</v>
      </c>
      <c r="AW18" s="180"/>
      <c r="AX18" s="182"/>
      <c r="AY18" s="182"/>
      <c r="AZ18" s="182"/>
      <c r="BA18" s="128">
        <f t="shared" si="39"/>
        <v>0</v>
      </c>
      <c r="BB18" s="118">
        <f t="shared" ca="1" si="40"/>
        <v>125.00149999999999</v>
      </c>
      <c r="BL18" s="118">
        <v>1</v>
      </c>
      <c r="BM18" s="118">
        <v>1</v>
      </c>
      <c r="BN18" s="118">
        <v>-1</v>
      </c>
      <c r="BO18" s="183">
        <v>43155.479791666665</v>
      </c>
      <c r="BQ18" s="118">
        <v>1</v>
      </c>
      <c r="BR18" s="118">
        <v>1</v>
      </c>
      <c r="BS18" s="118">
        <v>-1</v>
      </c>
      <c r="BT18" s="183">
        <v>43155.540023148147</v>
      </c>
      <c r="BV18" s="118">
        <v>1</v>
      </c>
      <c r="BW18" s="118">
        <v>1</v>
      </c>
      <c r="BX18" s="118">
        <v>-1</v>
      </c>
      <c r="BY18" s="183">
        <v>43155.603298611109</v>
      </c>
      <c r="BZ18" s="183">
        <f t="shared" ca="1" si="41"/>
        <v>43155.603298611109</v>
      </c>
      <c r="CA18" s="244">
        <v>0.61196759259259259</v>
      </c>
    </row>
    <row r="19" spans="1:79" ht="19.5" customHeight="1" x14ac:dyDescent="0.2">
      <c r="A19" s="167" t="s">
        <v>24</v>
      </c>
      <c r="B19" s="168" t="s">
        <v>280</v>
      </c>
      <c r="C19" s="168" t="s">
        <v>183</v>
      </c>
      <c r="D19" s="169" t="s">
        <v>223</v>
      </c>
      <c r="E19" s="169">
        <v>72.3</v>
      </c>
      <c r="F19" s="169">
        <f>IF(LEFT(D19,1)="M",VLOOKUP(IF($E$7="Bwt (kg)",E19,E19/2.2046),Lists!$B$16:$D$24,IF(ISERROR(FIND("J",D19)),3,2)),VLOOKUP(IF($E$7="Bwt (kg)",E19,E19/2.2046),Lists!$B$26:$D$33,IF(ISERROR(FIND("J",D19)),3,2)))</f>
        <v>84</v>
      </c>
      <c r="G19" s="169">
        <v>6</v>
      </c>
      <c r="H19" s="170">
        <f>IF(AND(VALUE(E19)&gt;0,OR(LEFT(D19,1)="M",LEFT(D19,1)="F")),IF(LEFT(D19,1)="M",Wilks_Men(IF(RIGHT($F$7,4)="(lb)",E19/2.2046,E19)),Wilks_Women(IF(RIGHT($F$7,4)="(lb)",E19/2.2046,E19))),0)</f>
        <v>0.97339999675750732</v>
      </c>
      <c r="I19" s="241">
        <v>36581</v>
      </c>
      <c r="J19" s="128">
        <f ca="1">IF(I19,VLOOKUP(INT((NOW()-I19)/365.25),DATA!$A$2:$B$53,2,TRUE),0)</f>
        <v>1.06</v>
      </c>
      <c r="K19" s="169">
        <v>12</v>
      </c>
      <c r="L19" s="243">
        <v>130</v>
      </c>
      <c r="M19" s="243">
        <v>145</v>
      </c>
      <c r="N19" s="246">
        <v>-155</v>
      </c>
      <c r="O19" s="173">
        <f t="shared" si="22"/>
        <v>145</v>
      </c>
      <c r="P19" s="174" t="s">
        <v>269</v>
      </c>
      <c r="Q19" s="243">
        <v>60</v>
      </c>
      <c r="R19" s="246">
        <v>-65</v>
      </c>
      <c r="S19" s="246">
        <v>-70</v>
      </c>
      <c r="T19" s="173">
        <f t="shared" si="23"/>
        <v>60</v>
      </c>
      <c r="U19" s="173">
        <f t="shared" si="24"/>
        <v>205</v>
      </c>
      <c r="V19" s="243">
        <v>120</v>
      </c>
      <c r="W19" s="248">
        <v>130</v>
      </c>
      <c r="X19" s="243">
        <v>135</v>
      </c>
      <c r="Y19" s="176">
        <f t="shared" si="25"/>
        <v>135</v>
      </c>
      <c r="Z19" s="173">
        <f t="shared" ca="1" si="26"/>
        <v>340</v>
      </c>
      <c r="AA19" s="282">
        <f t="shared" ca="1" si="27"/>
        <v>330.95599889755249</v>
      </c>
      <c r="AB19" s="177">
        <f t="shared" ca="1" si="28"/>
        <v>350.81335883140565</v>
      </c>
      <c r="AC19" s="167">
        <f ca="1">OFFSET(Setup!$F$1,MATCH(D19,INDIRECT("Setup!B1:B100"),0)-1,0)</f>
        <v>2</v>
      </c>
      <c r="AD19" s="178" t="str">
        <f t="shared" ca="1" si="29"/>
        <v>6-F-BL-PL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1300000330.9559989</v>
      </c>
      <c r="AI19" s="128">
        <f t="shared" ca="1" si="30"/>
        <v>6</v>
      </c>
      <c r="AJ19" s="128">
        <f t="shared" ca="1" si="31"/>
        <v>1300</v>
      </c>
      <c r="AK19" s="128">
        <f t="shared" ca="1" si="32"/>
        <v>1</v>
      </c>
      <c r="AL19" s="128">
        <f t="shared" ca="1" si="33"/>
        <v>6</v>
      </c>
      <c r="AN19" s="180">
        <f t="shared" ca="1" si="34"/>
        <v>7</v>
      </c>
      <c r="AO19" s="180">
        <f t="shared" si="35"/>
        <v>72.3</v>
      </c>
      <c r="AP19" s="180">
        <f t="shared" ca="1" si="36"/>
        <v>27</v>
      </c>
      <c r="AQ19" s="180">
        <f t="shared" ca="1" si="37"/>
        <v>16</v>
      </c>
      <c r="AU19" s="180">
        <f t="shared" ca="1" si="38"/>
        <v>1</v>
      </c>
      <c r="AW19" s="180"/>
      <c r="AX19" s="182"/>
      <c r="AY19" s="182"/>
      <c r="AZ19" s="182"/>
      <c r="BA19" s="128">
        <f t="shared" si="39"/>
        <v>0</v>
      </c>
      <c r="BB19" s="118">
        <f t="shared" ca="1" si="40"/>
        <v>130.00059999999999</v>
      </c>
      <c r="BL19" s="118">
        <v>1</v>
      </c>
      <c r="BM19" s="118">
        <v>1</v>
      </c>
      <c r="BN19" s="118">
        <v>-1</v>
      </c>
      <c r="BO19" s="183">
        <v>43155.480486111112</v>
      </c>
      <c r="BQ19" s="118">
        <v>1</v>
      </c>
      <c r="BR19" s="118">
        <v>-1</v>
      </c>
      <c r="BS19" s="118">
        <v>-1</v>
      </c>
      <c r="BT19" s="183">
        <v>43155.526967592596</v>
      </c>
      <c r="BV19" s="118">
        <v>1</v>
      </c>
      <c r="BW19" s="118">
        <v>1</v>
      </c>
      <c r="BX19" s="118">
        <v>1</v>
      </c>
      <c r="BY19" s="183">
        <v>43155.608749999999</v>
      </c>
      <c r="BZ19" s="183">
        <f t="shared" ca="1" si="41"/>
        <v>43155.608749999999</v>
      </c>
      <c r="CA19" s="244">
        <v>0.60944444444444446</v>
      </c>
    </row>
    <row r="20" spans="1:79" ht="19.5" customHeight="1" x14ac:dyDescent="0.2">
      <c r="A20" s="167" t="s">
        <v>24</v>
      </c>
      <c r="B20" s="168" t="s">
        <v>288</v>
      </c>
      <c r="C20" s="168" t="s">
        <v>259</v>
      </c>
      <c r="D20" s="169" t="s">
        <v>223</v>
      </c>
      <c r="E20" s="169">
        <v>75.599999999999994</v>
      </c>
      <c r="F20" s="169">
        <f>IF(LEFT(D20,1)="M",VLOOKUP(IF($E$7="Bwt (kg)",E20,E20/2.2046),Lists!$B$16:$D$24,IF(ISERROR(FIND("J",D20)),3,2)),VLOOKUP(IF($E$7="Bwt (kg)",E20,E20/2.2046),Lists!$B$26:$D$33,IF(ISERROR(FIND("J",D20)),3,2)))</f>
        <v>84</v>
      </c>
      <c r="G20" s="169">
        <v>30</v>
      </c>
      <c r="H20" s="170">
        <f>IF(AND(VALUE(E20)&gt;0,OR(LEFT(D20,1)="M",LEFT(D20,1)="F")),IF(LEFT(D20,1)="M",Wilks_Men(IF(RIGHT($F$7,4)="(lb)",E20/2.2046,E20)),Wilks_Women(IF(RIGHT($F$7,4)="(lb)",E20/2.2046,E20))),0)</f>
        <v>0.94590002298355103</v>
      </c>
      <c r="I20" s="241">
        <v>33938</v>
      </c>
      <c r="J20" s="128">
        <f ca="1">IF(I20,VLOOKUP(INT((NOW()-I20)/365.25),DATA!$A$2:$B$53,2,TRUE),0)</f>
        <v>1</v>
      </c>
      <c r="K20" s="169">
        <v>11</v>
      </c>
      <c r="L20" s="243">
        <v>160</v>
      </c>
      <c r="M20" s="243">
        <v>170</v>
      </c>
      <c r="N20" s="172"/>
      <c r="O20" s="173">
        <f t="shared" si="22"/>
        <v>170</v>
      </c>
      <c r="P20" s="174" t="s">
        <v>252</v>
      </c>
      <c r="Q20" s="243">
        <v>60</v>
      </c>
      <c r="R20" s="243">
        <v>62.5</v>
      </c>
      <c r="S20" s="243">
        <v>65</v>
      </c>
      <c r="T20" s="173">
        <f t="shared" si="23"/>
        <v>65</v>
      </c>
      <c r="U20" s="173">
        <f t="shared" si="24"/>
        <v>235</v>
      </c>
      <c r="V20" s="243">
        <v>160</v>
      </c>
      <c r="W20" s="248">
        <v>167.5</v>
      </c>
      <c r="X20" s="243">
        <v>175</v>
      </c>
      <c r="Y20" s="176">
        <f t="shared" si="25"/>
        <v>175</v>
      </c>
      <c r="Z20" s="173">
        <f t="shared" ca="1" si="26"/>
        <v>410</v>
      </c>
      <c r="AA20" s="282">
        <f t="shared" ca="1" si="27"/>
        <v>387.81900942325592</v>
      </c>
      <c r="AB20" s="177">
        <f t="shared" ca="1" si="28"/>
        <v>387.81900942325592</v>
      </c>
      <c r="AC20" s="167">
        <f ca="1">OFFSET(Setup!$F$1,MATCH(D20,INDIRECT("Setup!B1:B100"),0)-1,0)</f>
        <v>2</v>
      </c>
      <c r="AD20" s="178" t="str">
        <f t="shared" ca="1" si="29"/>
        <v>1-F-BL-PL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1300000387.8190093</v>
      </c>
      <c r="AI20" s="128">
        <f t="shared" ca="1" si="30"/>
        <v>1</v>
      </c>
      <c r="AJ20" s="128">
        <f t="shared" ca="1" si="31"/>
        <v>1300</v>
      </c>
      <c r="AK20" s="128">
        <f t="shared" ca="1" si="32"/>
        <v>1</v>
      </c>
      <c r="AL20" s="128">
        <f t="shared" ca="1" si="33"/>
        <v>1</v>
      </c>
      <c r="AN20" s="180">
        <f t="shared" ca="1" si="34"/>
        <v>11</v>
      </c>
      <c r="AO20" s="180">
        <f t="shared" si="35"/>
        <v>75.599999999999994</v>
      </c>
      <c r="AP20" s="180">
        <f t="shared" ca="1" si="36"/>
        <v>21</v>
      </c>
      <c r="AQ20" s="180">
        <f t="shared" ca="1" si="37"/>
        <v>20</v>
      </c>
      <c r="AU20" s="180">
        <f t="shared" ca="1" si="38"/>
        <v>1</v>
      </c>
      <c r="AW20" s="180"/>
      <c r="AX20" s="182"/>
      <c r="AY20" s="182"/>
      <c r="AZ20" s="182"/>
      <c r="BA20" s="128">
        <f t="shared" si="39"/>
        <v>0</v>
      </c>
      <c r="BB20" s="118">
        <f t="shared" ca="1" si="40"/>
        <v>160.00299999999999</v>
      </c>
      <c r="BL20" s="118">
        <v>1</v>
      </c>
      <c r="BM20" s="118">
        <v>1</v>
      </c>
      <c r="BN20" s="118">
        <v>0</v>
      </c>
      <c r="BO20" s="183">
        <v>43155.48128472222</v>
      </c>
      <c r="BQ20" s="118">
        <v>1</v>
      </c>
      <c r="BR20" s="118">
        <v>1</v>
      </c>
      <c r="BS20" s="118">
        <v>1</v>
      </c>
      <c r="BT20" s="183">
        <v>43155.544374999998</v>
      </c>
      <c r="BV20" s="118">
        <v>1</v>
      </c>
      <c r="BW20" s="118">
        <v>1</v>
      </c>
      <c r="BX20" s="118">
        <v>1</v>
      </c>
      <c r="BY20" s="183">
        <v>43155.612754629627</v>
      </c>
      <c r="BZ20" s="183">
        <f t="shared" ca="1" si="41"/>
        <v>43155.612754629627</v>
      </c>
      <c r="CA20" s="244">
        <v>0.61344907407407401</v>
      </c>
    </row>
    <row r="21" spans="1:79" ht="19.5" customHeight="1" x14ac:dyDescent="0.2">
      <c r="A21" s="167" t="s">
        <v>25</v>
      </c>
      <c r="B21" s="168" t="s">
        <v>310</v>
      </c>
      <c r="C21" s="168" t="s">
        <v>259</v>
      </c>
      <c r="D21" s="169" t="s">
        <v>222</v>
      </c>
      <c r="E21" s="169">
        <v>96.05</v>
      </c>
      <c r="F21" s="169">
        <f>IF(LEFT(D21,1)="M",VLOOKUP(IF($E$7="Bwt (kg)",E21,E21/2.2046),Lists!$B$16:$D$24,IF(ISERROR(FIND("J",D21)),3,2)),VLOOKUP(IF($E$7="Bwt (kg)",E21,E21/2.2046),Lists!$B$26:$D$33,IF(ISERROR(FIND("J",D21)),3,2)))</f>
        <v>105</v>
      </c>
      <c r="G21" s="169">
        <v>31</v>
      </c>
      <c r="H21" s="170">
        <f>IF(AND(VALUE(E21)&gt;0,OR(LEFT(D21,1)="M",LEFT(D21,1)="F")),IF(LEFT(D21,1)="M",Wilks_Men(IF(RIGHT($F$7,4)="(lb)",E21/2.2046,E21)),Wilks_Women(IF(RIGHT($F$7,4)="(lb)",E21/2.2046,E21))),0)</f>
        <v>0.61900001764297485</v>
      </c>
      <c r="I21" s="241">
        <v>34821</v>
      </c>
      <c r="J21" s="128">
        <f ca="1">IF(I21,VLOOKUP(INT((NOW()-I21)/365.25),DATA!$A$2:$B$53,2,TRUE),0)</f>
        <v>1.01</v>
      </c>
      <c r="K21" s="169">
        <v>15</v>
      </c>
      <c r="L21" s="243">
        <v>145</v>
      </c>
      <c r="M21" s="243">
        <v>155</v>
      </c>
      <c r="N21" s="243">
        <v>170</v>
      </c>
      <c r="O21" s="173">
        <f t="shared" si="22"/>
        <v>170</v>
      </c>
      <c r="P21" s="174" t="s">
        <v>292</v>
      </c>
      <c r="Q21" s="243">
        <v>120</v>
      </c>
      <c r="R21" s="243">
        <v>130</v>
      </c>
      <c r="S21" s="243">
        <v>140</v>
      </c>
      <c r="T21" s="173">
        <f t="shared" si="23"/>
        <v>140</v>
      </c>
      <c r="U21" s="173">
        <f t="shared" si="24"/>
        <v>310</v>
      </c>
      <c r="V21" s="243">
        <v>190</v>
      </c>
      <c r="W21" s="248">
        <v>210</v>
      </c>
      <c r="X21" s="243">
        <v>230</v>
      </c>
      <c r="Y21" s="176">
        <f t="shared" si="25"/>
        <v>230</v>
      </c>
      <c r="Z21" s="173">
        <f t="shared" ca="1" si="26"/>
        <v>540</v>
      </c>
      <c r="AA21" s="282">
        <f t="shared" ca="1" si="27"/>
        <v>334.26000952720642</v>
      </c>
      <c r="AB21" s="177">
        <f t="shared" ca="1" si="28"/>
        <v>337.6026096224785</v>
      </c>
      <c r="AC21" s="167">
        <f ca="1">OFFSET(Setup!$F$1,MATCH(D21,INDIRECT("Setup!B1:B100"),0)-1,0)</f>
        <v>2</v>
      </c>
      <c r="AD21" s="178" t="str">
        <f t="shared" ca="1" si="29"/>
        <v>14-M-BL-PL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1200000334.2600095</v>
      </c>
      <c r="AI21" s="128">
        <f t="shared" ca="1" si="30"/>
        <v>24</v>
      </c>
      <c r="AJ21" s="128">
        <f t="shared" ca="1" si="31"/>
        <v>1200</v>
      </c>
      <c r="AK21" s="128">
        <f t="shared" ca="1" si="32"/>
        <v>11</v>
      </c>
      <c r="AL21" s="128">
        <f t="shared" ca="1" si="33"/>
        <v>14</v>
      </c>
      <c r="AN21" s="180">
        <f t="shared" ca="1" si="34"/>
        <v>19</v>
      </c>
      <c r="AO21" s="180">
        <f t="shared" si="35"/>
        <v>96.05</v>
      </c>
      <c r="AP21" s="180">
        <f t="shared" ca="1" si="36"/>
        <v>7</v>
      </c>
      <c r="AQ21" s="180">
        <f t="shared" ca="1" si="37"/>
        <v>32</v>
      </c>
      <c r="AU21" s="180">
        <f t="shared" ca="1" si="38"/>
        <v>1</v>
      </c>
      <c r="AW21" s="180"/>
      <c r="AX21" s="182"/>
      <c r="AY21" s="182"/>
      <c r="AZ21" s="182"/>
      <c r="BA21" s="128">
        <f t="shared" si="39"/>
        <v>1</v>
      </c>
      <c r="BB21" s="118">
        <f t="shared" ca="1" si="40"/>
        <v>145.00309999999999</v>
      </c>
      <c r="BL21" s="118">
        <v>1</v>
      </c>
      <c r="BM21" s="118">
        <v>1</v>
      </c>
      <c r="BN21" s="118">
        <v>1</v>
      </c>
      <c r="BO21" s="183">
        <v>43155.513287037036</v>
      </c>
      <c r="BQ21" s="118">
        <v>1</v>
      </c>
      <c r="BR21" s="118">
        <v>1</v>
      </c>
      <c r="BS21" s="118">
        <v>1</v>
      </c>
      <c r="BT21" s="183">
        <v>43155.580416666664</v>
      </c>
      <c r="BV21" s="118">
        <v>1</v>
      </c>
      <c r="BW21" s="118">
        <v>1</v>
      </c>
      <c r="BX21" s="118">
        <v>1</v>
      </c>
      <c r="BY21" s="183">
        <v>43155.637476851851</v>
      </c>
      <c r="BZ21" s="183">
        <f t="shared" ca="1" si="41"/>
        <v>43155.637476851851</v>
      </c>
      <c r="CA21" s="244">
        <v>0.63817129629629632</v>
      </c>
    </row>
    <row r="22" spans="1:79" ht="19.5" customHeight="1" x14ac:dyDescent="0.2">
      <c r="A22" s="167" t="s">
        <v>25</v>
      </c>
      <c r="B22" s="168" t="s">
        <v>300</v>
      </c>
      <c r="C22" s="168" t="s">
        <v>183</v>
      </c>
      <c r="D22" s="169" t="s">
        <v>222</v>
      </c>
      <c r="E22" s="169">
        <v>75.599999999999994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0.70859998464584351</v>
      </c>
      <c r="I22" s="241">
        <v>31369</v>
      </c>
      <c r="J22" s="128">
        <f ca="1">IF(I22,VLOOKUP(INT((NOW()-I22)/365.25),DATA!$A$2:$B$53,2,TRUE),0)</f>
        <v>1</v>
      </c>
      <c r="K22" s="169">
        <v>13</v>
      </c>
      <c r="L22" s="243">
        <v>147.5</v>
      </c>
      <c r="M22" s="243">
        <v>157.5</v>
      </c>
      <c r="N22" s="243">
        <v>162.5</v>
      </c>
      <c r="O22" s="173">
        <f t="shared" si="22"/>
        <v>162.5</v>
      </c>
      <c r="P22" s="174" t="s">
        <v>270</v>
      </c>
      <c r="Q22" s="243">
        <v>95</v>
      </c>
      <c r="R22" s="243">
        <v>100</v>
      </c>
      <c r="S22" s="243">
        <v>105</v>
      </c>
      <c r="T22" s="173">
        <f t="shared" si="23"/>
        <v>105</v>
      </c>
      <c r="U22" s="173">
        <f t="shared" si="24"/>
        <v>267.5</v>
      </c>
      <c r="V22" s="243">
        <v>195</v>
      </c>
      <c r="W22" s="249">
        <v>-210</v>
      </c>
      <c r="X22" s="243">
        <v>210</v>
      </c>
      <c r="Y22" s="176">
        <f t="shared" si="25"/>
        <v>210</v>
      </c>
      <c r="Z22" s="173">
        <f t="shared" ca="1" si="26"/>
        <v>477.5</v>
      </c>
      <c r="AA22" s="282">
        <f t="shared" ca="1" si="27"/>
        <v>338.35649266839027</v>
      </c>
      <c r="AB22" s="177">
        <f t="shared" ca="1" si="28"/>
        <v>338.35649266839027</v>
      </c>
      <c r="AC22" s="167">
        <f ca="1">OFFSET(Setup!$F$1,MATCH(D22,INDIRECT("Setup!B1:B100"),0)-1,0)</f>
        <v>2</v>
      </c>
      <c r="AD22" s="178" t="str">
        <f t="shared" ca="1" si="29"/>
        <v>13-M-BL-PL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1200000338.3564928</v>
      </c>
      <c r="AI22" s="128">
        <f t="shared" ca="1" si="30"/>
        <v>23</v>
      </c>
      <c r="AJ22" s="128">
        <f t="shared" ca="1" si="31"/>
        <v>1200</v>
      </c>
      <c r="AK22" s="128">
        <f t="shared" ca="1" si="32"/>
        <v>11</v>
      </c>
      <c r="AL22" s="128">
        <f t="shared" ca="1" si="33"/>
        <v>13</v>
      </c>
      <c r="AN22" s="180">
        <f t="shared" ca="1" si="34"/>
        <v>13</v>
      </c>
      <c r="AO22" s="180">
        <f t="shared" si="35"/>
        <v>75.599999999999994</v>
      </c>
      <c r="AP22" s="180">
        <f t="shared" ca="1" si="36"/>
        <v>21</v>
      </c>
      <c r="AQ22" s="180">
        <f t="shared" ca="1" si="37"/>
        <v>30</v>
      </c>
      <c r="AU22" s="180">
        <f t="shared" ca="1" si="38"/>
        <v>1</v>
      </c>
      <c r="AW22" s="180"/>
      <c r="AX22" s="182"/>
      <c r="AY22" s="182"/>
      <c r="AZ22" s="182"/>
      <c r="BA22" s="128">
        <f t="shared" si="39"/>
        <v>1</v>
      </c>
      <c r="BB22" s="118">
        <f t="shared" ca="1" si="40"/>
        <v>147.50069999999999</v>
      </c>
      <c r="BL22" s="118">
        <v>1</v>
      </c>
      <c r="BM22" s="118">
        <v>1</v>
      </c>
      <c r="BN22" s="118">
        <v>1</v>
      </c>
      <c r="BO22" s="183">
        <v>43155.511805555558</v>
      </c>
      <c r="BQ22" s="118">
        <v>1</v>
      </c>
      <c r="BR22" s="118">
        <v>1</v>
      </c>
      <c r="BS22" s="118">
        <v>1</v>
      </c>
      <c r="BT22" s="183">
        <v>43155.574895833335</v>
      </c>
      <c r="BV22" s="118">
        <v>1</v>
      </c>
      <c r="BW22" s="118">
        <v>-1</v>
      </c>
      <c r="BX22" s="118">
        <v>1</v>
      </c>
      <c r="BY22" s="183">
        <v>43155.632650462961</v>
      </c>
      <c r="BZ22" s="183">
        <f t="shared" ca="1" si="41"/>
        <v>43155.632650462961</v>
      </c>
      <c r="CA22" s="244">
        <v>0.63334490740740745</v>
      </c>
    </row>
    <row r="23" spans="1:79" ht="19.5" customHeight="1" x14ac:dyDescent="0.2">
      <c r="A23" s="167" t="s">
        <v>25</v>
      </c>
      <c r="B23" s="168" t="s">
        <v>311</v>
      </c>
      <c r="C23" s="168" t="s">
        <v>183</v>
      </c>
      <c r="D23" s="169" t="s">
        <v>222</v>
      </c>
      <c r="E23" s="169">
        <v>81.7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32</v>
      </c>
      <c r="H23" s="170">
        <f>IF(AND(VALUE(E23)&gt;0,OR(LEFT(D23,1)="M",LEFT(D23,1)="F")),IF(LEFT(D23,1)="M",Wilks_Men(IF(RIGHT($F$7,4)="(lb)",E23/2.2046,E23)),Wilks_Women(IF(RIGHT($F$7,4)="(lb)",E23/2.2046,E23))),0)</f>
        <v>0.67390000820159912</v>
      </c>
      <c r="I23" s="241">
        <v>29977</v>
      </c>
      <c r="J23" s="128">
        <f ca="1">IF(I23,VLOOKUP(INT((NOW()-I23)/365.25),DATA!$A$2:$B$53,2,TRUE),0)</f>
        <v>1</v>
      </c>
      <c r="K23" s="169">
        <v>16</v>
      </c>
      <c r="L23" s="243">
        <v>150</v>
      </c>
      <c r="M23" s="246">
        <v>-160</v>
      </c>
      <c r="N23" s="246">
        <v>-160</v>
      </c>
      <c r="O23" s="173">
        <f t="shared" si="22"/>
        <v>150</v>
      </c>
      <c r="P23" s="247" t="s">
        <v>312</v>
      </c>
      <c r="Q23" s="243">
        <v>100</v>
      </c>
      <c r="R23" s="243">
        <v>110</v>
      </c>
      <c r="S23" s="246">
        <v>-115</v>
      </c>
      <c r="T23" s="173">
        <f t="shared" si="23"/>
        <v>110</v>
      </c>
      <c r="U23" s="173">
        <f t="shared" si="24"/>
        <v>260</v>
      </c>
      <c r="V23" s="243">
        <v>230</v>
      </c>
      <c r="W23" s="248">
        <v>245</v>
      </c>
      <c r="X23" s="243">
        <v>255</v>
      </c>
      <c r="Y23" s="176">
        <f t="shared" si="25"/>
        <v>255</v>
      </c>
      <c r="Z23" s="173">
        <f t="shared" ca="1" si="26"/>
        <v>515</v>
      </c>
      <c r="AA23" s="282">
        <f t="shared" ca="1" si="27"/>
        <v>347.05850422382355</v>
      </c>
      <c r="AB23" s="177">
        <f t="shared" ca="1" si="28"/>
        <v>347.05850422382355</v>
      </c>
      <c r="AC23" s="167">
        <f ca="1">OFFSET(Setup!$F$1,MATCH(D23,INDIRECT("Setup!B1:B100"),0)-1,0)</f>
        <v>2</v>
      </c>
      <c r="AD23" s="178" t="str">
        <f t="shared" ca="1" si="29"/>
        <v>10-M-BL-PL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1200000347.0585041</v>
      </c>
      <c r="AI23" s="128">
        <f t="shared" ca="1" si="30"/>
        <v>20</v>
      </c>
      <c r="AJ23" s="128">
        <f t="shared" ca="1" si="31"/>
        <v>1200</v>
      </c>
      <c r="AK23" s="128">
        <f t="shared" ca="1" si="32"/>
        <v>11</v>
      </c>
      <c r="AL23" s="128">
        <f t="shared" ca="1" si="33"/>
        <v>10</v>
      </c>
      <c r="AN23" s="180">
        <f t="shared" ca="1" si="34"/>
        <v>16</v>
      </c>
      <c r="AO23" s="180">
        <f t="shared" si="35"/>
        <v>81.7</v>
      </c>
      <c r="AP23" s="180">
        <f t="shared" ca="1" si="36"/>
        <v>15</v>
      </c>
      <c r="AQ23" s="180">
        <f t="shared" ca="1" si="37"/>
        <v>33</v>
      </c>
      <c r="AU23" s="180">
        <f t="shared" ca="1" si="38"/>
        <v>1</v>
      </c>
      <c r="AW23" s="180"/>
      <c r="AX23" s="182"/>
      <c r="AY23" s="182"/>
      <c r="AZ23" s="182"/>
      <c r="BA23" s="128">
        <f t="shared" si="39"/>
        <v>1</v>
      </c>
      <c r="BB23" s="118">
        <f t="shared" ca="1" si="40"/>
        <v>150.00319999999999</v>
      </c>
      <c r="BL23" s="118">
        <v>1</v>
      </c>
      <c r="BM23" s="118">
        <v>-1</v>
      </c>
      <c r="BN23" s="118">
        <v>-1</v>
      </c>
      <c r="BO23" s="183">
        <v>43155.491574074076</v>
      </c>
      <c r="BQ23" s="118">
        <v>1</v>
      </c>
      <c r="BR23" s="118">
        <v>1</v>
      </c>
      <c r="BS23" s="118">
        <v>-1</v>
      </c>
      <c r="BT23" s="183">
        <v>43155.564432870371</v>
      </c>
      <c r="BV23" s="118">
        <v>1</v>
      </c>
      <c r="BW23" s="118">
        <v>1</v>
      </c>
      <c r="BX23" s="118">
        <v>1</v>
      </c>
      <c r="BY23" s="183">
        <v>43155.638206018521</v>
      </c>
      <c r="BZ23" s="183">
        <f t="shared" ca="1" si="41"/>
        <v>43155.638206018521</v>
      </c>
      <c r="CA23" s="244">
        <v>0.63890046296296299</v>
      </c>
    </row>
    <row r="24" spans="1:79" ht="19.5" customHeight="1" x14ac:dyDescent="0.2">
      <c r="A24" s="167" t="s">
        <v>25</v>
      </c>
      <c r="B24" s="168" t="s">
        <v>294</v>
      </c>
      <c r="C24" s="168" t="s">
        <v>183</v>
      </c>
      <c r="D24" s="169" t="s">
        <v>222</v>
      </c>
      <c r="E24" s="169">
        <v>73.95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2</v>
      </c>
      <c r="H24" s="170">
        <f>IF(AND(VALUE(E24)&gt;0,OR(LEFT(D24,1)="M",LEFT(D24,1)="F")),IF(LEFT(D24,1)="M",Wilks_Men(IF(RIGHT($F$7,4)="(lb)",E24/2.2046,E24)),Wilks_Women(IF(RIGHT($F$7,4)="(lb)",E24/2.2046,E24))),0)</f>
        <v>0.71969997882843018</v>
      </c>
      <c r="I24" s="241">
        <v>26930</v>
      </c>
      <c r="J24" s="128">
        <f ca="1">IF(I24,VLOOKUP(INT((NOW()-I24)/365.25),DATA!$A$2:$B$53,2,TRUE),0)</f>
        <v>1.0429999999999999</v>
      </c>
      <c r="K24" s="169">
        <v>12</v>
      </c>
      <c r="L24" s="246">
        <v>-160</v>
      </c>
      <c r="M24" s="243">
        <v>160</v>
      </c>
      <c r="N24" s="246">
        <v>-165</v>
      </c>
      <c r="O24" s="173">
        <f t="shared" si="22"/>
        <v>160</v>
      </c>
      <c r="P24" s="174" t="s">
        <v>295</v>
      </c>
      <c r="Q24" s="243">
        <v>105</v>
      </c>
      <c r="R24" s="246">
        <v>-112.5</v>
      </c>
      <c r="S24" s="246">
        <v>-112.5</v>
      </c>
      <c r="T24" s="173">
        <f t="shared" si="23"/>
        <v>105</v>
      </c>
      <c r="U24" s="173">
        <f t="shared" si="24"/>
        <v>265</v>
      </c>
      <c r="V24" s="243">
        <v>200</v>
      </c>
      <c r="W24" s="248">
        <v>220</v>
      </c>
      <c r="X24" s="246">
        <v>-227.5</v>
      </c>
      <c r="Y24" s="176">
        <f t="shared" si="25"/>
        <v>220</v>
      </c>
      <c r="Z24" s="173">
        <f t="shared" ca="1" si="26"/>
        <v>485</v>
      </c>
      <c r="AA24" s="282">
        <f t="shared" ca="1" si="27"/>
        <v>349.05448973178864</v>
      </c>
      <c r="AB24" s="177">
        <f t="shared" ca="1" si="28"/>
        <v>364.0638327902555</v>
      </c>
      <c r="AC24" s="167">
        <f ca="1">OFFSET(Setup!$F$1,MATCH(D24,INDIRECT("Setup!B1:B100"),0)-1,0)</f>
        <v>2</v>
      </c>
      <c r="AD24" s="178" t="str">
        <f t="shared" ca="1" si="29"/>
        <v>9-M-BL-PL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1200000349.0544896</v>
      </c>
      <c r="AI24" s="128">
        <f t="shared" ca="1" si="30"/>
        <v>19</v>
      </c>
      <c r="AJ24" s="128">
        <f t="shared" ca="1" si="31"/>
        <v>1200</v>
      </c>
      <c r="AK24" s="128">
        <f t="shared" ca="1" si="32"/>
        <v>11</v>
      </c>
      <c r="AL24" s="128">
        <f t="shared" ca="1" si="33"/>
        <v>9</v>
      </c>
      <c r="AN24" s="180">
        <f t="shared" ca="1" si="34"/>
        <v>14</v>
      </c>
      <c r="AO24" s="180">
        <f t="shared" si="35"/>
        <v>73.95</v>
      </c>
      <c r="AP24" s="180">
        <f t="shared" ca="1" si="36"/>
        <v>23</v>
      </c>
      <c r="AQ24" s="180">
        <f t="shared" ca="1" si="37"/>
        <v>26</v>
      </c>
      <c r="AU24" s="180">
        <f t="shared" ca="1" si="38"/>
        <v>1</v>
      </c>
      <c r="AW24" s="180"/>
      <c r="AX24" s="182"/>
      <c r="AY24" s="182"/>
      <c r="AZ24" s="182"/>
      <c r="BA24" s="128">
        <f t="shared" si="39"/>
        <v>1</v>
      </c>
      <c r="BB24" s="118">
        <f t="shared" ca="1" si="40"/>
        <v>160.00020000000001</v>
      </c>
      <c r="BL24" s="118">
        <v>-1</v>
      </c>
      <c r="BM24" s="118">
        <v>1</v>
      </c>
      <c r="BN24" s="118">
        <v>-1</v>
      </c>
      <c r="BO24" s="183">
        <v>43155.502256944441</v>
      </c>
      <c r="BQ24" s="118">
        <v>1</v>
      </c>
      <c r="BR24" s="118">
        <v>-1</v>
      </c>
      <c r="BS24" s="118">
        <v>-1</v>
      </c>
      <c r="BT24" s="183">
        <v>43155.553981481484</v>
      </c>
      <c r="BV24" s="118">
        <v>1</v>
      </c>
      <c r="BW24" s="118">
        <v>1</v>
      </c>
      <c r="BX24" s="118">
        <v>-1</v>
      </c>
      <c r="BY24" s="183">
        <v>43155.62641203704</v>
      </c>
      <c r="BZ24" s="183">
        <f t="shared" ca="1" si="41"/>
        <v>43155.62641203704</v>
      </c>
      <c r="CA24" s="244">
        <v>0.63596064814814812</v>
      </c>
    </row>
    <row r="25" spans="1:79" ht="19.5" customHeight="1" x14ac:dyDescent="0.2">
      <c r="A25" s="167" t="s">
        <v>25</v>
      </c>
      <c r="B25" s="168" t="s">
        <v>257</v>
      </c>
      <c r="C25" s="168" t="s">
        <v>183</v>
      </c>
      <c r="D25" s="169" t="s">
        <v>222</v>
      </c>
      <c r="E25" s="169">
        <v>88.65</v>
      </c>
      <c r="F25" s="169">
        <f>IF(LEFT(D25,1)="M",VLOOKUP(IF($E$7="Bwt (kg)",E25,E25/2.2046),Lists!$B$16:$D$24,IF(ISERROR(FIND("J",D25)),3,2)),VLOOKUP(IF($E$7="Bwt (kg)",E25,E25/2.2046),Lists!$B$26:$D$33,IF(ISERROR(FIND("J",D25)),3,2)))</f>
        <v>93</v>
      </c>
      <c r="G25" s="169">
        <v>20</v>
      </c>
      <c r="H25" s="170">
        <f>IF(AND(VALUE(E25)&gt;0,OR(LEFT(D25,1)="M",LEFT(D25,1)="F")),IF(LEFT(D25,1)="M",Wilks_Men(IF(RIGHT($F$7,4)="(lb)",E25/2.2046,E25)),Wilks_Women(IF(RIGHT($F$7,4)="(lb)",E25/2.2046,E25))),0)</f>
        <v>0.64340001344680786</v>
      </c>
      <c r="I25" s="241">
        <v>30208</v>
      </c>
      <c r="J25" s="128">
        <f ca="1">IF(I25,VLOOKUP(INT((NOW()-I25)/365.25),DATA!$A$2:$B$53,2,TRUE),0)</f>
        <v>1</v>
      </c>
      <c r="K25" s="169">
        <v>14</v>
      </c>
      <c r="L25" s="243">
        <v>160</v>
      </c>
      <c r="M25" s="243">
        <v>170</v>
      </c>
      <c r="N25" s="243">
        <v>180</v>
      </c>
      <c r="O25" s="173">
        <f t="shared" si="22"/>
        <v>180</v>
      </c>
      <c r="P25" s="174" t="s">
        <v>304</v>
      </c>
      <c r="Q25" s="243">
        <v>120</v>
      </c>
      <c r="R25" s="243">
        <v>127.5</v>
      </c>
      <c r="S25" s="243">
        <v>135</v>
      </c>
      <c r="T25" s="173">
        <f t="shared" si="23"/>
        <v>135</v>
      </c>
      <c r="U25" s="173">
        <f t="shared" si="24"/>
        <v>315</v>
      </c>
      <c r="V25" s="243">
        <v>185</v>
      </c>
      <c r="W25" s="248">
        <v>215</v>
      </c>
      <c r="X25" s="246">
        <v>-230</v>
      </c>
      <c r="Y25" s="176">
        <f t="shared" si="25"/>
        <v>215</v>
      </c>
      <c r="Z25" s="173">
        <f t="shared" ca="1" si="26"/>
        <v>530</v>
      </c>
      <c r="AA25" s="282">
        <f t="shared" ca="1" si="27"/>
        <v>341.00200712680817</v>
      </c>
      <c r="AB25" s="177">
        <f t="shared" ca="1" si="28"/>
        <v>341.00200712680817</v>
      </c>
      <c r="AC25" s="167">
        <f ca="1">OFFSET(Setup!$F$1,MATCH(D25,INDIRECT("Setup!B1:B100"),0)-1,0)</f>
        <v>2</v>
      </c>
      <c r="AD25" s="178" t="str">
        <f t="shared" ca="1" si="29"/>
        <v>12-M-BL-PL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1200000341.002007</v>
      </c>
      <c r="AI25" s="128">
        <f t="shared" ca="1" si="30"/>
        <v>22</v>
      </c>
      <c r="AJ25" s="128">
        <f t="shared" ca="1" si="31"/>
        <v>1200</v>
      </c>
      <c r="AK25" s="128">
        <f t="shared" ca="1" si="32"/>
        <v>11</v>
      </c>
      <c r="AL25" s="128">
        <f t="shared" ca="1" si="33"/>
        <v>12</v>
      </c>
      <c r="AN25" s="180">
        <f t="shared" ca="1" si="34"/>
        <v>18</v>
      </c>
      <c r="AO25" s="180">
        <f t="shared" si="35"/>
        <v>88.65</v>
      </c>
      <c r="AP25" s="180">
        <f t="shared" ca="1" si="36"/>
        <v>11</v>
      </c>
      <c r="AQ25" s="180">
        <f t="shared" ca="1" si="37"/>
        <v>25</v>
      </c>
      <c r="AU25" s="180">
        <f t="shared" ca="1" si="38"/>
        <v>1</v>
      </c>
      <c r="AW25" s="180"/>
      <c r="AX25" s="182"/>
      <c r="AY25" s="182"/>
      <c r="AZ25" s="182"/>
      <c r="BA25" s="128">
        <f t="shared" si="39"/>
        <v>1</v>
      </c>
      <c r="BB25" s="118">
        <f t="shared" ca="1" si="40"/>
        <v>160.00200000000001</v>
      </c>
      <c r="BL25" s="118">
        <v>1</v>
      </c>
      <c r="BM25" s="118">
        <v>1</v>
      </c>
      <c r="BN25" s="118">
        <v>1</v>
      </c>
      <c r="BO25" s="183">
        <v>43155.514918981484</v>
      </c>
      <c r="BQ25" s="118">
        <v>1</v>
      </c>
      <c r="BR25" s="118">
        <v>1</v>
      </c>
      <c r="BS25" s="118">
        <v>1</v>
      </c>
      <c r="BT25" s="183">
        <v>43155.579675925925</v>
      </c>
      <c r="BV25" s="118">
        <v>1</v>
      </c>
      <c r="BW25" s="118">
        <v>1</v>
      </c>
      <c r="BX25" s="118">
        <v>-1</v>
      </c>
      <c r="BY25" s="183">
        <v>43155.625810185185</v>
      </c>
      <c r="BZ25" s="183">
        <f t="shared" ca="1" si="41"/>
        <v>43155.625810185185</v>
      </c>
      <c r="CA25" s="244">
        <v>0.63761574074074068</v>
      </c>
    </row>
    <row r="26" spans="1:79" ht="19.5" customHeight="1" x14ac:dyDescent="0.2">
      <c r="A26" s="167" t="s">
        <v>25</v>
      </c>
      <c r="B26" s="168" t="s">
        <v>302</v>
      </c>
      <c r="C26" s="168" t="s">
        <v>183</v>
      </c>
      <c r="D26" s="169" t="s">
        <v>222</v>
      </c>
      <c r="E26" s="169">
        <v>73</v>
      </c>
      <c r="F26" s="169">
        <f>IF(LEFT(D26,1)="M",VLOOKUP(IF($E$7="Bwt (kg)",E26,E26/2.2046),Lists!$B$16:$D$24,IF(ISERROR(FIND("J",D26)),3,2)),VLOOKUP(IF($E$7="Bwt (kg)",E26,E26/2.2046),Lists!$B$26:$D$33,IF(ISERROR(FIND("J",D26)),3,2)))</f>
        <v>74</v>
      </c>
      <c r="G26" s="169">
        <v>17</v>
      </c>
      <c r="H26" s="170">
        <f>IF(AND(VALUE(E26)&gt;0,OR(LEFT(D26,1)="M",LEFT(D26,1)="F")),IF(LEFT(D26,1)="M",Wilks_Men(IF(RIGHT($F$7,4)="(lb)",E26/2.2046,E26)),Wilks_Women(IF(RIGHT($F$7,4)="(lb)",E26/2.2046,E26))),0)</f>
        <v>0.72640001773834229</v>
      </c>
      <c r="I26" s="241">
        <v>34123</v>
      </c>
      <c r="J26" s="128">
        <f ca="1">IF(I26,VLOOKUP(INT((NOW()-I26)/365.25),DATA!$A$2:$B$53,2,TRUE),0)</f>
        <v>1</v>
      </c>
      <c r="K26" s="169">
        <v>14</v>
      </c>
      <c r="L26" s="243">
        <v>170</v>
      </c>
      <c r="M26" s="246">
        <v>-180</v>
      </c>
      <c r="N26" s="243">
        <v>180</v>
      </c>
      <c r="O26" s="173">
        <f t="shared" si="22"/>
        <v>180</v>
      </c>
      <c r="P26" s="174" t="s">
        <v>299</v>
      </c>
      <c r="Q26" s="243">
        <v>117.5</v>
      </c>
      <c r="R26" s="243">
        <v>125</v>
      </c>
      <c r="S26" s="246">
        <v>-132.5</v>
      </c>
      <c r="T26" s="173">
        <f t="shared" si="23"/>
        <v>125</v>
      </c>
      <c r="U26" s="173">
        <f t="shared" si="24"/>
        <v>305</v>
      </c>
      <c r="V26" s="243">
        <v>215</v>
      </c>
      <c r="W26" s="248">
        <v>222.5</v>
      </c>
      <c r="X26" s="246">
        <v>-227.5</v>
      </c>
      <c r="Y26" s="176">
        <f t="shared" si="25"/>
        <v>222.5</v>
      </c>
      <c r="Z26" s="173">
        <f t="shared" ca="1" si="26"/>
        <v>527.5</v>
      </c>
      <c r="AA26" s="282">
        <f t="shared" ca="1" si="27"/>
        <v>383.17600935697556</v>
      </c>
      <c r="AB26" s="177">
        <f t="shared" ca="1" si="28"/>
        <v>383.17600935697556</v>
      </c>
      <c r="AC26" s="167">
        <f ca="1">OFFSET(Setup!$F$1,MATCH(D26,INDIRECT("Setup!B1:B100"),0)-1,0)</f>
        <v>2</v>
      </c>
      <c r="AD26" s="178" t="str">
        <f t="shared" ca="1" si="29"/>
        <v>5-M-BL-PL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1200000383.1760094</v>
      </c>
      <c r="AI26" s="128">
        <f t="shared" ca="1" si="30"/>
        <v>15</v>
      </c>
      <c r="AJ26" s="128">
        <f t="shared" ca="1" si="31"/>
        <v>1200</v>
      </c>
      <c r="AK26" s="128">
        <f t="shared" ca="1" si="32"/>
        <v>11</v>
      </c>
      <c r="AL26" s="128">
        <f t="shared" ca="1" si="33"/>
        <v>5</v>
      </c>
      <c r="AN26" s="180">
        <f t="shared" ca="1" si="34"/>
        <v>17</v>
      </c>
      <c r="AO26" s="180">
        <f t="shared" si="35"/>
        <v>73</v>
      </c>
      <c r="AP26" s="180">
        <f t="shared" ca="1" si="36"/>
        <v>26</v>
      </c>
      <c r="AQ26" s="180">
        <f t="shared" ca="1" si="37"/>
        <v>28</v>
      </c>
      <c r="AU26" s="180">
        <f t="shared" ca="1" si="38"/>
        <v>1</v>
      </c>
      <c r="AW26" s="180"/>
      <c r="AX26" s="182"/>
      <c r="AY26" s="182"/>
      <c r="AZ26" s="182"/>
      <c r="BA26" s="128">
        <f t="shared" si="39"/>
        <v>1</v>
      </c>
      <c r="BB26" s="118">
        <f t="shared" ca="1" si="40"/>
        <v>170.0017</v>
      </c>
      <c r="BL26" s="118">
        <v>1</v>
      </c>
      <c r="BM26" s="118">
        <v>-1</v>
      </c>
      <c r="BN26" s="118">
        <v>1</v>
      </c>
      <c r="BO26" s="183">
        <v>43155.51421296296</v>
      </c>
      <c r="BQ26" s="118">
        <v>1</v>
      </c>
      <c r="BR26" s="118">
        <v>1</v>
      </c>
      <c r="BS26" s="118">
        <v>-1</v>
      </c>
      <c r="BT26" s="183">
        <v>43155.567708333336</v>
      </c>
      <c r="BV26" s="118">
        <v>1</v>
      </c>
      <c r="BW26" s="118">
        <v>1</v>
      </c>
      <c r="BX26" s="118">
        <v>-1</v>
      </c>
      <c r="BY26" s="183">
        <v>43155.627662037034</v>
      </c>
      <c r="BZ26" s="183">
        <f t="shared" ca="1" si="41"/>
        <v>43155.627662037034</v>
      </c>
      <c r="CA26" s="244">
        <v>0.63655092592592599</v>
      </c>
    </row>
    <row r="27" spans="1:79" ht="19.5" customHeight="1" x14ac:dyDescent="0.2">
      <c r="A27" s="167" t="s">
        <v>25</v>
      </c>
      <c r="B27" s="168" t="s">
        <v>308</v>
      </c>
      <c r="C27" s="168" t="s">
        <v>183</v>
      </c>
      <c r="D27" s="169" t="s">
        <v>222</v>
      </c>
      <c r="E27" s="169">
        <v>73.2</v>
      </c>
      <c r="F27" s="169">
        <f>IF(LEFT(D27,1)="M",VLOOKUP(IF($E$7="Bwt (kg)",E27,E27/2.2046),Lists!$B$16:$D$24,IF(ISERROR(FIND("J",D27)),3,2)),VLOOKUP(IF($E$7="Bwt (kg)",E27,E27/2.2046),Lists!$B$26:$D$33,IF(ISERROR(FIND("J",D27)),3,2)))</f>
        <v>74</v>
      </c>
      <c r="G27" s="169">
        <v>28</v>
      </c>
      <c r="H27" s="170">
        <f>IF(AND(VALUE(E27)&gt;0,OR(LEFT(D27,1)="M",LEFT(D27,1)="F")),IF(LEFT(D27,1)="M",Wilks_Men(IF(RIGHT($F$7,4)="(lb)",E27/2.2046,E27)),Wilks_Women(IF(RIGHT($F$7,4)="(lb)",E27/2.2046,E27))),0)</f>
        <v>0.7249000072479248</v>
      </c>
      <c r="I27" s="241">
        <v>35370</v>
      </c>
      <c r="J27" s="128">
        <f ca="1">IF(I27,VLOOKUP(INT((NOW()-I27)/365.25),DATA!$A$2:$B$53,2,TRUE),0)</f>
        <v>1.02</v>
      </c>
      <c r="K27" s="169">
        <v>13</v>
      </c>
      <c r="L27" s="243">
        <v>175</v>
      </c>
      <c r="M27" s="246">
        <v>-182.5</v>
      </c>
      <c r="N27" s="246">
        <v>-182.5</v>
      </c>
      <c r="O27" s="173">
        <f t="shared" si="22"/>
        <v>175</v>
      </c>
      <c r="P27" s="174" t="s">
        <v>309</v>
      </c>
      <c r="Q27" s="243">
        <v>110</v>
      </c>
      <c r="R27" s="243">
        <v>117.5</v>
      </c>
      <c r="S27" s="246">
        <v>-125</v>
      </c>
      <c r="T27" s="173">
        <f t="shared" si="23"/>
        <v>117.5</v>
      </c>
      <c r="U27" s="173">
        <f t="shared" si="24"/>
        <v>292.5</v>
      </c>
      <c r="V27" s="243">
        <v>200</v>
      </c>
      <c r="W27" s="248">
        <v>210</v>
      </c>
      <c r="X27" s="246">
        <v>-215</v>
      </c>
      <c r="Y27" s="176">
        <f t="shared" si="25"/>
        <v>210</v>
      </c>
      <c r="Z27" s="173">
        <f t="shared" ca="1" si="26"/>
        <v>502.5</v>
      </c>
      <c r="AA27" s="282">
        <f t="shared" ca="1" si="27"/>
        <v>364.26225364208221</v>
      </c>
      <c r="AB27" s="177">
        <f t="shared" ca="1" si="28"/>
        <v>371.54749871492385</v>
      </c>
      <c r="AC27" s="167">
        <f ca="1">OFFSET(Setup!$F$1,MATCH(D27,INDIRECT("Setup!B1:B100"),0)-1,0)</f>
        <v>2</v>
      </c>
      <c r="AD27" s="178" t="str">
        <f t="shared" ca="1" si="29"/>
        <v>7-M-BL-PL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1200000364.2622538</v>
      </c>
      <c r="AI27" s="128">
        <f t="shared" ca="1" si="30"/>
        <v>17</v>
      </c>
      <c r="AJ27" s="128">
        <f t="shared" ca="1" si="31"/>
        <v>1200</v>
      </c>
      <c r="AK27" s="128">
        <f t="shared" ca="1" si="32"/>
        <v>11</v>
      </c>
      <c r="AL27" s="128">
        <f t="shared" ca="1" si="33"/>
        <v>7</v>
      </c>
      <c r="AN27" s="180">
        <f t="shared" ca="1" si="34"/>
        <v>15</v>
      </c>
      <c r="AO27" s="180">
        <f t="shared" si="35"/>
        <v>73.2</v>
      </c>
      <c r="AP27" s="180">
        <f t="shared" ca="1" si="36"/>
        <v>24</v>
      </c>
      <c r="AQ27" s="180">
        <f t="shared" ca="1" si="37"/>
        <v>24</v>
      </c>
      <c r="AU27" s="180">
        <f t="shared" ca="1" si="38"/>
        <v>1</v>
      </c>
      <c r="AW27" s="180"/>
      <c r="AX27" s="182"/>
      <c r="AY27" s="182"/>
      <c r="AZ27" s="182"/>
      <c r="BA27" s="128">
        <f t="shared" si="39"/>
        <v>1</v>
      </c>
      <c r="BB27" s="118">
        <f t="shared" ca="1" si="40"/>
        <v>175.00280000000001</v>
      </c>
      <c r="BL27" s="118">
        <v>1</v>
      </c>
      <c r="BM27" s="118">
        <v>-1</v>
      </c>
      <c r="BN27" s="118">
        <v>-1</v>
      </c>
      <c r="BO27" s="183">
        <v>43155.494710648149</v>
      </c>
      <c r="BQ27" s="118">
        <v>1</v>
      </c>
      <c r="BR27" s="118">
        <v>1</v>
      </c>
      <c r="BS27" s="118">
        <v>-1</v>
      </c>
      <c r="BT27" s="183">
        <v>43155.566168981481</v>
      </c>
      <c r="BV27" s="118">
        <v>1</v>
      </c>
      <c r="BW27" s="118">
        <v>1</v>
      </c>
      <c r="BX27" s="118">
        <v>-1</v>
      </c>
      <c r="BY27" s="183">
        <v>43155.624548611115</v>
      </c>
      <c r="BZ27" s="183">
        <f t="shared" ca="1" si="41"/>
        <v>43155.624548611115</v>
      </c>
      <c r="CA27" s="244">
        <v>0.63391203703703702</v>
      </c>
    </row>
    <row r="28" spans="1:79" ht="19.5" customHeight="1" x14ac:dyDescent="0.2">
      <c r="A28" s="167" t="s">
        <v>25</v>
      </c>
      <c r="B28" s="168" t="s">
        <v>298</v>
      </c>
      <c r="C28" s="168" t="s">
        <v>213</v>
      </c>
      <c r="D28" s="169" t="s">
        <v>222</v>
      </c>
      <c r="E28" s="169">
        <v>92.5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5</v>
      </c>
      <c r="H28" s="170">
        <f>IF(AND(VALUE(E28)&gt;0,OR(LEFT(D28,1)="M",LEFT(D28,1)="F")),IF(LEFT(D28,1)="M",Wilks_Men(IF(RIGHT($F$7,4)="(lb)",E28/2.2046,E28)),Wilks_Women(IF(RIGHT($F$7,4)="(lb)",E28/2.2046,E28))),0)</f>
        <v>0.62980002164840698</v>
      </c>
      <c r="I28" s="241">
        <v>34095</v>
      </c>
      <c r="J28" s="128">
        <f ca="1">IF(I28,VLOOKUP(INT((NOW()-I28)/365.25),DATA!$A$2:$B$53,2,TRUE),0)</f>
        <v>1</v>
      </c>
      <c r="K28" s="169">
        <v>13</v>
      </c>
      <c r="L28" s="243">
        <v>180</v>
      </c>
      <c r="M28" s="243">
        <v>190</v>
      </c>
      <c r="N28" s="243">
        <v>200</v>
      </c>
      <c r="O28" s="173">
        <f t="shared" si="22"/>
        <v>200</v>
      </c>
      <c r="P28" s="174" t="s">
        <v>299</v>
      </c>
      <c r="Q28" s="246">
        <v>-115</v>
      </c>
      <c r="R28" s="243">
        <v>120</v>
      </c>
      <c r="S28" s="246">
        <v>-125</v>
      </c>
      <c r="T28" s="173">
        <f t="shared" si="23"/>
        <v>120</v>
      </c>
      <c r="U28" s="173">
        <f t="shared" si="24"/>
        <v>320</v>
      </c>
      <c r="V28" s="243">
        <v>220</v>
      </c>
      <c r="W28" s="248">
        <v>225</v>
      </c>
      <c r="X28" s="243">
        <v>230</v>
      </c>
      <c r="Y28" s="176">
        <f t="shared" si="25"/>
        <v>230</v>
      </c>
      <c r="Z28" s="173">
        <f t="shared" ca="1" si="26"/>
        <v>550</v>
      </c>
      <c r="AA28" s="282">
        <f t="shared" ca="1" si="27"/>
        <v>346.39001190662384</v>
      </c>
      <c r="AB28" s="177">
        <f t="shared" ca="1" si="28"/>
        <v>346.39001190662384</v>
      </c>
      <c r="AC28" s="167">
        <f ca="1">OFFSET(Setup!$F$1,MATCH(D28,INDIRECT("Setup!B1:B100"),0)-1,0)</f>
        <v>2</v>
      </c>
      <c r="AD28" s="178" t="str">
        <f t="shared" ca="1" si="29"/>
        <v>11-M-BL-PL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1200000346.3900118</v>
      </c>
      <c r="AI28" s="128">
        <f t="shared" ca="1" si="30"/>
        <v>21</v>
      </c>
      <c r="AJ28" s="128">
        <f t="shared" ca="1" si="31"/>
        <v>1200</v>
      </c>
      <c r="AK28" s="128">
        <f t="shared" ca="1" si="32"/>
        <v>11</v>
      </c>
      <c r="AL28" s="128">
        <f t="shared" ca="1" si="33"/>
        <v>11</v>
      </c>
      <c r="AN28" s="180">
        <f t="shared" ca="1" si="34"/>
        <v>21</v>
      </c>
      <c r="AO28" s="180">
        <f t="shared" si="35"/>
        <v>92.5</v>
      </c>
      <c r="AP28" s="180">
        <f t="shared" ca="1" si="36"/>
        <v>8</v>
      </c>
      <c r="AQ28" s="180">
        <f t="shared" ca="1" si="37"/>
        <v>31</v>
      </c>
      <c r="AU28" s="180">
        <f t="shared" ca="1" si="38"/>
        <v>1</v>
      </c>
      <c r="AW28" s="180"/>
      <c r="AX28" s="182"/>
      <c r="AY28" s="182"/>
      <c r="AZ28" s="182"/>
      <c r="BA28" s="128">
        <f t="shared" si="39"/>
        <v>1</v>
      </c>
      <c r="BB28" s="118">
        <f t="shared" ca="1" si="40"/>
        <v>180.00049999999999</v>
      </c>
      <c r="BL28" s="118">
        <v>1</v>
      </c>
      <c r="BM28" s="118">
        <v>1</v>
      </c>
      <c r="BN28" s="118">
        <v>1</v>
      </c>
      <c r="BO28" s="183">
        <v>43155.516226851854</v>
      </c>
      <c r="BQ28" s="118">
        <v>-1</v>
      </c>
      <c r="BR28" s="118">
        <v>1</v>
      </c>
      <c r="BS28" s="118">
        <v>-1</v>
      </c>
      <c r="BT28" s="183">
        <v>43155.566782407404</v>
      </c>
      <c r="BV28" s="118">
        <v>1</v>
      </c>
      <c r="BW28" s="118">
        <v>1</v>
      </c>
      <c r="BX28" s="118">
        <v>1</v>
      </c>
      <c r="BY28" s="183">
        <v>43155.636458333334</v>
      </c>
      <c r="BZ28" s="183">
        <f t="shared" ca="1" si="41"/>
        <v>43155.636458333334</v>
      </c>
      <c r="CA28" s="244">
        <v>0.63715277777777779</v>
      </c>
    </row>
    <row r="29" spans="1:79" ht="19.5" customHeight="1" x14ac:dyDescent="0.2">
      <c r="A29" s="167" t="s">
        <v>25</v>
      </c>
      <c r="B29" s="168" t="s">
        <v>255</v>
      </c>
      <c r="C29" s="168" t="s">
        <v>183</v>
      </c>
      <c r="D29" s="169" t="s">
        <v>222</v>
      </c>
      <c r="E29" s="169">
        <v>73.2</v>
      </c>
      <c r="F29" s="169">
        <f>IF(LEFT(D29,1)="M",VLOOKUP(IF($E$7="Bwt (kg)",E29,E29/2.2046),Lists!$B$16:$D$24,IF(ISERROR(FIND("J",D29)),3,2)),VLOOKUP(IF($E$7="Bwt (kg)",E29,E29/2.2046),Lists!$B$26:$D$33,IF(ISERROR(FIND("J",D29)),3,2)))</f>
        <v>74</v>
      </c>
      <c r="G29" s="169">
        <v>26</v>
      </c>
      <c r="H29" s="170">
        <f>IF(AND(VALUE(E29)&gt;0,OR(LEFT(D29,1)="M",LEFT(D29,1)="F")),IF(LEFT(D29,1)="M",Wilks_Men(IF(RIGHT($F$7,4)="(lb)",E29/2.2046,E29)),Wilks_Women(IF(RIGHT($F$7,4)="(lb)",E29/2.2046,E29))),0)</f>
        <v>0.7249000072479248</v>
      </c>
      <c r="I29" s="241">
        <v>32008</v>
      </c>
      <c r="J29" s="128">
        <f ca="1">IF(I29,VLOOKUP(INT((NOW()-I29)/365.25),DATA!$A$2:$B$53,2,TRUE),0)</f>
        <v>1</v>
      </c>
      <c r="K29" s="169">
        <v>13</v>
      </c>
      <c r="L29" s="243">
        <v>185</v>
      </c>
      <c r="M29" s="243">
        <v>195</v>
      </c>
      <c r="N29" s="243">
        <v>200</v>
      </c>
      <c r="O29" s="173">
        <f t="shared" si="22"/>
        <v>200</v>
      </c>
      <c r="P29" s="174" t="s">
        <v>270</v>
      </c>
      <c r="Q29" s="243">
        <v>122.5</v>
      </c>
      <c r="R29" s="246">
        <v>-127.5</v>
      </c>
      <c r="S29" s="243">
        <v>127.5</v>
      </c>
      <c r="T29" s="173">
        <f t="shared" si="23"/>
        <v>127.5</v>
      </c>
      <c r="U29" s="173">
        <f t="shared" si="24"/>
        <v>327.5</v>
      </c>
      <c r="V29" s="243">
        <v>205</v>
      </c>
      <c r="W29" s="248">
        <v>220</v>
      </c>
      <c r="X29" s="246">
        <v>-225</v>
      </c>
      <c r="Y29" s="176">
        <f t="shared" si="25"/>
        <v>220</v>
      </c>
      <c r="Z29" s="173">
        <f t="shared" ca="1" si="26"/>
        <v>547.5</v>
      </c>
      <c r="AA29" s="282">
        <f t="shared" ca="1" si="27"/>
        <v>396.88275396823883</v>
      </c>
      <c r="AB29" s="177">
        <f t="shared" ca="1" si="28"/>
        <v>396.88275396823883</v>
      </c>
      <c r="AC29" s="167">
        <f ca="1">OFFSET(Setup!$F$1,MATCH(D29,INDIRECT("Setup!B1:B100"),0)-1,0)</f>
        <v>2</v>
      </c>
      <c r="AD29" s="178" t="str">
        <f t="shared" ca="1" si="29"/>
        <v>4-M-BL-PL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1200000396.8827538</v>
      </c>
      <c r="AI29" s="128">
        <f t="shared" ca="1" si="30"/>
        <v>14</v>
      </c>
      <c r="AJ29" s="128">
        <f t="shared" ca="1" si="31"/>
        <v>1200</v>
      </c>
      <c r="AK29" s="128">
        <f t="shared" ca="1" si="32"/>
        <v>11</v>
      </c>
      <c r="AL29" s="128">
        <f t="shared" ca="1" si="33"/>
        <v>4</v>
      </c>
      <c r="AN29" s="180">
        <f t="shared" ca="1" si="34"/>
        <v>20</v>
      </c>
      <c r="AO29" s="180">
        <f t="shared" si="35"/>
        <v>73.2</v>
      </c>
      <c r="AP29" s="180">
        <f t="shared" ca="1" si="36"/>
        <v>24</v>
      </c>
      <c r="AQ29" s="180">
        <f t="shared" ca="1" si="37"/>
        <v>27</v>
      </c>
      <c r="AU29" s="180">
        <f t="shared" ca="1" si="38"/>
        <v>1</v>
      </c>
      <c r="AW29" s="180"/>
      <c r="AX29" s="182"/>
      <c r="AY29" s="182"/>
      <c r="AZ29" s="182"/>
      <c r="BA29" s="128">
        <f t="shared" si="39"/>
        <v>1</v>
      </c>
      <c r="BB29" s="118">
        <f t="shared" ca="1" si="40"/>
        <v>185.0026</v>
      </c>
      <c r="BL29" s="118">
        <v>1</v>
      </c>
      <c r="BM29" s="118">
        <v>1</v>
      </c>
      <c r="BN29" s="118">
        <v>1</v>
      </c>
      <c r="BO29" s="183">
        <v>43155.516712962963</v>
      </c>
      <c r="BQ29" s="118">
        <v>1</v>
      </c>
      <c r="BR29" s="118">
        <v>-1</v>
      </c>
      <c r="BS29" s="118">
        <v>1</v>
      </c>
      <c r="BT29" s="183">
        <v>43155.578333333331</v>
      </c>
      <c r="BV29" s="118">
        <v>1</v>
      </c>
      <c r="BW29" s="118">
        <v>1</v>
      </c>
      <c r="BX29" s="118">
        <v>-1</v>
      </c>
      <c r="BY29" s="183">
        <v>43155.627002314817</v>
      </c>
      <c r="BZ29" s="183">
        <f t="shared" ca="1" si="41"/>
        <v>43155.627002314817</v>
      </c>
      <c r="CA29" s="244">
        <v>0.63490740740740736</v>
      </c>
    </row>
    <row r="30" spans="1:79" ht="19.5" customHeight="1" x14ac:dyDescent="0.2">
      <c r="A30" s="167" t="s">
        <v>25</v>
      </c>
      <c r="B30" s="168" t="s">
        <v>303</v>
      </c>
      <c r="C30" s="168" t="s">
        <v>183</v>
      </c>
      <c r="D30" s="169" t="s">
        <v>222</v>
      </c>
      <c r="E30" s="169">
        <v>115.15</v>
      </c>
      <c r="F30" s="169">
        <f>IF(LEFT(D30,1)="M",VLOOKUP(IF($E$7="Bwt (kg)",E30,E30/2.2046),Lists!$B$16:$D$24,IF(ISERROR(FIND("J",D30)),3,2)),VLOOKUP(IF($E$7="Bwt (kg)",E30,E30/2.2046),Lists!$B$26:$D$33,IF(ISERROR(FIND("J",D30)),3,2)))</f>
        <v>120</v>
      </c>
      <c r="G30" s="169">
        <v>18</v>
      </c>
      <c r="H30" s="170">
        <f>IF(AND(VALUE(E30)&gt;0,OR(LEFT(D30,1)="M",LEFT(D30,1)="F")),IF(LEFT(D30,1)="M",Wilks_Men(IF(RIGHT($F$7,4)="(lb)",E30/2.2046,E30)),Wilks_Women(IF(RIGHT($F$7,4)="(lb)",E30/2.2046,E30))),0)</f>
        <v>0.58079999685287476</v>
      </c>
      <c r="I30" s="241">
        <v>33760</v>
      </c>
      <c r="J30" s="128">
        <f ca="1">IF(I30,VLOOKUP(INT((NOW()-I30)/365.25),DATA!$A$2:$B$53,2,TRUE),0)</f>
        <v>1</v>
      </c>
      <c r="K30" s="169">
        <v>21</v>
      </c>
      <c r="L30" s="243">
        <v>190</v>
      </c>
      <c r="M30" s="243">
        <v>197.5</v>
      </c>
      <c r="N30" s="243">
        <v>210</v>
      </c>
      <c r="O30" s="173">
        <f t="shared" si="22"/>
        <v>210</v>
      </c>
      <c r="P30" s="174" t="s">
        <v>297</v>
      </c>
      <c r="Q30" s="243">
        <v>155</v>
      </c>
      <c r="R30" s="243">
        <v>162.5</v>
      </c>
      <c r="S30" s="246">
        <v>-170</v>
      </c>
      <c r="T30" s="173">
        <f t="shared" si="23"/>
        <v>162.5</v>
      </c>
      <c r="U30" s="173">
        <f t="shared" si="24"/>
        <v>372.5</v>
      </c>
      <c r="V30" s="243">
        <v>240</v>
      </c>
      <c r="W30" s="248">
        <v>255</v>
      </c>
      <c r="X30" s="243">
        <v>265</v>
      </c>
      <c r="Y30" s="176">
        <f t="shared" si="25"/>
        <v>265</v>
      </c>
      <c r="Z30" s="173">
        <f t="shared" ca="1" si="26"/>
        <v>637.5</v>
      </c>
      <c r="AA30" s="282">
        <f t="shared" ca="1" si="27"/>
        <v>370.25999799370766</v>
      </c>
      <c r="AB30" s="177">
        <f t="shared" ca="1" si="28"/>
        <v>370.25999799370766</v>
      </c>
      <c r="AC30" s="167">
        <f ca="1">OFFSET(Setup!$F$1,MATCH(D30,INDIRECT("Setup!B1:B100"),0)-1,0)</f>
        <v>2</v>
      </c>
      <c r="AD30" s="178" t="str">
        <f t="shared" ca="1" si="29"/>
        <v>6-M-BL-PL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1200000370.2599981</v>
      </c>
      <c r="AI30" s="128">
        <f t="shared" ca="1" si="30"/>
        <v>16</v>
      </c>
      <c r="AJ30" s="128">
        <f t="shared" ca="1" si="31"/>
        <v>1200</v>
      </c>
      <c r="AK30" s="128">
        <f t="shared" ca="1" si="32"/>
        <v>11</v>
      </c>
      <c r="AL30" s="128">
        <f t="shared" ca="1" si="33"/>
        <v>6</v>
      </c>
      <c r="AN30" s="180">
        <f t="shared" ca="1" si="34"/>
        <v>23</v>
      </c>
      <c r="AO30" s="180">
        <f t="shared" si="35"/>
        <v>115.15</v>
      </c>
      <c r="AP30" s="180">
        <f t="shared" ca="1" si="36"/>
        <v>4</v>
      </c>
      <c r="AQ30" s="180">
        <f t="shared" ca="1" si="37"/>
        <v>34</v>
      </c>
      <c r="AU30" s="180">
        <f t="shared" ca="1" si="38"/>
        <v>1</v>
      </c>
      <c r="AW30" s="180"/>
      <c r="AX30" s="182"/>
      <c r="AY30" s="182"/>
      <c r="AZ30" s="182"/>
      <c r="BA30" s="128">
        <f t="shared" si="39"/>
        <v>1</v>
      </c>
      <c r="BB30" s="118">
        <f t="shared" ca="1" si="40"/>
        <v>190.0018</v>
      </c>
      <c r="BL30" s="118">
        <v>1</v>
      </c>
      <c r="BM30" s="118">
        <v>1</v>
      </c>
      <c r="BN30" s="118">
        <v>1</v>
      </c>
      <c r="BO30" s="183">
        <v>43155.517592592594</v>
      </c>
      <c r="BQ30" s="118">
        <v>1</v>
      </c>
      <c r="BR30" s="118">
        <v>1</v>
      </c>
      <c r="BS30" s="118">
        <v>-1</v>
      </c>
      <c r="BT30" s="183">
        <v>43155.572337962964</v>
      </c>
      <c r="BV30" s="118">
        <v>1</v>
      </c>
      <c r="BW30" s="118">
        <v>1</v>
      </c>
      <c r="BX30" s="118">
        <v>1</v>
      </c>
      <c r="BY30" s="183">
        <v>43155.639513888891</v>
      </c>
      <c r="BZ30" s="183">
        <f t="shared" ca="1" si="41"/>
        <v>43155.639513888891</v>
      </c>
      <c r="CA30" s="244">
        <v>0.64020833333333338</v>
      </c>
    </row>
    <row r="31" spans="1:79" ht="19.5" customHeight="1" x14ac:dyDescent="0.2">
      <c r="A31" s="167" t="s">
        <v>25</v>
      </c>
      <c r="B31" s="168" t="s">
        <v>305</v>
      </c>
      <c r="C31" s="168" t="s">
        <v>213</v>
      </c>
      <c r="D31" s="169" t="s">
        <v>222</v>
      </c>
      <c r="E31" s="169">
        <v>118.6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23</v>
      </c>
      <c r="H31" s="170">
        <f>IF(AND(VALUE(E31)&gt;0,OR(LEFT(D31,1)="M",LEFT(D31,1)="F")),IF(LEFT(D31,1)="M",Wilks_Men(IF(RIGHT($F$7,4)="(lb)",E31/2.2046,E31)),Wilks_Women(IF(RIGHT($F$7,4)="(lb)",E31/2.2046,E31))),0)</f>
        <v>0.57649999856948853</v>
      </c>
      <c r="I31" s="241">
        <v>30711</v>
      </c>
      <c r="J31" s="128">
        <f ca="1">IF(I31,VLOOKUP(INT((NOW()-I31)/365.25),DATA!$A$2:$B$53,2,TRUE),0)</f>
        <v>1</v>
      </c>
      <c r="K31" s="169">
        <v>17</v>
      </c>
      <c r="L31" s="246">
        <v>-210</v>
      </c>
      <c r="M31" s="243">
        <v>210</v>
      </c>
      <c r="N31" s="243">
        <v>220</v>
      </c>
      <c r="O31" s="173">
        <f t="shared" si="22"/>
        <v>220</v>
      </c>
      <c r="P31" s="174" t="s">
        <v>304</v>
      </c>
      <c r="Q31" s="243">
        <v>150</v>
      </c>
      <c r="R31" s="243">
        <v>160</v>
      </c>
      <c r="S31" s="243">
        <v>165</v>
      </c>
      <c r="T31" s="173">
        <f t="shared" si="23"/>
        <v>165</v>
      </c>
      <c r="U31" s="173">
        <f t="shared" si="24"/>
        <v>385</v>
      </c>
      <c r="V31" s="243">
        <v>240</v>
      </c>
      <c r="W31" s="249">
        <v>-260</v>
      </c>
      <c r="X31" s="246">
        <v>-260</v>
      </c>
      <c r="Y31" s="176">
        <f t="shared" si="25"/>
        <v>240</v>
      </c>
      <c r="Z31" s="173">
        <f t="shared" ca="1" si="26"/>
        <v>625</v>
      </c>
      <c r="AA31" s="282">
        <f t="shared" ca="1" si="27"/>
        <v>360.31249910593033</v>
      </c>
      <c r="AB31" s="177">
        <f t="shared" ca="1" si="28"/>
        <v>360.31249910593033</v>
      </c>
      <c r="AC31" s="167">
        <f ca="1">OFFSET(Setup!$F$1,MATCH(D31,INDIRECT("Setup!B1:B100"),0)-1,0)</f>
        <v>2</v>
      </c>
      <c r="AD31" s="178" t="str">
        <f t="shared" ca="1" si="29"/>
        <v>8-M-BL-PL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1200000360.312499</v>
      </c>
      <c r="AI31" s="128">
        <f t="shared" ca="1" si="30"/>
        <v>18</v>
      </c>
      <c r="AJ31" s="128">
        <f t="shared" ca="1" si="31"/>
        <v>1200</v>
      </c>
      <c r="AK31" s="128">
        <f t="shared" ca="1" si="32"/>
        <v>11</v>
      </c>
      <c r="AL31" s="128">
        <f t="shared" ca="1" si="33"/>
        <v>8</v>
      </c>
      <c r="AN31" s="180">
        <f t="shared" ca="1" si="34"/>
        <v>22</v>
      </c>
      <c r="AO31" s="180">
        <f t="shared" si="35"/>
        <v>118.6</v>
      </c>
      <c r="AP31" s="180">
        <f t="shared" ca="1" si="36"/>
        <v>3</v>
      </c>
      <c r="AQ31" s="180">
        <f t="shared" ca="1" si="37"/>
        <v>22</v>
      </c>
      <c r="AU31" s="180">
        <f t="shared" ca="1" si="38"/>
        <v>1</v>
      </c>
      <c r="AW31" s="180"/>
      <c r="AX31" s="182"/>
      <c r="AY31" s="182"/>
      <c r="AZ31" s="182"/>
      <c r="BA31" s="128">
        <f t="shared" si="39"/>
        <v>1</v>
      </c>
      <c r="BB31" s="118">
        <f t="shared" ca="1" si="40"/>
        <v>210.00229999999999</v>
      </c>
      <c r="BL31" s="118">
        <v>-1</v>
      </c>
      <c r="BM31" s="118">
        <v>1</v>
      </c>
      <c r="BN31" s="118">
        <v>1</v>
      </c>
      <c r="BO31" s="183">
        <v>43155.51829861111</v>
      </c>
      <c r="BQ31" s="118">
        <v>1</v>
      </c>
      <c r="BR31" s="118">
        <v>1</v>
      </c>
      <c r="BS31" s="118">
        <v>1</v>
      </c>
      <c r="BT31" s="183">
        <v>43155.582037037035</v>
      </c>
      <c r="BV31" s="118">
        <v>1</v>
      </c>
      <c r="BW31" s="118">
        <v>-1</v>
      </c>
      <c r="BX31" s="118">
        <v>-1</v>
      </c>
      <c r="BY31" s="183">
        <v>43155.620381944442</v>
      </c>
      <c r="BZ31" s="183">
        <f t="shared" ca="1" si="41"/>
        <v>43155.620381944442</v>
      </c>
      <c r="CA31" s="244">
        <v>0.63957175925925924</v>
      </c>
    </row>
    <row r="32" spans="1:79" ht="19.5" customHeight="1" x14ac:dyDescent="0.2">
      <c r="A32" s="167" t="s">
        <v>25</v>
      </c>
      <c r="B32" s="168" t="s">
        <v>306</v>
      </c>
      <c r="C32" s="168" t="s">
        <v>213</v>
      </c>
      <c r="D32" s="169" t="s">
        <v>222</v>
      </c>
      <c r="E32" s="169">
        <v>104.85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24</v>
      </c>
      <c r="H32" s="170">
        <f>IF(AND(VALUE(E32)&gt;0,OR(LEFT(D32,1)="M",LEFT(D32,1)="F")),IF(LEFT(D32,1)="M",Wilks_Men(IF(RIGHT($F$7,4)="(lb)",E32/2.2046,E32)),Wilks_Women(IF(RIGHT($F$7,4)="(lb)",E32/2.2046,E32))),0)</f>
        <v>0.59789997339248657</v>
      </c>
      <c r="I32" s="241">
        <v>32597</v>
      </c>
      <c r="J32" s="128">
        <f ca="1">IF(I32,VLOOKUP(INT((NOW()-I32)/365.25),DATA!$A$2:$B$53,2,TRUE),0)</f>
        <v>1</v>
      </c>
      <c r="K32" s="169">
        <v>15</v>
      </c>
      <c r="L32" s="243">
        <v>220</v>
      </c>
      <c r="M32" s="243">
        <v>232.5</v>
      </c>
      <c r="N32" s="246">
        <v>-242.5</v>
      </c>
      <c r="O32" s="173">
        <f t="shared" si="22"/>
        <v>232.5</v>
      </c>
      <c r="P32" s="174" t="s">
        <v>307</v>
      </c>
      <c r="Q32" s="243">
        <v>155</v>
      </c>
      <c r="R32" s="243">
        <v>162.5</v>
      </c>
      <c r="S32" s="243">
        <v>167.5</v>
      </c>
      <c r="T32" s="173">
        <f t="shared" si="23"/>
        <v>167.5</v>
      </c>
      <c r="U32" s="173">
        <f t="shared" si="24"/>
        <v>400</v>
      </c>
      <c r="V32" s="243">
        <v>240</v>
      </c>
      <c r="W32" s="248">
        <v>260</v>
      </c>
      <c r="X32" s="243">
        <v>272.5</v>
      </c>
      <c r="Y32" s="176">
        <f t="shared" si="25"/>
        <v>272.5</v>
      </c>
      <c r="Z32" s="173">
        <f t="shared" ca="1" si="26"/>
        <v>672.5</v>
      </c>
      <c r="AA32" s="282">
        <f t="shared" ca="1" si="27"/>
        <v>402.08773210644722</v>
      </c>
      <c r="AB32" s="177">
        <f t="shared" ca="1" si="28"/>
        <v>402.08773210644722</v>
      </c>
      <c r="AC32" s="167">
        <f ca="1">OFFSET(Setup!$F$1,MATCH(D32,INDIRECT("Setup!B1:B100"),0)-1,0)</f>
        <v>2</v>
      </c>
      <c r="AD32" s="178" t="str">
        <f t="shared" ca="1" si="29"/>
        <v>2-M-BL-PL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1200000402.0877321</v>
      </c>
      <c r="AI32" s="128">
        <f t="shared" ca="1" si="30"/>
        <v>12</v>
      </c>
      <c r="AJ32" s="128">
        <f t="shared" ca="1" si="31"/>
        <v>1200</v>
      </c>
      <c r="AK32" s="128">
        <f t="shared" ca="1" si="32"/>
        <v>11</v>
      </c>
      <c r="AL32" s="128">
        <f t="shared" ca="1" si="33"/>
        <v>2</v>
      </c>
      <c r="AN32" s="180">
        <f t="shared" ca="1" si="34"/>
        <v>24</v>
      </c>
      <c r="AO32" s="180">
        <f t="shared" si="35"/>
        <v>104.85</v>
      </c>
      <c r="AP32" s="180">
        <f t="shared" ca="1" si="36"/>
        <v>5</v>
      </c>
      <c r="AQ32" s="180">
        <f t="shared" ca="1" si="37"/>
        <v>35</v>
      </c>
      <c r="AU32" s="180">
        <f t="shared" ca="1" si="38"/>
        <v>1</v>
      </c>
      <c r="AW32" s="180"/>
      <c r="AX32" s="182"/>
      <c r="AY32" s="182"/>
      <c r="AZ32" s="182"/>
      <c r="BA32" s="128">
        <f t="shared" si="39"/>
        <v>1</v>
      </c>
      <c r="BB32" s="118">
        <f t="shared" ca="1" si="40"/>
        <v>220.00239999999999</v>
      </c>
      <c r="BL32" s="118">
        <v>1</v>
      </c>
      <c r="BM32" s="118">
        <v>1</v>
      </c>
      <c r="BN32" s="118">
        <v>-1</v>
      </c>
      <c r="BO32" s="183">
        <v>43155.508553240739</v>
      </c>
      <c r="BQ32" s="118">
        <v>1</v>
      </c>
      <c r="BR32" s="118">
        <v>1</v>
      </c>
      <c r="BS32" s="118">
        <v>1</v>
      </c>
      <c r="BT32" s="183">
        <v>43155.582743055558</v>
      </c>
      <c r="BV32" s="118">
        <v>1</v>
      </c>
      <c r="BW32" s="118">
        <v>1</v>
      </c>
      <c r="BX32" s="118">
        <v>1</v>
      </c>
      <c r="BY32" s="183">
        <v>43155.640092592592</v>
      </c>
      <c r="BZ32" s="183">
        <f t="shared" ca="1" si="41"/>
        <v>43155.640092592592</v>
      </c>
      <c r="CA32" s="244">
        <v>0.6407870370370371</v>
      </c>
    </row>
    <row r="33" spans="1:79" ht="19.5" customHeight="1" x14ac:dyDescent="0.2">
      <c r="A33" s="167" t="s">
        <v>25</v>
      </c>
      <c r="B33" s="168" t="s">
        <v>296</v>
      </c>
      <c r="C33" s="168" t="s">
        <v>183</v>
      </c>
      <c r="D33" s="169" t="s">
        <v>222</v>
      </c>
      <c r="E33" s="169">
        <v>127.25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3</v>
      </c>
      <c r="H33" s="170">
        <f>IF(AND(VALUE(E33)&gt;0,OR(LEFT(D33,1)="M",LEFT(D33,1)="F")),IF(LEFT(D33,1)="M",Wilks_Men(IF(RIGHT($F$7,4)="(lb)",E33/2.2046,E33)),Wilks_Women(IF(RIGHT($F$7,4)="(lb)",E33/2.2046,E33))),0)</f>
        <v>0.56779998540878296</v>
      </c>
      <c r="I33" s="241">
        <v>32451</v>
      </c>
      <c r="J33" s="128">
        <f ca="1">IF(I33,VLOOKUP(INT((NOW()-I33)/365.25),DATA!$A$2:$B$53,2,TRUE),0)</f>
        <v>1</v>
      </c>
      <c r="K33" s="169">
        <v>20</v>
      </c>
      <c r="L33" s="243">
        <v>230</v>
      </c>
      <c r="M33" s="243">
        <v>240</v>
      </c>
      <c r="N33" s="243">
        <v>250</v>
      </c>
      <c r="O33" s="173">
        <f t="shared" si="22"/>
        <v>250</v>
      </c>
      <c r="P33" s="174" t="s">
        <v>297</v>
      </c>
      <c r="Q33" s="243">
        <v>150</v>
      </c>
      <c r="R33" s="243">
        <v>157.5</v>
      </c>
      <c r="S33" s="243">
        <v>165</v>
      </c>
      <c r="T33" s="173">
        <f t="shared" si="23"/>
        <v>165</v>
      </c>
      <c r="U33" s="173">
        <f t="shared" si="24"/>
        <v>415</v>
      </c>
      <c r="V33" s="243">
        <v>260</v>
      </c>
      <c r="W33" s="248">
        <v>285</v>
      </c>
      <c r="X33" s="246">
        <v>-300</v>
      </c>
      <c r="Y33" s="176">
        <f t="shared" si="25"/>
        <v>285</v>
      </c>
      <c r="Z33" s="173">
        <f t="shared" ca="1" si="26"/>
        <v>700</v>
      </c>
      <c r="AA33" s="282">
        <f t="shared" ca="1" si="27"/>
        <v>397.45998978614807</v>
      </c>
      <c r="AB33" s="177">
        <f t="shared" ca="1" si="28"/>
        <v>397.45998978614807</v>
      </c>
      <c r="AC33" s="167">
        <f ca="1">OFFSET(Setup!$F$1,MATCH(D33,INDIRECT("Setup!B1:B100"),0)-1,0)</f>
        <v>2</v>
      </c>
      <c r="AD33" s="178" t="str">
        <f t="shared" ca="1" si="29"/>
        <v>3-M-BL-PL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1200000397.4599898</v>
      </c>
      <c r="AI33" s="128">
        <f t="shared" ca="1" si="30"/>
        <v>13</v>
      </c>
      <c r="AJ33" s="128">
        <f t="shared" ca="1" si="31"/>
        <v>1200</v>
      </c>
      <c r="AK33" s="128">
        <f t="shared" ca="1" si="32"/>
        <v>11</v>
      </c>
      <c r="AL33" s="128">
        <f t="shared" ca="1" si="33"/>
        <v>3</v>
      </c>
      <c r="AN33" s="180">
        <f t="shared" ca="1" si="34"/>
        <v>25</v>
      </c>
      <c r="AO33" s="180">
        <f t="shared" si="35"/>
        <v>127.25</v>
      </c>
      <c r="AP33" s="180">
        <f t="shared" ca="1" si="36"/>
        <v>2</v>
      </c>
      <c r="AQ33" s="180">
        <f t="shared" ca="1" si="37"/>
        <v>29</v>
      </c>
      <c r="AU33" s="180">
        <f t="shared" ca="1" si="38"/>
        <v>1</v>
      </c>
      <c r="AW33" s="180"/>
      <c r="AX33" s="182"/>
      <c r="AY33" s="182"/>
      <c r="AZ33" s="182"/>
      <c r="BA33" s="128">
        <f t="shared" si="39"/>
        <v>1</v>
      </c>
      <c r="BB33" s="118">
        <f t="shared" ca="1" si="40"/>
        <v>230.00030000000001</v>
      </c>
      <c r="BL33" s="118">
        <v>1</v>
      </c>
      <c r="BM33" s="118">
        <v>1</v>
      </c>
      <c r="BN33" s="118">
        <v>1</v>
      </c>
      <c r="BO33" s="183">
        <v>43155.52003472222</v>
      </c>
      <c r="BQ33" s="118">
        <v>1</v>
      </c>
      <c r="BR33" s="118">
        <v>1</v>
      </c>
      <c r="BS33" s="118">
        <v>1</v>
      </c>
      <c r="BT33" s="183">
        <v>43155.581331018519</v>
      </c>
      <c r="BV33" s="118">
        <v>1</v>
      </c>
      <c r="BW33" s="118">
        <v>1</v>
      </c>
      <c r="BX33" s="118">
        <v>-1</v>
      </c>
      <c r="BY33" s="183">
        <v>43155.631516203706</v>
      </c>
      <c r="BZ33" s="183">
        <f t="shared" ca="1" si="41"/>
        <v>43155.631516203706</v>
      </c>
      <c r="CA33" s="244">
        <v>0.64187499999999997</v>
      </c>
    </row>
    <row r="34" spans="1:79" ht="19.5" customHeight="1" x14ac:dyDescent="0.2">
      <c r="A34" s="167" t="s">
        <v>25</v>
      </c>
      <c r="B34" s="168" t="s">
        <v>301</v>
      </c>
      <c r="C34" s="168" t="s">
        <v>259</v>
      </c>
      <c r="D34" s="169" t="s">
        <v>222</v>
      </c>
      <c r="E34" s="169">
        <v>142.69999999999999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12</v>
      </c>
      <c r="H34" s="170">
        <f>IF(AND(VALUE(E34)&gt;0,OR(LEFT(D34,1)="M",LEFT(D34,1)="F")),IF(LEFT(D34,1)="M",Wilks_Men(IF(RIGHT($F$7,4)="(lb)",E34/2.2046,E34)),Wilks_Women(IF(RIGHT($F$7,4)="(lb)",E34/2.2046,E34))),0)</f>
        <v>0.55720001459121704</v>
      </c>
      <c r="I34" s="241">
        <v>32743</v>
      </c>
      <c r="J34" s="128">
        <f ca="1">IF(I34,VLOOKUP(INT((NOW()-I34)/365.25),DATA!$A$2:$B$53,2,TRUE),0)</f>
        <v>1</v>
      </c>
      <c r="K34" s="169">
        <v>15</v>
      </c>
      <c r="L34" s="243">
        <v>280</v>
      </c>
      <c r="M34" s="243">
        <v>285</v>
      </c>
      <c r="N34" s="245"/>
      <c r="O34" s="173">
        <f t="shared" si="22"/>
        <v>285</v>
      </c>
      <c r="P34" s="174" t="s">
        <v>292</v>
      </c>
      <c r="Q34" s="243">
        <v>180</v>
      </c>
      <c r="R34" s="243">
        <v>185</v>
      </c>
      <c r="S34" s="246">
        <v>-190</v>
      </c>
      <c r="T34" s="173">
        <f t="shared" si="23"/>
        <v>185</v>
      </c>
      <c r="U34" s="173">
        <f t="shared" si="24"/>
        <v>470</v>
      </c>
      <c r="V34" s="243">
        <v>280</v>
      </c>
      <c r="W34" s="175"/>
      <c r="X34" s="245"/>
      <c r="Y34" s="176">
        <f t="shared" si="25"/>
        <v>280</v>
      </c>
      <c r="Z34" s="173">
        <f t="shared" ca="1" si="26"/>
        <v>750</v>
      </c>
      <c r="AA34" s="282">
        <f t="shared" ca="1" si="27"/>
        <v>417.90001094341278</v>
      </c>
      <c r="AB34" s="177">
        <f t="shared" ca="1" si="28"/>
        <v>417.90001094341278</v>
      </c>
      <c r="AC34" s="167">
        <f ca="1">OFFSET(Setup!$F$1,MATCH(D34,INDIRECT("Setup!B1:B100"),0)-1,0)</f>
        <v>2</v>
      </c>
      <c r="AD34" s="178" t="str">
        <f t="shared" ca="1" si="29"/>
        <v>1-M-BL-PL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1200000417.9000111</v>
      </c>
      <c r="AI34" s="128">
        <f t="shared" ca="1" si="30"/>
        <v>11</v>
      </c>
      <c r="AJ34" s="128">
        <f t="shared" ca="1" si="31"/>
        <v>1200</v>
      </c>
      <c r="AK34" s="128">
        <f t="shared" ca="1" si="32"/>
        <v>11</v>
      </c>
      <c r="AL34" s="128">
        <f t="shared" ca="1" si="33"/>
        <v>1</v>
      </c>
      <c r="AN34" s="180">
        <f t="shared" ca="1" si="34"/>
        <v>26</v>
      </c>
      <c r="AO34" s="180">
        <f t="shared" si="35"/>
        <v>142.69999999999999</v>
      </c>
      <c r="AP34" s="180">
        <f t="shared" ca="1" si="36"/>
        <v>1</v>
      </c>
      <c r="AQ34" s="180">
        <f t="shared" ca="1" si="37"/>
        <v>23</v>
      </c>
      <c r="AU34" s="180">
        <f t="shared" ca="1" si="38"/>
        <v>1</v>
      </c>
      <c r="AW34" s="180"/>
      <c r="AX34" s="182"/>
      <c r="AY34" s="182"/>
      <c r="AZ34" s="182"/>
      <c r="BA34" s="128">
        <f t="shared" si="39"/>
        <v>1</v>
      </c>
      <c r="BB34" s="118">
        <f t="shared" ca="1" si="40"/>
        <v>280.00119999999998</v>
      </c>
      <c r="BL34" s="118">
        <v>1</v>
      </c>
      <c r="BM34" s="118">
        <v>1</v>
      </c>
      <c r="BN34" s="118">
        <v>0</v>
      </c>
      <c r="BO34" s="183">
        <v>43155.51021990741</v>
      </c>
      <c r="BQ34" s="118">
        <v>1</v>
      </c>
      <c r="BR34" s="118">
        <v>1</v>
      </c>
      <c r="BS34" s="118">
        <v>-1</v>
      </c>
      <c r="BT34" s="183">
        <v>43155.573865740742</v>
      </c>
      <c r="BV34" s="118">
        <v>1</v>
      </c>
      <c r="BW34" s="118">
        <v>0</v>
      </c>
      <c r="BX34" s="118">
        <v>0</v>
      </c>
      <c r="BY34" s="183">
        <v>43155.622743055559</v>
      </c>
      <c r="BZ34" s="183">
        <f t="shared" ca="1" si="41"/>
        <v>43155.622743055559</v>
      </c>
      <c r="CA34" s="244">
        <v>0.64197916666666666</v>
      </c>
    </row>
    <row r="35" spans="1:79" ht="19.5" customHeight="1" x14ac:dyDescent="0.2">
      <c r="A35" s="167" t="s">
        <v>23</v>
      </c>
      <c r="B35" s="168" t="s">
        <v>273</v>
      </c>
      <c r="C35" s="168" t="s">
        <v>259</v>
      </c>
      <c r="D35" s="169" t="s">
        <v>223</v>
      </c>
      <c r="E35" s="169">
        <v>62.35</v>
      </c>
      <c r="F35" s="169">
        <f>IF(LEFT(D35,1)="M",VLOOKUP(IF($E$7="Bwt (kg)",E35,E35/2.2046),Lists!$B$16:$D$24,IF(ISERROR(FIND("J",D35)),3,2)),VLOOKUP(IF($E$7="Bwt (kg)",E35,E35/2.2046),Lists!$B$26:$D$33,IF(ISERROR(FIND("J",D35)),3,2)))</f>
        <v>63</v>
      </c>
      <c r="G35" s="169">
        <v>34</v>
      </c>
      <c r="H35" s="170">
        <f>IF(AND(VALUE(E35)&gt;0,OR(LEFT(D35,1)="M",LEFT(D35,1)="F")),IF(LEFT(D35,1)="M",Wilks_Men(IF(RIGHT($F$7,4)="(lb)",E35/2.2046,E35)),Wilks_Women(IF(RIGHT($F$7,4)="(lb)",E35/2.2046,E35))),0)</f>
        <v>1.0823999643325806</v>
      </c>
      <c r="I35" s="241">
        <v>25080</v>
      </c>
      <c r="J35" s="128">
        <f ca="1">IF(I35,VLOOKUP(INT((NOW()-I35)/365.25),DATA!$A$2:$B$53,2,TRUE),0)</f>
        <v>1.113</v>
      </c>
      <c r="K35" s="169"/>
      <c r="L35" s="172"/>
      <c r="M35" s="172"/>
      <c r="N35" s="172"/>
      <c r="O35" s="173" t="str">
        <f t="shared" si="22"/>
        <v/>
      </c>
      <c r="P35" s="174" t="s">
        <v>274</v>
      </c>
      <c r="Q35" s="243">
        <v>47.5</v>
      </c>
      <c r="R35" s="243">
        <v>50</v>
      </c>
      <c r="S35" s="246">
        <v>-52.5</v>
      </c>
      <c r="T35" s="173">
        <f t="shared" si="23"/>
        <v>50</v>
      </c>
      <c r="U35" s="173" t="str">
        <f t="shared" si="24"/>
        <v/>
      </c>
      <c r="V35" s="167"/>
      <c r="W35" s="175"/>
      <c r="X35" s="167"/>
      <c r="Y35" s="176" t="str">
        <f t="shared" si="25"/>
        <v/>
      </c>
      <c r="Z35" s="173" t="str">
        <f t="shared" ca="1" si="26"/>
        <v/>
      </c>
      <c r="AA35" s="282">
        <f t="shared" si="27"/>
        <v>54.119998216629028</v>
      </c>
      <c r="AB35" s="177">
        <f t="shared" ca="1" si="28"/>
        <v>60.235558015108111</v>
      </c>
      <c r="AC35" s="167">
        <f ca="1">OFFSET(Setup!$F$1,MATCH(D35,INDIRECT("Setup!B1:B100"),0)-1,0)</f>
        <v>2</v>
      </c>
      <c r="AD35" s="178" t="str">
        <f t="shared" ca="1" si="29"/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>
        <f t="shared" ca="1" si="30"/>
        <v>27</v>
      </c>
      <c r="AJ35" s="128">
        <f t="shared" ca="1" si="31"/>
        <v>0</v>
      </c>
      <c r="AK35" s="128">
        <f t="shared" ca="1" si="32"/>
        <v>27</v>
      </c>
      <c r="AL35" s="128">
        <f t="shared" ca="1" si="33"/>
        <v>1</v>
      </c>
      <c r="AN35" s="180" t="e">
        <f t="shared" ca="1" si="34"/>
        <v>#VALUE!</v>
      </c>
      <c r="AO35" s="180">
        <f t="shared" si="35"/>
        <v>62.35</v>
      </c>
      <c r="AP35" s="180">
        <f t="shared" ca="1" si="36"/>
        <v>32</v>
      </c>
      <c r="AQ35" s="180">
        <f t="shared" ca="1" si="37"/>
        <v>1</v>
      </c>
      <c r="AU35" s="180">
        <f t="shared" ca="1" si="38"/>
        <v>0</v>
      </c>
      <c r="AW35" s="180"/>
      <c r="AX35" s="182"/>
      <c r="AY35" s="182"/>
      <c r="AZ35" s="182"/>
      <c r="BA35" s="128">
        <f t="shared" si="39"/>
        <v>7</v>
      </c>
      <c r="BB35" s="118" t="str">
        <f t="shared" ca="1" si="40"/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1</v>
      </c>
      <c r="BS35" s="118">
        <v>-1</v>
      </c>
      <c r="BT35" s="183">
        <v>43155.448483796295</v>
      </c>
      <c r="BV35" s="118">
        <v>0</v>
      </c>
      <c r="BW35" s="118">
        <v>0</v>
      </c>
      <c r="BX35" s="118">
        <v>0</v>
      </c>
      <c r="BY35" s="183">
        <f t="shared" ref="BY35:BY42" si="42">IF(BX35=1,3,IF(BW35=1,2,IF(BV35=1,1,0)))</f>
        <v>0</v>
      </c>
      <c r="BZ35" s="183">
        <f t="shared" ca="1" si="41"/>
        <v>0</v>
      </c>
      <c r="CA35" s="244">
        <v>0.45596064814814818</v>
      </c>
    </row>
    <row r="36" spans="1:79" ht="19.5" customHeight="1" x14ac:dyDescent="0.2">
      <c r="A36" s="167" t="s">
        <v>23</v>
      </c>
      <c r="B36" s="168" t="s">
        <v>254</v>
      </c>
      <c r="C36" s="168" t="s">
        <v>183</v>
      </c>
      <c r="D36" s="169" t="s">
        <v>223</v>
      </c>
      <c r="E36" s="169">
        <v>85.4</v>
      </c>
      <c r="F36" s="169" t="str">
        <f>IF(LEFT(D36,1)="M",VLOOKUP(IF($E$7="Bwt (kg)",E36,E36/2.2046),Lists!$B$16:$D$24,IF(ISERROR(FIND("J",D36)),3,2)),VLOOKUP(IF($E$7="Bwt (kg)",E36,E36/2.2046),Lists!$B$26:$D$33,IF(ISERROR(FIND("J",D36)),3,2)))</f>
        <v>84+</v>
      </c>
      <c r="G36" s="169">
        <v>16</v>
      </c>
      <c r="H36" s="170">
        <f>IF(AND(VALUE(E36)&gt;0,OR(LEFT(D36,1)="M",LEFT(D36,1)="F")),IF(LEFT(D36,1)="M",Wilks_Men(IF(RIGHT($F$7,4)="(lb)",E36/2.2046,E36)),Wilks_Women(IF(RIGHT($F$7,4)="(lb)",E36/2.2046,E36))),0)</f>
        <v>0.88459998369216919</v>
      </c>
      <c r="I36" s="241">
        <v>31780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 t="shared" si="22"/>
        <v/>
      </c>
      <c r="P36" s="174" t="s">
        <v>270</v>
      </c>
      <c r="Q36" s="243">
        <v>60</v>
      </c>
      <c r="R36" s="243">
        <v>65</v>
      </c>
      <c r="S36" s="246">
        <v>-70</v>
      </c>
      <c r="T36" s="173">
        <f t="shared" si="23"/>
        <v>65</v>
      </c>
      <c r="U36" s="173" t="str">
        <f t="shared" si="24"/>
        <v/>
      </c>
      <c r="V36" s="167"/>
      <c r="W36" s="175"/>
      <c r="X36" s="167"/>
      <c r="Y36" s="176" t="str">
        <f t="shared" si="25"/>
        <v/>
      </c>
      <c r="Z36" s="173" t="str">
        <f t="shared" ca="1" si="26"/>
        <v/>
      </c>
      <c r="AA36" s="282">
        <f t="shared" si="27"/>
        <v>57.498998939990997</v>
      </c>
      <c r="AB36" s="177">
        <f t="shared" ca="1" si="28"/>
        <v>57.498998939990997</v>
      </c>
      <c r="AC36" s="167">
        <f ca="1">OFFSET(Setup!$F$1,MATCH(D36,INDIRECT("Setup!B1:B100"),0)-1,0)</f>
        <v>2</v>
      </c>
      <c r="AD36" s="178" t="str">
        <f t="shared" ca="1" si="29"/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>
        <f t="shared" ca="1" si="30"/>
        <v>27</v>
      </c>
      <c r="AJ36" s="128">
        <f t="shared" ca="1" si="31"/>
        <v>0</v>
      </c>
      <c r="AK36" s="128">
        <f t="shared" ca="1" si="32"/>
        <v>27</v>
      </c>
      <c r="AL36" s="128">
        <f t="shared" ca="1" si="33"/>
        <v>1</v>
      </c>
      <c r="AN36" s="180" t="e">
        <f t="shared" ca="1" si="34"/>
        <v>#VALUE!</v>
      </c>
      <c r="AO36" s="180">
        <f t="shared" si="35"/>
        <v>85.4</v>
      </c>
      <c r="AP36" s="180">
        <f t="shared" ca="1" si="36"/>
        <v>13</v>
      </c>
      <c r="AQ36" s="180">
        <f t="shared" ca="1" si="37"/>
        <v>1</v>
      </c>
      <c r="AU36" s="180">
        <f t="shared" ca="1" si="38"/>
        <v>0</v>
      </c>
      <c r="AW36" s="180"/>
      <c r="AX36" s="182"/>
      <c r="AY36" s="182"/>
      <c r="AZ36" s="182"/>
      <c r="BA36" s="128">
        <f t="shared" si="39"/>
        <v>7</v>
      </c>
      <c r="BB36" s="118" t="str">
        <f t="shared" ca="1" si="40"/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1</v>
      </c>
      <c r="BS36" s="118">
        <v>-1</v>
      </c>
      <c r="BT36" s="183">
        <v>43155.449305555558</v>
      </c>
      <c r="BV36" s="118">
        <v>0</v>
      </c>
      <c r="BW36" s="118">
        <v>0</v>
      </c>
      <c r="BX36" s="118">
        <v>0</v>
      </c>
      <c r="BY36" s="183">
        <f t="shared" si="42"/>
        <v>0</v>
      </c>
      <c r="BZ36" s="183">
        <f t="shared" ca="1" si="41"/>
        <v>0</v>
      </c>
      <c r="CA36" s="244">
        <v>0.45681712962962967</v>
      </c>
    </row>
    <row r="37" spans="1:79" ht="19.5" customHeight="1" x14ac:dyDescent="0.2">
      <c r="A37" s="167" t="s">
        <v>23</v>
      </c>
      <c r="B37" s="168" t="s">
        <v>268</v>
      </c>
      <c r="C37" s="168" t="s">
        <v>183</v>
      </c>
      <c r="D37" s="169" t="s">
        <v>223</v>
      </c>
      <c r="E37" s="169">
        <v>63.3</v>
      </c>
      <c r="F37" s="169">
        <f>IF(LEFT(D37,1)="M",VLOOKUP(IF($E$7="Bwt (kg)",E37,E37/2.2046),Lists!$B$16:$D$24,IF(ISERROR(FIND("J",D37)),3,2)),VLOOKUP(IF($E$7="Bwt (kg)",E37,E37/2.2046),Lists!$B$26:$D$33,IF(ISERROR(FIND("J",D37)),3,2)))</f>
        <v>72</v>
      </c>
      <c r="G37" s="169">
        <v>13</v>
      </c>
      <c r="H37" s="170">
        <f>IF(AND(VALUE(E37)&gt;0,OR(LEFT(D37,1)="M",LEFT(D37,1)="F")),IF(LEFT(D37,1)="M",Wilks_Men(IF(RIGHT($F$7,4)="(lb)",E37/2.2046,E37)),Wilks_Women(IF(RIGHT($F$7,4)="(lb)",E37/2.2046,E37))),0)</f>
        <v>1.070099949836731</v>
      </c>
      <c r="I37" s="241">
        <v>31989</v>
      </c>
      <c r="J37" s="128">
        <f ca="1">IF(I37,VLOOKUP(INT((NOW()-I37)/365.25),DATA!$A$2:$B$53,2,TRUE),0)</f>
        <v>1</v>
      </c>
      <c r="K37" s="169"/>
      <c r="L37" s="172"/>
      <c r="M37" s="172"/>
      <c r="N37" s="172"/>
      <c r="O37" s="173" t="str">
        <f t="shared" si="22"/>
        <v/>
      </c>
      <c r="P37" s="174" t="s">
        <v>269</v>
      </c>
      <c r="Q37" s="243">
        <v>80</v>
      </c>
      <c r="R37" s="243">
        <v>87.5</v>
      </c>
      <c r="S37" s="243">
        <v>92.5</v>
      </c>
      <c r="T37" s="173">
        <f t="shared" si="23"/>
        <v>92.5</v>
      </c>
      <c r="U37" s="173" t="str">
        <f t="shared" si="24"/>
        <v/>
      </c>
      <c r="V37" s="167"/>
      <c r="W37" s="175"/>
      <c r="X37" s="167"/>
      <c r="Y37" s="176" t="str">
        <f t="shared" si="25"/>
        <v/>
      </c>
      <c r="Z37" s="173" t="str">
        <f t="shared" ca="1" si="26"/>
        <v/>
      </c>
      <c r="AA37" s="282">
        <f t="shared" si="27"/>
        <v>98.984245359897614</v>
      </c>
      <c r="AB37" s="177">
        <f t="shared" ca="1" si="28"/>
        <v>98.984245359897614</v>
      </c>
      <c r="AC37" s="167">
        <f ca="1">OFFSET(Setup!$F$1,MATCH(D37,INDIRECT("Setup!B1:B100"),0)-1,0)</f>
        <v>2</v>
      </c>
      <c r="AD37" s="178" t="str">
        <f t="shared" ca="1" si="29"/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>
        <f t="shared" ca="1" si="30"/>
        <v>27</v>
      </c>
      <c r="AJ37" s="128">
        <f t="shared" ca="1" si="31"/>
        <v>0</v>
      </c>
      <c r="AK37" s="128">
        <f t="shared" ca="1" si="32"/>
        <v>27</v>
      </c>
      <c r="AL37" s="128">
        <f t="shared" ca="1" si="33"/>
        <v>1</v>
      </c>
      <c r="AN37" s="180" t="e">
        <f t="shared" ca="1" si="34"/>
        <v>#VALUE!</v>
      </c>
      <c r="AO37" s="180">
        <f t="shared" si="35"/>
        <v>63.3</v>
      </c>
      <c r="AP37" s="180">
        <f t="shared" ca="1" si="36"/>
        <v>29</v>
      </c>
      <c r="AQ37" s="180">
        <f t="shared" ca="1" si="37"/>
        <v>1</v>
      </c>
      <c r="AU37" s="180">
        <f t="shared" ca="1" si="38"/>
        <v>0</v>
      </c>
      <c r="AW37" s="180"/>
      <c r="AX37" s="182"/>
      <c r="AY37" s="182"/>
      <c r="AZ37" s="182"/>
      <c r="BA37" s="128">
        <f t="shared" si="39"/>
        <v>7</v>
      </c>
      <c r="BB37" s="118" t="str">
        <f t="shared" ca="1" si="40"/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1</v>
      </c>
      <c r="BT37" s="183">
        <v>43155.458854166667</v>
      </c>
      <c r="BV37" s="118">
        <v>0</v>
      </c>
      <c r="BW37" s="118">
        <v>0</v>
      </c>
      <c r="BX37" s="118">
        <v>0</v>
      </c>
      <c r="BY37" s="183">
        <f t="shared" si="42"/>
        <v>0</v>
      </c>
      <c r="BZ37" s="183">
        <f t="shared" ca="1" si="41"/>
        <v>0</v>
      </c>
      <c r="CA37" s="244">
        <v>0.45954861111111112</v>
      </c>
    </row>
    <row r="38" spans="1:79" ht="19.5" customHeight="1" x14ac:dyDescent="0.2">
      <c r="A38" s="167" t="s">
        <v>23</v>
      </c>
      <c r="B38" s="168" t="s">
        <v>264</v>
      </c>
      <c r="C38" s="168" t="s">
        <v>183</v>
      </c>
      <c r="D38" s="169" t="s">
        <v>223</v>
      </c>
      <c r="E38" s="169">
        <v>78.849999999999994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8</v>
      </c>
      <c r="H38" s="170">
        <f>IF(AND(VALUE(E38)&gt;0,OR(LEFT(D38,1)="M",LEFT(D38,1)="F")),IF(LEFT(D38,1)="M",Wilks_Men(IF(RIGHT($F$7,4)="(lb)",E38/2.2046,E38)),Wilks_Women(IF(RIGHT($F$7,4)="(lb)",E38/2.2046,E38))),0)</f>
        <v>0.92250001430511475</v>
      </c>
      <c r="I38" s="241">
        <v>34974</v>
      </c>
      <c r="J38" s="128">
        <f ca="1">IF(I38,VLOOKUP(INT((NOW()-I38)/365.25),DATA!$A$2:$B$53,2,TRUE),0)</f>
        <v>1.01</v>
      </c>
      <c r="K38" s="169"/>
      <c r="L38" s="172"/>
      <c r="M38" s="172"/>
      <c r="N38" s="172"/>
      <c r="O38" s="173" t="str">
        <f t="shared" si="22"/>
        <v/>
      </c>
      <c r="P38" s="174" t="s">
        <v>265</v>
      </c>
      <c r="Q38" s="243">
        <v>85</v>
      </c>
      <c r="R38" s="243">
        <v>90</v>
      </c>
      <c r="S38" s="243">
        <v>92.5</v>
      </c>
      <c r="T38" s="173">
        <f t="shared" si="23"/>
        <v>92.5</v>
      </c>
      <c r="U38" s="173" t="str">
        <f t="shared" si="24"/>
        <v/>
      </c>
      <c r="V38" s="167"/>
      <c r="W38" s="175"/>
      <c r="X38" s="167"/>
      <c r="Y38" s="176" t="str">
        <f t="shared" si="25"/>
        <v/>
      </c>
      <c r="Z38" s="173" t="str">
        <f t="shared" ca="1" si="26"/>
        <v/>
      </c>
      <c r="AA38" s="282">
        <f t="shared" si="27"/>
        <v>85.331251323223114</v>
      </c>
      <c r="AB38" s="177">
        <f t="shared" ca="1" si="28"/>
        <v>86.184563836455339</v>
      </c>
      <c r="AC38" s="167">
        <f ca="1">OFFSET(Setup!$F$1,MATCH(D38,INDIRECT("Setup!B1:B100"),0)-1,0)</f>
        <v>2</v>
      </c>
      <c r="AD38" s="178" t="str">
        <f t="shared" ca="1" si="29"/>
        <v/>
      </c>
      <c r="AE38" s="169" t="s">
        <v>117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0</v>
      </c>
      <c r="AI38" s="128">
        <f t="shared" ca="1" si="30"/>
        <v>27</v>
      </c>
      <c r="AJ38" s="128">
        <f t="shared" ca="1" si="31"/>
        <v>0</v>
      </c>
      <c r="AK38" s="128">
        <f t="shared" ca="1" si="32"/>
        <v>27</v>
      </c>
      <c r="AL38" s="128">
        <f t="shared" ca="1" si="33"/>
        <v>1</v>
      </c>
      <c r="AN38" s="180" t="e">
        <f t="shared" ca="1" si="34"/>
        <v>#VALUE!</v>
      </c>
      <c r="AO38" s="180">
        <f t="shared" si="35"/>
        <v>78.849999999999994</v>
      </c>
      <c r="AP38" s="180">
        <f t="shared" ca="1" si="36"/>
        <v>20</v>
      </c>
      <c r="AQ38" s="180">
        <f t="shared" ca="1" si="37"/>
        <v>1</v>
      </c>
      <c r="AU38" s="180">
        <f t="shared" ca="1" si="38"/>
        <v>0</v>
      </c>
      <c r="AW38" s="180"/>
      <c r="AX38" s="182"/>
      <c r="AY38" s="182"/>
      <c r="AZ38" s="182"/>
      <c r="BA38" s="128">
        <f t="shared" si="39"/>
        <v>7</v>
      </c>
      <c r="BB38" s="118" t="str">
        <f t="shared" ca="1" si="40"/>
        <v/>
      </c>
      <c r="BL38" s="118">
        <v>0</v>
      </c>
      <c r="BM38" s="118">
        <v>0</v>
      </c>
      <c r="BN38" s="118">
        <v>0</v>
      </c>
      <c r="BQ38" s="118">
        <v>1</v>
      </c>
      <c r="BR38" s="118">
        <v>1</v>
      </c>
      <c r="BS38" s="118">
        <v>1</v>
      </c>
      <c r="BT38" s="183">
        <v>43155.457256944443</v>
      </c>
      <c r="BV38" s="118">
        <v>0</v>
      </c>
      <c r="BW38" s="118">
        <v>0</v>
      </c>
      <c r="BX38" s="118">
        <v>0</v>
      </c>
      <c r="BY38" s="183">
        <f t="shared" si="42"/>
        <v>0</v>
      </c>
      <c r="BZ38" s="183">
        <f t="shared" ca="1" si="41"/>
        <v>0</v>
      </c>
      <c r="CA38" s="244">
        <v>0.45795138888888887</v>
      </c>
    </row>
    <row r="39" spans="1:79" ht="19.5" customHeight="1" x14ac:dyDescent="0.2">
      <c r="A39" s="167" t="s">
        <v>23</v>
      </c>
      <c r="B39" s="168" t="s">
        <v>266</v>
      </c>
      <c r="C39" s="168" t="s">
        <v>261</v>
      </c>
      <c r="D39" s="169" t="s">
        <v>223</v>
      </c>
      <c r="E39" s="169">
        <v>79.150000000000006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9</v>
      </c>
      <c r="H39" s="170">
        <f>IF(AND(VALUE(E39)&gt;0,OR(LEFT(D39,1)="M",LEFT(D39,1)="F")),IF(LEFT(D39,1)="M",Wilks_Men(IF(RIGHT($F$7,4)="(lb)",E39/2.2046,E39)),Wilks_Women(IF(RIGHT($F$7,4)="(lb)",E39/2.2046,E39))),0)</f>
        <v>0.92049998044967651</v>
      </c>
      <c r="I39" s="241">
        <v>33618</v>
      </c>
      <c r="J39" s="128">
        <f ca="1">IF(I39,VLOOKUP(INT((NOW()-I39)/365.25),DATA!$A$2:$B$53,2,TRUE),0)</f>
        <v>1</v>
      </c>
      <c r="K39" s="169"/>
      <c r="L39" s="172"/>
      <c r="M39" s="172"/>
      <c r="N39" s="172"/>
      <c r="O39" s="173" t="str">
        <f t="shared" si="22"/>
        <v/>
      </c>
      <c r="P39" s="174" t="s">
        <v>267</v>
      </c>
      <c r="Q39" s="243">
        <v>85</v>
      </c>
      <c r="R39" s="243">
        <v>90</v>
      </c>
      <c r="S39" s="246">
        <v>-92.5</v>
      </c>
      <c r="T39" s="173">
        <f t="shared" si="23"/>
        <v>90</v>
      </c>
      <c r="U39" s="173" t="str">
        <f t="shared" si="24"/>
        <v/>
      </c>
      <c r="V39" s="167"/>
      <c r="W39" s="175"/>
      <c r="X39" s="167"/>
      <c r="Y39" s="176" t="str">
        <f t="shared" si="25"/>
        <v/>
      </c>
      <c r="Z39" s="173" t="str">
        <f t="shared" ca="1" si="26"/>
        <v/>
      </c>
      <c r="AA39" s="282">
        <f t="shared" si="27"/>
        <v>82.844998240470886</v>
      </c>
      <c r="AB39" s="177">
        <f t="shared" ca="1" si="28"/>
        <v>82.844998240470886</v>
      </c>
      <c r="AC39" s="167">
        <f ca="1">OFFSET(Setup!$F$1,MATCH(D39,INDIRECT("Setup!B1:B100"),0)-1,0)</f>
        <v>2</v>
      </c>
      <c r="AD39" s="178" t="str">
        <f t="shared" ca="1" si="29"/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>
        <f t="shared" ca="1" si="30"/>
        <v>27</v>
      </c>
      <c r="AJ39" s="128">
        <f t="shared" ca="1" si="31"/>
        <v>0</v>
      </c>
      <c r="AK39" s="128">
        <f t="shared" ca="1" si="32"/>
        <v>27</v>
      </c>
      <c r="AL39" s="128">
        <f t="shared" ca="1" si="33"/>
        <v>1</v>
      </c>
      <c r="AN39" s="180" t="e">
        <f t="shared" ca="1" si="34"/>
        <v>#VALUE!</v>
      </c>
      <c r="AO39" s="180">
        <f t="shared" si="35"/>
        <v>79.150000000000006</v>
      </c>
      <c r="AP39" s="180">
        <f t="shared" ca="1" si="36"/>
        <v>19</v>
      </c>
      <c r="AQ39" s="180">
        <f t="shared" ca="1" si="37"/>
        <v>1</v>
      </c>
      <c r="AU39" s="180">
        <f t="shared" ca="1" si="38"/>
        <v>0</v>
      </c>
      <c r="AW39" s="180"/>
      <c r="AX39" s="182"/>
      <c r="AY39" s="182"/>
      <c r="AZ39" s="182"/>
      <c r="BA39" s="128">
        <f t="shared" si="39"/>
        <v>7</v>
      </c>
      <c r="BB39" s="118" t="str">
        <f t="shared" ca="1" si="40"/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-1</v>
      </c>
      <c r="BT39" s="183">
        <v>43155.451701388891</v>
      </c>
      <c r="BV39" s="118">
        <v>0</v>
      </c>
      <c r="BW39" s="118">
        <v>0</v>
      </c>
      <c r="BX39" s="118">
        <v>0</v>
      </c>
      <c r="BY39" s="183">
        <f t="shared" si="42"/>
        <v>0</v>
      </c>
      <c r="BZ39" s="183">
        <f t="shared" ca="1" si="41"/>
        <v>0</v>
      </c>
      <c r="CA39" s="244">
        <v>0.45868055555555554</v>
      </c>
    </row>
    <row r="40" spans="1:79" ht="19.5" customHeight="1" x14ac:dyDescent="0.2">
      <c r="A40" s="167" t="s">
        <v>23</v>
      </c>
      <c r="B40" s="168" t="s">
        <v>271</v>
      </c>
      <c r="C40" s="168" t="s">
        <v>183</v>
      </c>
      <c r="D40" s="169" t="s">
        <v>223</v>
      </c>
      <c r="E40" s="169">
        <v>83.85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27</v>
      </c>
      <c r="H40" s="170">
        <f>IF(AND(VALUE(E40)&gt;0,OR(LEFT(D40,1)="M",LEFT(D40,1)="F")),IF(LEFT(D40,1)="M",Wilks_Men(IF(RIGHT($F$7,4)="(lb)",E40/2.2046,E40)),Wilks_Women(IF(RIGHT($F$7,4)="(lb)",E40/2.2046,E40))),0)</f>
        <v>0.89249998331069946</v>
      </c>
      <c r="I40" s="241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 t="shared" si="22"/>
        <v/>
      </c>
      <c r="P40" s="174" t="s">
        <v>272</v>
      </c>
      <c r="Q40" s="243">
        <v>85</v>
      </c>
      <c r="R40" s="243">
        <v>90</v>
      </c>
      <c r="S40" s="243">
        <v>95</v>
      </c>
      <c r="T40" s="173">
        <f t="shared" si="23"/>
        <v>95</v>
      </c>
      <c r="U40" s="173" t="str">
        <f t="shared" si="24"/>
        <v/>
      </c>
      <c r="V40" s="167"/>
      <c r="W40" s="175"/>
      <c r="X40" s="167"/>
      <c r="Y40" s="176" t="str">
        <f t="shared" si="25"/>
        <v/>
      </c>
      <c r="Z40" s="173" t="str">
        <f t="shared" ca="1" si="26"/>
        <v/>
      </c>
      <c r="AA40" s="282">
        <f t="shared" si="27"/>
        <v>84.787498414516449</v>
      </c>
      <c r="AB40" s="177">
        <f t="shared" ca="1" si="28"/>
        <v>84.787498414516449</v>
      </c>
      <c r="AC40" s="167">
        <f ca="1">OFFSET(Setup!$F$1,MATCH(D40,INDIRECT("Setup!B1:B100"),0)-1,0)</f>
        <v>2</v>
      </c>
      <c r="AD40" s="178" t="str">
        <f t="shared" ca="1" si="29"/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>
        <f t="shared" ca="1" si="30"/>
        <v>27</v>
      </c>
      <c r="AJ40" s="128">
        <f t="shared" ca="1" si="31"/>
        <v>0</v>
      </c>
      <c r="AK40" s="128">
        <f t="shared" ca="1" si="32"/>
        <v>27</v>
      </c>
      <c r="AL40" s="128">
        <f t="shared" ca="1" si="33"/>
        <v>1</v>
      </c>
      <c r="AN40" s="180" t="e">
        <f t="shared" ca="1" si="34"/>
        <v>#VALUE!</v>
      </c>
      <c r="AO40" s="180">
        <f t="shared" si="35"/>
        <v>83.85</v>
      </c>
      <c r="AP40" s="180">
        <f t="shared" ca="1" si="36"/>
        <v>14</v>
      </c>
      <c r="AQ40" s="180">
        <f t="shared" ca="1" si="37"/>
        <v>1</v>
      </c>
      <c r="AU40" s="180">
        <f t="shared" ca="1" si="38"/>
        <v>0</v>
      </c>
      <c r="AW40" s="180"/>
      <c r="AX40" s="182"/>
      <c r="AY40" s="182"/>
      <c r="AZ40" s="182"/>
      <c r="BA40" s="128">
        <f t="shared" si="39"/>
        <v>7</v>
      </c>
      <c r="BB40" s="118" t="str">
        <f t="shared" ca="1" si="40"/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1</v>
      </c>
      <c r="BT40" s="183">
        <v>43155.459664351853</v>
      </c>
      <c r="BV40" s="118">
        <v>0</v>
      </c>
      <c r="BW40" s="118">
        <v>0</v>
      </c>
      <c r="BX40" s="118">
        <v>0</v>
      </c>
      <c r="BY40" s="183">
        <f t="shared" si="42"/>
        <v>0</v>
      </c>
      <c r="BZ40" s="183">
        <f t="shared" ca="1" si="41"/>
        <v>0</v>
      </c>
      <c r="CA40" s="244">
        <v>0.46035879629629628</v>
      </c>
    </row>
    <row r="41" spans="1:79" ht="19.5" customHeight="1" x14ac:dyDescent="0.2">
      <c r="A41" s="167" t="s">
        <v>23</v>
      </c>
      <c r="B41" s="168" t="s">
        <v>277</v>
      </c>
      <c r="C41" s="168" t="s">
        <v>183</v>
      </c>
      <c r="D41" s="169" t="s">
        <v>222</v>
      </c>
      <c r="E41" s="169">
        <v>79.7</v>
      </c>
      <c r="F41" s="169">
        <f>IF(LEFT(D41,1)="M",VLOOKUP(IF($E$7="Bwt (kg)",E41,E41/2.2046),Lists!$B$16:$D$24,IF(ISERROR(FIND("J",D41)),3,2)),VLOOKUP(IF($E$7="Bwt (kg)",E41,E41/2.2046),Lists!$B$26:$D$33,IF(ISERROR(FIND("J",D41)),3,2)))</f>
        <v>83</v>
      </c>
      <c r="G41" s="169">
        <v>29</v>
      </c>
      <c r="H41" s="170">
        <f>IF(AND(VALUE(E41)&gt;0,OR(LEFT(D41,1)="M",LEFT(D41,1)="F")),IF(LEFT(D41,1)="M",Wilks_Men(IF(RIGHT($F$7,4)="(lb)",E41/2.2046,E41)),Wilks_Women(IF(RIGHT($F$7,4)="(lb)",E41/2.2046,E41))),0)</f>
        <v>0.6843000054359436</v>
      </c>
      <c r="I41" s="241">
        <v>30579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 t="shared" si="22"/>
        <v/>
      </c>
      <c r="P41" s="174" t="s">
        <v>278</v>
      </c>
      <c r="Q41" s="243">
        <v>115</v>
      </c>
      <c r="R41" s="243">
        <v>120</v>
      </c>
      <c r="S41" s="243">
        <v>125</v>
      </c>
      <c r="T41" s="173">
        <f t="shared" si="23"/>
        <v>125</v>
      </c>
      <c r="U41" s="173" t="str">
        <f t="shared" si="24"/>
        <v/>
      </c>
      <c r="V41" s="167"/>
      <c r="W41" s="175"/>
      <c r="X41" s="167"/>
      <c r="Y41" s="176" t="str">
        <f t="shared" si="25"/>
        <v/>
      </c>
      <c r="Z41" s="173" t="str">
        <f t="shared" ca="1" si="26"/>
        <v/>
      </c>
      <c r="AA41" s="282">
        <f t="shared" si="27"/>
        <v>85.53750067949295</v>
      </c>
      <c r="AB41" s="177">
        <f t="shared" ca="1" si="28"/>
        <v>85.53750067949295</v>
      </c>
      <c r="AC41" s="167">
        <f ca="1">OFFSET(Setup!$F$1,MATCH(D41,INDIRECT("Setup!B1:B100"),0)-1,0)</f>
        <v>2</v>
      </c>
      <c r="AD41" s="178" t="str">
        <f t="shared" ca="1" si="29"/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>
        <f t="shared" ca="1" si="30"/>
        <v>27</v>
      </c>
      <c r="AJ41" s="128">
        <f t="shared" ca="1" si="31"/>
        <v>0</v>
      </c>
      <c r="AK41" s="128">
        <f t="shared" ca="1" si="32"/>
        <v>27</v>
      </c>
      <c r="AL41" s="128">
        <f t="shared" ca="1" si="33"/>
        <v>1</v>
      </c>
      <c r="AN41" s="180" t="e">
        <f t="shared" ca="1" si="34"/>
        <v>#VALUE!</v>
      </c>
      <c r="AO41" s="180">
        <f t="shared" si="35"/>
        <v>79.7</v>
      </c>
      <c r="AP41" s="180">
        <f t="shared" ca="1" si="36"/>
        <v>18</v>
      </c>
      <c r="AQ41" s="180">
        <f t="shared" ca="1" si="37"/>
        <v>1</v>
      </c>
      <c r="AU41" s="180">
        <f t="shared" ca="1" si="38"/>
        <v>0</v>
      </c>
      <c r="AW41" s="180"/>
      <c r="AX41" s="182"/>
      <c r="AY41" s="182"/>
      <c r="AZ41" s="182"/>
      <c r="BA41" s="128">
        <f t="shared" si="39"/>
        <v>7</v>
      </c>
      <c r="BB41" s="118" t="str">
        <f t="shared" ca="1" si="40"/>
        <v/>
      </c>
      <c r="BL41" s="118">
        <v>0</v>
      </c>
      <c r="BM41" s="118">
        <v>0</v>
      </c>
      <c r="BN41" s="118">
        <v>0</v>
      </c>
      <c r="BQ41" s="118">
        <v>1</v>
      </c>
      <c r="BR41" s="118">
        <v>1</v>
      </c>
      <c r="BS41" s="118">
        <v>1</v>
      </c>
      <c r="BT41" s="183">
        <v>43155.460509259261</v>
      </c>
      <c r="BV41" s="118">
        <v>0</v>
      </c>
      <c r="BW41" s="118">
        <v>0</v>
      </c>
      <c r="BX41" s="118">
        <v>0</v>
      </c>
      <c r="BY41" s="183">
        <f t="shared" si="42"/>
        <v>0</v>
      </c>
      <c r="BZ41" s="183">
        <f t="shared" ca="1" si="41"/>
        <v>0</v>
      </c>
      <c r="CA41" s="244">
        <v>0.46120370370370373</v>
      </c>
    </row>
    <row r="42" spans="1:79" ht="19.5" customHeight="1" x14ac:dyDescent="0.2">
      <c r="A42" s="167" t="s">
        <v>23</v>
      </c>
      <c r="B42" s="168" t="s">
        <v>275</v>
      </c>
      <c r="C42" s="168" t="s">
        <v>261</v>
      </c>
      <c r="D42" s="169" t="s">
        <v>222</v>
      </c>
      <c r="E42" s="169">
        <v>92.2</v>
      </c>
      <c r="F42" s="169">
        <f>IF(LEFT(D42,1)="M",VLOOKUP(IF($E$7="Bwt (kg)",E42,E42/2.2046),Lists!$B$16:$D$24,IF(ISERROR(FIND("J",D42)),3,2)),VLOOKUP(IF($E$7="Bwt (kg)",E42,E42/2.2046),Lists!$B$26:$D$33,IF(ISERROR(FIND("J",D42)),3,2)))</f>
        <v>93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0.63080000877380371</v>
      </c>
      <c r="I42" s="241">
        <v>34130</v>
      </c>
      <c r="J42" s="128">
        <f ca="1">IF(I42,VLOOKUP(INT((NOW()-I42)/365.25),DATA!$A$2:$B$53,2,TRUE),0)</f>
        <v>1</v>
      </c>
      <c r="K42" s="169"/>
      <c r="L42" s="172"/>
      <c r="M42" s="172"/>
      <c r="N42" s="172"/>
      <c r="O42" s="173" t="str">
        <f t="shared" si="22"/>
        <v/>
      </c>
      <c r="P42" s="174" t="s">
        <v>276</v>
      </c>
      <c r="Q42" s="243">
        <v>130</v>
      </c>
      <c r="R42" s="243">
        <v>135</v>
      </c>
      <c r="S42" s="243">
        <v>140</v>
      </c>
      <c r="T42" s="173">
        <f t="shared" si="23"/>
        <v>140</v>
      </c>
      <c r="U42" s="173" t="str">
        <f t="shared" si="24"/>
        <v/>
      </c>
      <c r="V42" s="167"/>
      <c r="W42" s="175"/>
      <c r="X42" s="167"/>
      <c r="Y42" s="176" t="str">
        <f t="shared" si="25"/>
        <v/>
      </c>
      <c r="Z42" s="173" t="str">
        <f t="shared" ca="1" si="26"/>
        <v/>
      </c>
      <c r="AA42" s="282">
        <f t="shared" si="27"/>
        <v>88.31200122833252</v>
      </c>
      <c r="AB42" s="177">
        <f t="shared" ca="1" si="28"/>
        <v>88.31200122833252</v>
      </c>
      <c r="AC42" s="167">
        <f ca="1">OFFSET(Setup!$F$1,MATCH(D42,INDIRECT("Setup!B1:B100"),0)-1,0)</f>
        <v>2</v>
      </c>
      <c r="AD42" s="178" t="str">
        <f t="shared" ca="1" si="29"/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>
        <f t="shared" ca="1" si="30"/>
        <v>27</v>
      </c>
      <c r="AJ42" s="128">
        <f t="shared" ca="1" si="31"/>
        <v>0</v>
      </c>
      <c r="AK42" s="128">
        <f t="shared" ca="1" si="32"/>
        <v>27</v>
      </c>
      <c r="AL42" s="128">
        <f t="shared" ca="1" si="33"/>
        <v>1</v>
      </c>
      <c r="AN42" s="180" t="e">
        <f t="shared" ca="1" si="34"/>
        <v>#VALUE!</v>
      </c>
      <c r="AO42" s="180">
        <f t="shared" si="35"/>
        <v>92.2</v>
      </c>
      <c r="AP42" s="180">
        <f t="shared" ca="1" si="36"/>
        <v>9</v>
      </c>
      <c r="AQ42" s="180">
        <f t="shared" ca="1" si="37"/>
        <v>1</v>
      </c>
      <c r="AU42" s="180">
        <f t="shared" ca="1" si="38"/>
        <v>0</v>
      </c>
      <c r="AW42" s="180"/>
      <c r="AX42" s="182"/>
      <c r="AY42" s="182"/>
      <c r="AZ42" s="182"/>
      <c r="BA42" s="128">
        <f t="shared" si="39"/>
        <v>7</v>
      </c>
      <c r="BB42" s="118" t="str">
        <f t="shared" ca="1" si="40"/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43155.461261574077</v>
      </c>
      <c r="BV42" s="118">
        <v>0</v>
      </c>
      <c r="BW42" s="118">
        <v>0</v>
      </c>
      <c r="BX42" s="118">
        <v>0</v>
      </c>
      <c r="BY42" s="183">
        <f t="shared" si="42"/>
        <v>0</v>
      </c>
      <c r="BZ42" s="183">
        <f t="shared" ca="1" si="41"/>
        <v>0</v>
      </c>
      <c r="CA42" s="244">
        <v>0.46195601851851853</v>
      </c>
    </row>
  </sheetData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70" priority="238" stopIfTrue="1">
      <formula>AND(BL8=0,COLUMN(L8)=$BD$4,ROW(L8)=$AY$5)</formula>
    </cfRule>
    <cfRule type="expression" dxfId="69" priority="239" stopIfTrue="1">
      <formula>OR(AND(BL8=1,COLUMN(L8)&lt;=$BD$4,ROW(L8)=$AY$5),AND(BL8=1,COLUMN(L8)=$BD$4,ROW(L8)&lt;=$AY$5))</formula>
    </cfRule>
  </conditionalFormatting>
  <conditionalFormatting sqref="M8:N8 R8:S8 W8:X8">
    <cfRule type="expression" dxfId="68" priority="240" stopIfTrue="1">
      <formula>AND(BM8=0,COLUMN(M8)=$BD$4,ROW(M8)=$AY$5)</formula>
    </cfRule>
    <cfRule type="expression" dxfId="67" priority="241" stopIfTrue="1">
      <formula>OR(AND(BM8=1,COLUMN(M8)&lt;=$BD$4,ROW(M8)=$AY$5),AND(BM8=1,COLUMN(M8)=$BD$4,ROW(M8)&lt;=$AY$5))</formula>
    </cfRule>
    <cfRule type="expression" dxfId="66" priority="242" stopIfTrue="1">
      <formula>AND(M8="",BL8&lt;&gt;0,$CA8&lt;&gt;0,$CA8&lt;$CA$5)</formula>
    </cfRule>
  </conditionalFormatting>
  <conditionalFormatting sqref="Z8:Z42">
    <cfRule type="expression" dxfId="65" priority="228" stopIfTrue="1">
      <formula>AND(ROW(Z8)=$AY$5)</formula>
    </cfRule>
    <cfRule type="expression" dxfId="64" priority="229" stopIfTrue="1">
      <formula>AND(AC8=1)</formula>
    </cfRule>
  </conditionalFormatting>
  <conditionalFormatting sqref="AB8">
    <cfRule type="expression" dxfId="63" priority="231" stopIfTrue="1">
      <formula>AND($AC8=3)</formula>
    </cfRule>
  </conditionalFormatting>
  <conditionalFormatting sqref="A4">
    <cfRule type="expression" dxfId="62" priority="236" stopIfTrue="1">
      <formula>ISNA(A4)</formula>
    </cfRule>
  </conditionalFormatting>
  <conditionalFormatting sqref="A8">
    <cfRule type="expression" dxfId="61" priority="232" stopIfTrue="1">
      <formula>AND(A8=RIGHT($A$7,1))</formula>
    </cfRule>
  </conditionalFormatting>
  <conditionalFormatting sqref="L7:N7 Q7:S7 V7:X7">
    <cfRule type="expression" dxfId="60" priority="234" stopIfTrue="1">
      <formula>AND(COLUMN(L7)=$BD$4)</formula>
    </cfRule>
  </conditionalFormatting>
  <conditionalFormatting sqref="K8 C8:G8 O8:O42 T8:U42 Y8:Y42">
    <cfRule type="expression" dxfId="59" priority="235" stopIfTrue="1">
      <formula>AND(ROW(C8)=$AY$5)</formula>
    </cfRule>
  </conditionalFormatting>
  <conditionalFormatting sqref="B8">
    <cfRule type="cellIs" dxfId="58" priority="252" stopIfTrue="1" operator="equal">
      <formula>$A$1</formula>
    </cfRule>
    <cfRule type="expression" dxfId="57" priority="253" stopIfTrue="1">
      <formula>AND(ROW(B8)=$AG$7)</formula>
    </cfRule>
  </conditionalFormatting>
  <conditionalFormatting sqref="AD8">
    <cfRule type="expression" dxfId="56" priority="282" stopIfTrue="1">
      <formula>AND(AJ8=$AM$5)</formula>
    </cfRule>
  </conditionalFormatting>
  <conditionalFormatting sqref="L35:L42 Q35:Q42 V35:V42">
    <cfRule type="expression" dxfId="55" priority="35" stopIfTrue="1">
      <formula>AND(BL35=0,COLUMN(L35)=$BD$4,ROW(L35)=$AY$5)</formula>
    </cfRule>
    <cfRule type="expression" dxfId="54" priority="36" stopIfTrue="1">
      <formula>OR(AND(BL35=1,COLUMN(L35)&lt;=$BD$4,ROW(L35)=$AY$5),AND(BL35=1,COLUMN(L35)=$BD$4,ROW(L35)&lt;=$AY$5))</formula>
    </cfRule>
  </conditionalFormatting>
  <conditionalFormatting sqref="M35:N42 R35:S42 W35:X42">
    <cfRule type="expression" dxfId="53" priority="37" stopIfTrue="1">
      <formula>AND(BM35=0,COLUMN(M35)=$BD$4,ROW(M35)=$AY$5)</formula>
    </cfRule>
    <cfRule type="expression" dxfId="52" priority="38" stopIfTrue="1">
      <formula>OR(AND(BM35=1,COLUMN(M35)&lt;=$BD$4,ROW(M35)=$AY$5),AND(BM35=1,COLUMN(M35)=$BD$4,ROW(M35)&lt;=$AY$5))</formula>
    </cfRule>
    <cfRule type="expression" dxfId="51" priority="39" stopIfTrue="1">
      <formula>AND(M35="",BL35&lt;&gt;0,$CA35&lt;&gt;0,$CA35&lt;$CA$5)</formula>
    </cfRule>
  </conditionalFormatting>
  <conditionalFormatting sqref="AB35:AB42">
    <cfRule type="expression" dxfId="50" priority="32" stopIfTrue="1">
      <formula>AND($AC35=3)</formula>
    </cfRule>
  </conditionalFormatting>
  <conditionalFormatting sqref="A35:A42">
    <cfRule type="expression" dxfId="49" priority="33" stopIfTrue="1">
      <formula>AND(A35=RIGHT($A$7,1))</formula>
    </cfRule>
  </conditionalFormatting>
  <conditionalFormatting sqref="K35:K42 C35:G42">
    <cfRule type="expression" dxfId="48" priority="34" stopIfTrue="1">
      <formula>AND(ROW(C35)=$AY$5)</formula>
    </cfRule>
  </conditionalFormatting>
  <conditionalFormatting sqref="AD35:AD42">
    <cfRule type="expression" dxfId="47" priority="42" stopIfTrue="1">
      <formula>AND(AJ35=$AM$5)</formula>
    </cfRule>
  </conditionalFormatting>
  <conditionalFormatting sqref="B35:B42">
    <cfRule type="cellIs" dxfId="46" priority="40" stopIfTrue="1" operator="equal">
      <formula>$A$1</formula>
    </cfRule>
    <cfRule type="expression" dxfId="45" priority="41" stopIfTrue="1">
      <formula>AND(ROW(B35)=$AG$7)</formula>
    </cfRule>
  </conditionalFormatting>
  <conditionalFormatting sqref="L23:L34 Q23:Q34 V23:V34">
    <cfRule type="expression" dxfId="44" priority="21" stopIfTrue="1">
      <formula>AND(BL23=0,COLUMN(L23)=$BD$4,ROW(L23)=$AY$5)</formula>
    </cfRule>
    <cfRule type="expression" dxfId="43" priority="22" stopIfTrue="1">
      <formula>OR(AND(BL23=1,COLUMN(L23)&lt;=$BD$4,ROW(L23)=$AY$5),AND(BL23=1,COLUMN(L23)=$BD$4,ROW(L23)&lt;=$AY$5))</formula>
    </cfRule>
  </conditionalFormatting>
  <conditionalFormatting sqref="M23:N34 R23:S34 W23:X34">
    <cfRule type="expression" dxfId="42" priority="23" stopIfTrue="1">
      <formula>AND(BM23=0,COLUMN(M23)=$BD$4,ROW(M23)=$AY$5)</formula>
    </cfRule>
    <cfRule type="expression" dxfId="41" priority="24" stopIfTrue="1">
      <formula>OR(AND(BM23=1,COLUMN(M23)&lt;=$BD$4,ROW(M23)=$AY$5),AND(BM23=1,COLUMN(M23)=$BD$4,ROW(M23)&lt;=$AY$5))</formula>
    </cfRule>
    <cfRule type="expression" dxfId="40" priority="25" stopIfTrue="1">
      <formula>AND(M23="",BL23&lt;&gt;0,$CA23&lt;&gt;0,$CA23&lt;$CA$5)</formula>
    </cfRule>
  </conditionalFormatting>
  <conditionalFormatting sqref="AB23:AB34">
    <cfRule type="expression" dxfId="39" priority="18" stopIfTrue="1">
      <formula>AND($AC23=3)</formula>
    </cfRule>
  </conditionalFormatting>
  <conditionalFormatting sqref="A23:A34">
    <cfRule type="expression" dxfId="38" priority="19" stopIfTrue="1">
      <formula>AND(A23=RIGHT($A$7,1))</formula>
    </cfRule>
  </conditionalFormatting>
  <conditionalFormatting sqref="K23:K34 C23:G34">
    <cfRule type="expression" dxfId="37" priority="20" stopIfTrue="1">
      <formula>AND(ROW(C23)=$AY$5)</formula>
    </cfRule>
  </conditionalFormatting>
  <conditionalFormatting sqref="B23:B34">
    <cfRule type="cellIs" dxfId="36" priority="26" stopIfTrue="1" operator="equal">
      <formula>$A$1</formula>
    </cfRule>
    <cfRule type="expression" dxfId="35" priority="27" stopIfTrue="1">
      <formula>AND(ROW(B23)=$AG$7)</formula>
    </cfRule>
  </conditionalFormatting>
  <conditionalFormatting sqref="AD23:AD34">
    <cfRule type="expression" dxfId="34" priority="28" stopIfTrue="1">
      <formula>AND(AJ23=$AM$5)</formula>
    </cfRule>
  </conditionalFormatting>
  <conditionalFormatting sqref="L9:L22 Q9:Q22 V9:V22">
    <cfRule type="expression" dxfId="33" priority="7" stopIfTrue="1">
      <formula>AND(BL9=0,COLUMN(L9)=$BD$4,ROW(L9)=$AY$5)</formula>
    </cfRule>
    <cfRule type="expression" dxfId="32" priority="8" stopIfTrue="1">
      <formula>OR(AND(BL9=1,COLUMN(L9)&lt;=$BD$4,ROW(L9)=$AY$5),AND(BL9=1,COLUMN(L9)=$BD$4,ROW(L9)&lt;=$AY$5))</formula>
    </cfRule>
  </conditionalFormatting>
  <conditionalFormatting sqref="M9:N22 R9:S22 W9:X22">
    <cfRule type="expression" dxfId="31" priority="9" stopIfTrue="1">
      <formula>AND(BM9=0,COLUMN(M9)=$BD$4,ROW(M9)=$AY$5)</formula>
    </cfRule>
    <cfRule type="expression" dxfId="30" priority="10" stopIfTrue="1">
      <formula>OR(AND(BM9=1,COLUMN(M9)&lt;=$BD$4,ROW(M9)=$AY$5),AND(BM9=1,COLUMN(M9)=$BD$4,ROW(M9)&lt;=$AY$5))</formula>
    </cfRule>
    <cfRule type="expression" dxfId="29" priority="11" stopIfTrue="1">
      <formula>AND(M9="",BL9&lt;&gt;0,$CA9&lt;&gt;0,$CA9&lt;$CA$5)</formula>
    </cfRule>
  </conditionalFormatting>
  <conditionalFormatting sqref="AA8:AA42">
    <cfRule type="expression" dxfId="28" priority="3" stopIfTrue="1">
      <formula>AND($AC8=2)</formula>
    </cfRule>
  </conditionalFormatting>
  <conditionalFormatting sqref="AB9:AB22">
    <cfRule type="expression" dxfId="27" priority="4" stopIfTrue="1">
      <formula>AND($AC9=3)</formula>
    </cfRule>
  </conditionalFormatting>
  <conditionalFormatting sqref="A9:A22">
    <cfRule type="expression" dxfId="26" priority="5" stopIfTrue="1">
      <formula>AND(A9=RIGHT($A$7,1))</formula>
    </cfRule>
  </conditionalFormatting>
  <conditionalFormatting sqref="K9:K22 C9:G22">
    <cfRule type="expression" dxfId="25" priority="6" stopIfTrue="1">
      <formula>AND(ROW(C9)=$AY$5)</formula>
    </cfRule>
  </conditionalFormatting>
  <conditionalFormatting sqref="B9:B22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22">
    <cfRule type="expression" dxfId="22" priority="14" stopIfTrue="1">
      <formula>AND(AJ9=$AM$5)</formula>
    </cfRule>
  </conditionalFormatting>
  <dataValidations count="14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42 V8:V42 Q8:Q42">
      <formula1>AND(MOD(L8,IF($F$2="Lb",5,2.5))=0)</formula1>
    </dataValidation>
    <dataValidation type="list" errorStyle="information" allowBlank="1" showInputMessage="1" showErrorMessage="1" sqref="AC8:AC42">
      <formula1>"1,2,3"</formula1>
    </dataValidation>
    <dataValidation type="list" allowBlank="1" showInputMessage="1" showErrorMessage="1" sqref="D8:D42">
      <formula1>INDIRECT($AS$3)</formula1>
    </dataValidation>
    <dataValidation type="list" allowBlank="1" showInputMessage="1" showErrorMessage="1" sqref="C8:C42">
      <formula1>INDIRECT($AS$4)</formula1>
    </dataValidation>
    <dataValidation type="list" allowBlank="1" showInputMessage="1" showErrorMessage="1" sqref="AC43:AC65530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42 R8:S42 W8:X42">
      <formula1>AND(M8&gt;L8,M8&gt;=ABS(L8),MOD(M8,IF($F$2="Lb",5,2.5))=0)</formula1>
    </dataValidation>
    <dataValidation type="list" allowBlank="1" showInputMessage="1" showErrorMessage="1" sqref="A8:A65530">
      <formula1>"A,B,C,D,E,F,G,H"</formula1>
    </dataValidation>
    <dataValidation type="list" allowBlank="1" showInputMessage="1" showErrorMessage="1" sqref="D5">
      <formula1>"-,A,B,C,D,E,F,G,H"</formula1>
    </dataValidation>
    <dataValidation type="list" allowBlank="1" showInputMessage="1" showErrorMessage="1" sqref="E5">
      <formula1>"-,SQ,BP,DL"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Z50"/>
  <sheetViews>
    <sheetView showGridLines="0" zoomScaleNormal="100" workbookViewId="0">
      <selection activeCell="G27" sqref="G27"/>
    </sheetView>
  </sheetViews>
  <sheetFormatPr defaultRowHeight="12.75" x14ac:dyDescent="0.2"/>
  <cols>
    <col min="1" max="1" width="1.7109375" style="204" customWidth="1"/>
    <col min="2" max="2" width="7.7109375" style="261" customWidth="1"/>
    <col min="3" max="3" width="6.85546875" style="261" customWidth="1"/>
    <col min="4" max="4" width="23.42578125" style="261" bestFit="1" customWidth="1"/>
    <col min="5" max="5" width="7.85546875" style="261" bestFit="1" customWidth="1"/>
    <col min="6" max="6" width="8.5703125" style="261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1:18" s="199" customFormat="1" ht="9" customHeight="1" x14ac:dyDescent="0.2">
      <c r="B1" s="259"/>
      <c r="C1" s="250"/>
      <c r="D1" s="250"/>
      <c r="E1" s="250"/>
      <c r="F1" s="250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1:18" ht="9" customHeight="1" x14ac:dyDescent="0.75">
      <c r="B2" s="395"/>
      <c r="C2" s="395"/>
      <c r="D2" s="395"/>
      <c r="E2" s="395"/>
      <c r="F2" s="395"/>
      <c r="G2" s="395"/>
      <c r="H2" s="396" t="str">
        <f ca="1">IF(Lifting!C2="","",CONCATENATE(ABS(Lifting!C2)," kg"))</f>
        <v>70 kg</v>
      </c>
      <c r="I2" s="396"/>
      <c r="J2" s="396"/>
      <c r="K2" s="196"/>
      <c r="O2" s="201"/>
      <c r="P2" s="202"/>
      <c r="Q2" s="203"/>
      <c r="R2" s="202"/>
    </row>
    <row r="3" spans="1:18" ht="15" customHeight="1" x14ac:dyDescent="0.75">
      <c r="B3" s="395"/>
      <c r="C3" s="395"/>
      <c r="D3" s="395"/>
      <c r="E3" s="395"/>
      <c r="F3" s="395"/>
      <c r="G3" s="395"/>
      <c r="H3" s="396"/>
      <c r="I3" s="396"/>
      <c r="J3" s="396"/>
      <c r="K3" s="196"/>
      <c r="O3" s="202"/>
      <c r="P3" s="202"/>
      <c r="Q3" s="203"/>
      <c r="R3" s="202"/>
    </row>
    <row r="4" spans="1:18" ht="9" customHeight="1" x14ac:dyDescent="0.75">
      <c r="B4" s="395"/>
      <c r="C4" s="395"/>
      <c r="D4" s="395"/>
      <c r="E4" s="395"/>
      <c r="F4" s="395"/>
      <c r="G4" s="395"/>
      <c r="H4" s="396"/>
      <c r="I4" s="396"/>
      <c r="J4" s="396"/>
      <c r="K4" s="196"/>
      <c r="O4" s="202"/>
      <c r="P4" s="202"/>
      <c r="Q4" s="203"/>
      <c r="R4" s="202"/>
    </row>
    <row r="5" spans="1:18" ht="15" customHeight="1" x14ac:dyDescent="0.75">
      <c r="B5" s="397"/>
      <c r="C5" s="397"/>
      <c r="D5" s="397"/>
      <c r="E5" s="397"/>
      <c r="F5" s="397"/>
      <c r="G5" s="397"/>
      <c r="H5" s="396"/>
      <c r="I5" s="396"/>
      <c r="J5" s="396"/>
      <c r="O5" s="202"/>
      <c r="P5" s="202"/>
      <c r="Q5" s="203"/>
      <c r="R5" s="202"/>
    </row>
    <row r="6" spans="1:18" ht="15" customHeight="1" x14ac:dyDescent="0.2">
      <c r="B6" s="397"/>
      <c r="C6" s="397"/>
      <c r="D6" s="397"/>
      <c r="E6" s="397"/>
      <c r="F6" s="397"/>
      <c r="G6" s="397"/>
      <c r="H6" s="398" t="str">
        <f ca="1">IF(Lifting!G4="","",CONCATENATE("Höjd: ",Lifting!G4))</f>
        <v>Höjd: 15</v>
      </c>
      <c r="I6" s="398"/>
      <c r="J6" s="398"/>
      <c r="K6" s="205"/>
      <c r="O6" s="206"/>
      <c r="P6" s="206"/>
      <c r="Q6" s="207"/>
      <c r="R6" s="199"/>
    </row>
    <row r="7" spans="1:18" ht="15" customHeight="1" x14ac:dyDescent="0.2">
      <c r="B7" s="399"/>
      <c r="C7" s="399"/>
      <c r="D7" s="399"/>
      <c r="E7" s="399"/>
      <c r="F7" s="399"/>
      <c r="G7" s="399"/>
      <c r="H7" s="398"/>
      <c r="I7" s="398"/>
      <c r="J7" s="398"/>
      <c r="R7" s="204"/>
    </row>
    <row r="8" spans="1:18" ht="3" customHeight="1" x14ac:dyDescent="0.25">
      <c r="B8" s="252"/>
      <c r="C8" s="260"/>
      <c r="D8" s="252"/>
      <c r="E8" s="251"/>
      <c r="F8" s="251"/>
      <c r="G8" s="209"/>
      <c r="H8" s="398"/>
      <c r="I8" s="398"/>
      <c r="J8" s="398"/>
      <c r="K8" s="210"/>
      <c r="L8" s="210"/>
      <c r="M8" s="210"/>
      <c r="N8" s="210"/>
      <c r="R8" s="204"/>
    </row>
    <row r="9" spans="1:18" ht="9" customHeight="1" x14ac:dyDescent="0.2">
      <c r="B9" s="251"/>
      <c r="C9" s="260"/>
      <c r="D9" s="251"/>
      <c r="E9" s="251"/>
      <c r="F9" s="251"/>
      <c r="G9" s="211"/>
      <c r="H9" s="211"/>
      <c r="I9" s="211"/>
      <c r="J9" s="211"/>
      <c r="K9" s="212"/>
      <c r="L9" s="212"/>
      <c r="M9" s="212"/>
      <c r="R9" s="204"/>
    </row>
    <row r="10" spans="1:18" ht="15.75" x14ac:dyDescent="0.25">
      <c r="B10" s="293" t="s">
        <v>188</v>
      </c>
      <c r="C10" s="294" t="s">
        <v>189</v>
      </c>
      <c r="D10" s="294" t="s">
        <v>190</v>
      </c>
      <c r="E10" s="294" t="s">
        <v>191</v>
      </c>
      <c r="F10" s="294" t="s">
        <v>192</v>
      </c>
      <c r="G10" s="295" t="s">
        <v>193</v>
      </c>
      <c r="H10" s="295" t="s">
        <v>194</v>
      </c>
      <c r="I10" s="295" t="s">
        <v>195</v>
      </c>
      <c r="J10" s="295" t="s">
        <v>196</v>
      </c>
      <c r="K10" s="295" t="s">
        <v>197</v>
      </c>
      <c r="L10" s="295" t="s">
        <v>198</v>
      </c>
      <c r="M10" s="295" t="s">
        <v>199</v>
      </c>
      <c r="N10" s="295" t="s">
        <v>200</v>
      </c>
      <c r="O10" s="296" t="s">
        <v>201</v>
      </c>
      <c r="P10" s="296" t="s">
        <v>202</v>
      </c>
      <c r="Q10" s="297" t="s">
        <v>186</v>
      </c>
      <c r="R10" s="204"/>
    </row>
    <row r="11" spans="1:18" ht="15.75" x14ac:dyDescent="0.25">
      <c r="A11" s="292">
        <v>9</v>
      </c>
      <c r="B11" s="298" t="str">
        <f ca="1">INDIRECT("Lifting!A"&amp;$A11)</f>
        <v>B</v>
      </c>
      <c r="C11" s="298">
        <f ca="1">INDIRECT("Lifting!G"&amp;$A11)</f>
        <v>10</v>
      </c>
      <c r="D11" s="298" t="str">
        <f ca="1">INDIRECT("Lifting!B"&amp;$A11)</f>
        <v>Frida Gustavsson</v>
      </c>
      <c r="E11" s="298" t="str">
        <f ca="1">INDIRECT("Lifting!C"&amp;$A11)</f>
        <v>SKS</v>
      </c>
      <c r="F11" s="299">
        <f ca="1">INDIRECT("Lifting!E"&amp;$A11)</f>
        <v>97.35</v>
      </c>
      <c r="G11" s="300">
        <f ca="1">IF(INDIRECT("Lifting!L"&amp;$A11)="","",ABS(INDIRECT("Lifting!L"&amp;$A11)))</f>
        <v>70</v>
      </c>
      <c r="H11" s="300">
        <f ca="1">IF(INDIRECT("Lifting!M"&amp;$A11)="","",ABS(INDIRECT("Lifting!M"&amp;$A11)))</f>
        <v>80</v>
      </c>
      <c r="I11" s="300">
        <f ca="1">IF(INDIRECT("Lifting!N"&amp;$A11)="","",ABS(INDIRECT("Lifting!N"&amp;$A11)))</f>
        <v>105</v>
      </c>
      <c r="J11" s="300">
        <f ca="1">IF(INDIRECT("Lifting!Q"&amp;$A11)="","",ABS(INDIRECT("Lifting!Q"&amp;$A11)))</f>
        <v>40</v>
      </c>
      <c r="K11" s="300">
        <f ca="1">IF(INDIRECT("Lifting!R"&amp;$A11)="","",ABS(INDIRECT("Lifting!R"&amp;$A11)))</f>
        <v>50</v>
      </c>
      <c r="L11" s="300">
        <f ca="1">IF(INDIRECT("Lifting!S"&amp;$A11)="","",ABS(INDIRECT("Lifting!S"&amp;$A11)))</f>
        <v>55</v>
      </c>
      <c r="M11" s="300">
        <f ca="1">IF(INDIRECT("Lifting!V"&amp;$A11)="","",ABS(INDIRECT("Lifting!V"&amp;$A11)))</f>
        <v>80</v>
      </c>
      <c r="N11" s="300">
        <f ca="1">IF(INDIRECT("Lifting!W"&amp;$A11)="","",ABS(INDIRECT("Lifting!W"&amp;$A11)))</f>
        <v>100</v>
      </c>
      <c r="O11" s="300">
        <f ca="1">IF(INDIRECT("Lifting!X"&amp;$A11)="","",ABS(INDIRECT("Lifting!X"&amp;$A11)))</f>
        <v>110</v>
      </c>
      <c r="P11" s="300">
        <f ca="1">IF(OR(INDIRECT("Lifting!O"&amp;$A11)&gt;0,INDIRECT("Lifting!T"&amp;$A11)&gt;0,INDIRECT("Lifting!Y"&amp;$A11)&gt;0),IF(INDIRECT("Lifting!O"&amp;$A11)="",0,INDIRECT("Lifting!O"&amp;$A11))+IF(INDIRECT("Lifting!T"&amp;$A11)="",0,INDIRECT("Lifting!T"&amp;$A11))+IF(INDIRECT("Lifting!Y"&amp;$A11)="",0,INDIRECT("Lifting!Y"&amp;$A11)),"")</f>
        <v>230</v>
      </c>
      <c r="Q11" s="301">
        <f ca="1">IF(P11="","",P11*INDIRECT("Lifting!H9"))</f>
        <v>193.08500230312347</v>
      </c>
      <c r="R11" s="204"/>
    </row>
    <row r="12" spans="1:18" ht="15" x14ac:dyDescent="0.2">
      <c r="A12" s="292">
        <v>10</v>
      </c>
      <c r="B12" s="302" t="str">
        <f t="shared" ref="B12:B22" ca="1" si="0">INDIRECT("Lifting!A"&amp;$A12)</f>
        <v>B</v>
      </c>
      <c r="C12" s="302">
        <f t="shared" ref="C12:C22" ca="1" si="1">INDIRECT("Lifting!G"&amp;$A12)</f>
        <v>33</v>
      </c>
      <c r="D12" s="302" t="str">
        <f t="shared" ref="D12:D22" ca="1" si="2">INDIRECT("Lifting!B"&amp;$A12)</f>
        <v>Cecilia Thulin</v>
      </c>
      <c r="E12" s="302" t="str">
        <f t="shared" ref="E12:E22" ca="1" si="3">INDIRECT("Lifting!C"&amp;$A12)</f>
        <v>GKK</v>
      </c>
      <c r="F12" s="303">
        <f t="shared" ref="F12:F22" ca="1" si="4">INDIRECT("Lifting!E"&amp;$A12)</f>
        <v>80.400000000000006</v>
      </c>
      <c r="G12" s="304">
        <f t="shared" ref="G12:G22" ca="1" si="5">IF(INDIRECT("Lifting!L"&amp;$A12)="","",ABS(INDIRECT("Lifting!L"&amp;$A12)))</f>
        <v>75</v>
      </c>
      <c r="H12" s="304">
        <f t="shared" ref="H12:H22" ca="1" si="6">IF(INDIRECT("Lifting!M"&amp;$A12)="","",ABS(INDIRECT("Lifting!M"&amp;$A12)))</f>
        <v>80</v>
      </c>
      <c r="I12" s="304">
        <f t="shared" ref="I12:I22" ca="1" si="7">IF(INDIRECT("Lifting!N"&amp;$A12)="","",ABS(INDIRECT("Lifting!N"&amp;$A12)))</f>
        <v>90</v>
      </c>
      <c r="J12" s="304">
        <f t="shared" ref="J12:J22" ca="1" si="8">IF(INDIRECT("Lifting!Q"&amp;$A12)="","",ABS(INDIRECT("Lifting!Q"&amp;$A12)))</f>
        <v>40</v>
      </c>
      <c r="K12" s="304">
        <f t="shared" ref="K12:K22" ca="1" si="9">IF(INDIRECT("Lifting!R"&amp;$A12)="","",ABS(INDIRECT("Lifting!R"&amp;$A12)))</f>
        <v>45</v>
      </c>
      <c r="L12" s="304">
        <f t="shared" ref="L12:L22" ca="1" si="10">IF(INDIRECT("Lifting!S"&amp;$A12)="","",ABS(INDIRECT("Lifting!S"&amp;$A12)))</f>
        <v>50</v>
      </c>
      <c r="M12" s="304">
        <f t="shared" ref="M12:M22" ca="1" si="11">IF(INDIRECT("Lifting!V"&amp;$A12)="","",ABS(INDIRECT("Lifting!V"&amp;$A12)))</f>
        <v>100</v>
      </c>
      <c r="N12" s="304">
        <f t="shared" ref="N12:N22" ca="1" si="12">IF(INDIRECT("Lifting!W"&amp;$A12)="","",ABS(INDIRECT("Lifting!W"&amp;$A12)))</f>
        <v>112.5</v>
      </c>
      <c r="O12" s="304">
        <f t="shared" ref="O12:O22" ca="1" si="13">IF(INDIRECT("Lifting!X"&amp;$A12)="","",ABS(INDIRECT("Lifting!X"&amp;$A12)))</f>
        <v>117.5</v>
      </c>
      <c r="P12" s="304">
        <f t="shared" ref="P12:P22" ca="1" si="14">IF(OR(INDIRECT("Lifting!O"&amp;$A12)&gt;0,INDIRECT("Lifting!T"&amp;$A12)&gt;0,INDIRECT("Lifting!Y"&amp;$A12)&gt;0),IF(INDIRECT("Lifting!O"&amp;$A12)="",0,INDIRECT("Lifting!O"&amp;$A12))+IF(INDIRECT("Lifting!T"&amp;$A12)="",0,INDIRECT("Lifting!T"&amp;$A12))+IF(INDIRECT("Lifting!Y"&amp;$A12)="",0,INDIRECT("Lifting!Y"&amp;$A12)),"")</f>
        <v>242.5</v>
      </c>
      <c r="Q12" s="305">
        <f t="shared" ref="Q12:Q22" ca="1" si="15">IF(P12="","",P12*INDIRECT("Lifting!H9"))</f>
        <v>203.57875242829323</v>
      </c>
      <c r="R12" s="204"/>
    </row>
    <row r="13" spans="1:18" ht="15" x14ac:dyDescent="0.2">
      <c r="A13" s="292">
        <v>11</v>
      </c>
      <c r="B13" s="302" t="str">
        <f t="shared" ca="1" si="0"/>
        <v>B</v>
      </c>
      <c r="C13" s="302">
        <f t="shared" ca="1" si="1"/>
        <v>14</v>
      </c>
      <c r="D13" s="302" t="str">
        <f t="shared" ca="1" si="2"/>
        <v>Elsa Karlsson</v>
      </c>
      <c r="E13" s="302" t="str">
        <f t="shared" ca="1" si="3"/>
        <v>SKS</v>
      </c>
      <c r="F13" s="303">
        <f t="shared" ca="1" si="4"/>
        <v>61.3</v>
      </c>
      <c r="G13" s="304">
        <f t="shared" ca="1" si="5"/>
        <v>80</v>
      </c>
      <c r="H13" s="304">
        <f t="shared" ca="1" si="6"/>
        <v>85</v>
      </c>
      <c r="I13" s="304">
        <f t="shared" ca="1" si="7"/>
        <v>92.5</v>
      </c>
      <c r="J13" s="304">
        <f t="shared" ca="1" si="8"/>
        <v>75</v>
      </c>
      <c r="K13" s="304">
        <f t="shared" ca="1" si="9"/>
        <v>80</v>
      </c>
      <c r="L13" s="304">
        <f t="shared" ca="1" si="10"/>
        <v>82.5</v>
      </c>
      <c r="M13" s="304">
        <f t="shared" ca="1" si="11"/>
        <v>100</v>
      </c>
      <c r="N13" s="304">
        <f t="shared" ca="1" si="12"/>
        <v>105</v>
      </c>
      <c r="O13" s="304">
        <f t="shared" ca="1" si="13"/>
        <v>110</v>
      </c>
      <c r="P13" s="304">
        <f t="shared" ca="1" si="14"/>
        <v>285</v>
      </c>
      <c r="Q13" s="305">
        <f t="shared" ca="1" si="15"/>
        <v>239.25750285387039</v>
      </c>
      <c r="R13" s="204"/>
    </row>
    <row r="14" spans="1:18" ht="15" x14ac:dyDescent="0.2">
      <c r="A14" s="292">
        <v>12</v>
      </c>
      <c r="B14" s="302" t="str">
        <f t="shared" ca="1" si="0"/>
        <v>B</v>
      </c>
      <c r="C14" s="302">
        <f t="shared" ca="1" si="1"/>
        <v>19</v>
      </c>
      <c r="D14" s="302" t="str">
        <f t="shared" ca="1" si="2"/>
        <v>Filip Landström</v>
      </c>
      <c r="E14" s="302" t="str">
        <f t="shared" ca="1" si="3"/>
        <v>MAK</v>
      </c>
      <c r="F14" s="303">
        <f t="shared" ca="1" si="4"/>
        <v>86.45</v>
      </c>
      <c r="G14" s="304">
        <f t="shared" ca="1" si="5"/>
        <v>90</v>
      </c>
      <c r="H14" s="304">
        <f t="shared" ca="1" si="6"/>
        <v>100</v>
      </c>
      <c r="I14" s="304">
        <f t="shared" ca="1" si="7"/>
        <v>100</v>
      </c>
      <c r="J14" s="304">
        <f t="shared" ca="1" si="8"/>
        <v>60</v>
      </c>
      <c r="K14" s="304">
        <f t="shared" ca="1" si="9"/>
        <v>70</v>
      </c>
      <c r="L14" s="304">
        <f t="shared" ca="1" si="10"/>
        <v>75</v>
      </c>
      <c r="M14" s="304">
        <f t="shared" ca="1" si="11"/>
        <v>100</v>
      </c>
      <c r="N14" s="304">
        <f t="shared" ca="1" si="12"/>
        <v>120</v>
      </c>
      <c r="O14" s="304">
        <f t="shared" ca="1" si="13"/>
        <v>140</v>
      </c>
      <c r="P14" s="304">
        <f t="shared" ca="1" si="14"/>
        <v>315</v>
      </c>
      <c r="Q14" s="305">
        <f t="shared" ca="1" si="15"/>
        <v>264.4425031542778</v>
      </c>
      <c r="R14" s="204"/>
    </row>
    <row r="15" spans="1:18" ht="15" x14ac:dyDescent="0.2">
      <c r="A15" s="292">
        <v>13</v>
      </c>
      <c r="B15" s="302" t="str">
        <f t="shared" ca="1" si="0"/>
        <v>B</v>
      </c>
      <c r="C15" s="302">
        <f t="shared" ca="1" si="1"/>
        <v>1</v>
      </c>
      <c r="D15" s="302" t="str">
        <f t="shared" ca="1" si="2"/>
        <v>Nathalie Pahlenstam</v>
      </c>
      <c r="E15" s="302" t="str">
        <f t="shared" ca="1" si="3"/>
        <v>GKK</v>
      </c>
      <c r="F15" s="303">
        <f t="shared" ca="1" si="4"/>
        <v>58.2</v>
      </c>
      <c r="G15" s="304">
        <f t="shared" ca="1" si="5"/>
        <v>100</v>
      </c>
      <c r="H15" s="304">
        <f t="shared" ca="1" si="6"/>
        <v>110</v>
      </c>
      <c r="I15" s="304">
        <f t="shared" ca="1" si="7"/>
        <v>112.5</v>
      </c>
      <c r="J15" s="304">
        <f t="shared" ca="1" si="8"/>
        <v>67.5</v>
      </c>
      <c r="K15" s="304">
        <f t="shared" ca="1" si="9"/>
        <v>70</v>
      </c>
      <c r="L15" s="304">
        <f t="shared" ca="1" si="10"/>
        <v>75</v>
      </c>
      <c r="M15" s="304">
        <f t="shared" ca="1" si="11"/>
        <v>130</v>
      </c>
      <c r="N15" s="304">
        <f t="shared" ca="1" si="12"/>
        <v>140</v>
      </c>
      <c r="O15" s="304">
        <f t="shared" ca="1" si="13"/>
        <v>150</v>
      </c>
      <c r="P15" s="304">
        <f t="shared" ca="1" si="14"/>
        <v>335</v>
      </c>
      <c r="Q15" s="305">
        <f t="shared" ca="1" si="15"/>
        <v>281.23250335454941</v>
      </c>
      <c r="R15" s="204"/>
    </row>
    <row r="16" spans="1:18" ht="15" x14ac:dyDescent="0.2">
      <c r="A16" s="292">
        <v>14</v>
      </c>
      <c r="B16" s="302" t="str">
        <f t="shared" ca="1" si="0"/>
        <v>B</v>
      </c>
      <c r="C16" s="302">
        <f t="shared" ca="1" si="1"/>
        <v>11</v>
      </c>
      <c r="D16" s="302" t="str">
        <f t="shared" ca="1" si="2"/>
        <v>Ronja Andersson</v>
      </c>
      <c r="E16" s="302" t="str">
        <f t="shared" ca="1" si="3"/>
        <v>MAK</v>
      </c>
      <c r="F16" s="303">
        <f t="shared" ca="1" si="4"/>
        <v>62.55</v>
      </c>
      <c r="G16" s="304">
        <f t="shared" ca="1" si="5"/>
        <v>100</v>
      </c>
      <c r="H16" s="304">
        <f t="shared" ca="1" si="6"/>
        <v>110</v>
      </c>
      <c r="I16" s="304" t="str">
        <f t="shared" ca="1" si="7"/>
        <v/>
      </c>
      <c r="J16" s="304">
        <f t="shared" ca="1" si="8"/>
        <v>60</v>
      </c>
      <c r="K16" s="304">
        <f t="shared" ca="1" si="9"/>
        <v>65</v>
      </c>
      <c r="L16" s="304">
        <f t="shared" ca="1" si="10"/>
        <v>67.5</v>
      </c>
      <c r="M16" s="304">
        <f t="shared" ca="1" si="11"/>
        <v>120</v>
      </c>
      <c r="N16" s="304">
        <f t="shared" ca="1" si="12"/>
        <v>130</v>
      </c>
      <c r="O16" s="304" t="str">
        <f t="shared" ca="1" si="13"/>
        <v/>
      </c>
      <c r="P16" s="304">
        <f t="shared" ca="1" si="14"/>
        <v>307.5</v>
      </c>
      <c r="Q16" s="305">
        <f t="shared" ca="1" si="15"/>
        <v>258.14625307917595</v>
      </c>
      <c r="R16" s="204"/>
    </row>
    <row r="17" spans="1:18" ht="15" x14ac:dyDescent="0.2">
      <c r="A17" s="292">
        <v>15</v>
      </c>
      <c r="B17" s="302" t="str">
        <f t="shared" ca="1" si="0"/>
        <v>B</v>
      </c>
      <c r="C17" s="302">
        <f t="shared" ca="1" si="1"/>
        <v>21</v>
      </c>
      <c r="D17" s="302" t="str">
        <f t="shared" ca="1" si="2"/>
        <v>Simon Andersson</v>
      </c>
      <c r="E17" s="302" t="str">
        <f t="shared" ca="1" si="3"/>
        <v>MAK</v>
      </c>
      <c r="F17" s="303">
        <f t="shared" ca="1" si="4"/>
        <v>81.7</v>
      </c>
      <c r="G17" s="304">
        <f t="shared" ca="1" si="5"/>
        <v>110</v>
      </c>
      <c r="H17" s="304">
        <f t="shared" ca="1" si="6"/>
        <v>115</v>
      </c>
      <c r="I17" s="304">
        <f t="shared" ca="1" si="7"/>
        <v>125</v>
      </c>
      <c r="J17" s="304">
        <f t="shared" ca="1" si="8"/>
        <v>100</v>
      </c>
      <c r="K17" s="304">
        <f t="shared" ca="1" si="9"/>
        <v>105</v>
      </c>
      <c r="L17" s="304">
        <f t="shared" ca="1" si="10"/>
        <v>110</v>
      </c>
      <c r="M17" s="304">
        <f t="shared" ca="1" si="11"/>
        <v>150</v>
      </c>
      <c r="N17" s="304">
        <f t="shared" ca="1" si="12"/>
        <v>180</v>
      </c>
      <c r="O17" s="304">
        <f t="shared" ca="1" si="13"/>
        <v>200</v>
      </c>
      <c r="P17" s="304">
        <f t="shared" ca="1" si="14"/>
        <v>435</v>
      </c>
      <c r="Q17" s="305">
        <f t="shared" ca="1" si="15"/>
        <v>365.18250435590744</v>
      </c>
      <c r="R17" s="204"/>
    </row>
    <row r="18" spans="1:18" ht="15" x14ac:dyDescent="0.2">
      <c r="A18" s="292">
        <v>16</v>
      </c>
      <c r="B18" s="302" t="str">
        <f t="shared" ca="1" si="0"/>
        <v>B</v>
      </c>
      <c r="C18" s="302">
        <f t="shared" ca="1" si="1"/>
        <v>22</v>
      </c>
      <c r="D18" s="302" t="str">
        <f t="shared" ca="1" si="2"/>
        <v>Emma Giaever</v>
      </c>
      <c r="E18" s="302" t="str">
        <f t="shared" ca="1" si="3"/>
        <v>SKS</v>
      </c>
      <c r="F18" s="303">
        <f t="shared" ca="1" si="4"/>
        <v>89.15</v>
      </c>
      <c r="G18" s="304">
        <f t="shared" ca="1" si="5"/>
        <v>110</v>
      </c>
      <c r="H18" s="304">
        <f t="shared" ca="1" si="6"/>
        <v>120</v>
      </c>
      <c r="I18" s="304">
        <f t="shared" ca="1" si="7"/>
        <v>127.5</v>
      </c>
      <c r="J18" s="304">
        <f t="shared" ca="1" si="8"/>
        <v>70</v>
      </c>
      <c r="K18" s="304">
        <f t="shared" ca="1" si="9"/>
        <v>80</v>
      </c>
      <c r="L18" s="304">
        <f t="shared" ca="1" si="10"/>
        <v>85</v>
      </c>
      <c r="M18" s="304">
        <f t="shared" ca="1" si="11"/>
        <v>120</v>
      </c>
      <c r="N18" s="304">
        <f t="shared" ca="1" si="12"/>
        <v>140</v>
      </c>
      <c r="O18" s="304">
        <f t="shared" ca="1" si="13"/>
        <v>150</v>
      </c>
      <c r="P18" s="304">
        <f t="shared" ca="1" si="14"/>
        <v>340</v>
      </c>
      <c r="Q18" s="305">
        <f t="shared" ca="1" si="15"/>
        <v>285.43000340461731</v>
      </c>
      <c r="R18" s="204"/>
    </row>
    <row r="19" spans="1:18" ht="15" x14ac:dyDescent="0.2">
      <c r="A19" s="292">
        <v>17</v>
      </c>
      <c r="B19" s="302" t="str">
        <f t="shared" ca="1" si="0"/>
        <v>B</v>
      </c>
      <c r="C19" s="302">
        <f t="shared" ca="1" si="1"/>
        <v>25</v>
      </c>
      <c r="D19" s="302" t="str">
        <f t="shared" ca="1" si="2"/>
        <v>Isabelle Karlsson</v>
      </c>
      <c r="E19" s="302" t="str">
        <f t="shared" ca="1" si="3"/>
        <v>GKK</v>
      </c>
      <c r="F19" s="303">
        <f t="shared" ca="1" si="4"/>
        <v>63</v>
      </c>
      <c r="G19" s="304">
        <f t="shared" ca="1" si="5"/>
        <v>115</v>
      </c>
      <c r="H19" s="304">
        <f t="shared" ca="1" si="6"/>
        <v>120</v>
      </c>
      <c r="I19" s="304">
        <f t="shared" ca="1" si="7"/>
        <v>122.5</v>
      </c>
      <c r="J19" s="304">
        <f t="shared" ca="1" si="8"/>
        <v>65</v>
      </c>
      <c r="K19" s="304">
        <f t="shared" ca="1" si="9"/>
        <v>67.5</v>
      </c>
      <c r="L19" s="304">
        <f t="shared" ca="1" si="10"/>
        <v>70</v>
      </c>
      <c r="M19" s="304">
        <f t="shared" ca="1" si="11"/>
        <v>150</v>
      </c>
      <c r="N19" s="304">
        <f t="shared" ca="1" si="12"/>
        <v>162.5</v>
      </c>
      <c r="O19" s="304">
        <f t="shared" ca="1" si="13"/>
        <v>162.5</v>
      </c>
      <c r="P19" s="304">
        <f t="shared" ca="1" si="14"/>
        <v>350</v>
      </c>
      <c r="Q19" s="305">
        <f t="shared" ca="1" si="15"/>
        <v>293.82500350475311</v>
      </c>
      <c r="R19" s="204"/>
    </row>
    <row r="20" spans="1:18" ht="15" x14ac:dyDescent="0.2">
      <c r="A20" s="292">
        <v>18</v>
      </c>
      <c r="B20" s="302" t="str">
        <f t="shared" ca="1" si="0"/>
        <v>B</v>
      </c>
      <c r="C20" s="302">
        <f t="shared" ca="1" si="1"/>
        <v>15</v>
      </c>
      <c r="D20" s="302" t="str">
        <f t="shared" ca="1" si="2"/>
        <v>Caroline Sandberg</v>
      </c>
      <c r="E20" s="302" t="str">
        <f t="shared" ca="1" si="3"/>
        <v>GKK</v>
      </c>
      <c r="F20" s="303">
        <f t="shared" ca="1" si="4"/>
        <v>70.55</v>
      </c>
      <c r="G20" s="304">
        <f t="shared" ca="1" si="5"/>
        <v>125</v>
      </c>
      <c r="H20" s="304">
        <f t="shared" ca="1" si="6"/>
        <v>130</v>
      </c>
      <c r="I20" s="304">
        <f t="shared" ca="1" si="7"/>
        <v>135</v>
      </c>
      <c r="J20" s="304">
        <f t="shared" ca="1" si="8"/>
        <v>67.5</v>
      </c>
      <c r="K20" s="304">
        <f t="shared" ca="1" si="9"/>
        <v>72.5</v>
      </c>
      <c r="L20" s="304">
        <f t="shared" ca="1" si="10"/>
        <v>77.5</v>
      </c>
      <c r="M20" s="304">
        <f t="shared" ca="1" si="11"/>
        <v>140</v>
      </c>
      <c r="N20" s="304">
        <f t="shared" ca="1" si="12"/>
        <v>150</v>
      </c>
      <c r="O20" s="304">
        <f t="shared" ca="1" si="13"/>
        <v>160</v>
      </c>
      <c r="P20" s="304">
        <f t="shared" ca="1" si="14"/>
        <v>352.5</v>
      </c>
      <c r="Q20" s="305">
        <f t="shared" ca="1" si="15"/>
        <v>295.92375352978706</v>
      </c>
      <c r="R20" s="204"/>
    </row>
    <row r="21" spans="1:18" ht="15" x14ac:dyDescent="0.2">
      <c r="A21" s="292">
        <v>19</v>
      </c>
      <c r="B21" s="302" t="str">
        <f t="shared" ca="1" si="0"/>
        <v>B</v>
      </c>
      <c r="C21" s="302">
        <f t="shared" ca="1" si="1"/>
        <v>6</v>
      </c>
      <c r="D21" s="302" t="str">
        <f t="shared" ca="1" si="2"/>
        <v>Johanna Wallberg</v>
      </c>
      <c r="E21" s="302" t="str">
        <f t="shared" ca="1" si="3"/>
        <v>GKK</v>
      </c>
      <c r="F21" s="303">
        <f t="shared" ca="1" si="4"/>
        <v>72.3</v>
      </c>
      <c r="G21" s="304">
        <f t="shared" ca="1" si="5"/>
        <v>130</v>
      </c>
      <c r="H21" s="304">
        <f t="shared" ca="1" si="6"/>
        <v>145</v>
      </c>
      <c r="I21" s="304">
        <f t="shared" ca="1" si="7"/>
        <v>155</v>
      </c>
      <c r="J21" s="304">
        <f t="shared" ca="1" si="8"/>
        <v>60</v>
      </c>
      <c r="K21" s="304">
        <f t="shared" ca="1" si="9"/>
        <v>65</v>
      </c>
      <c r="L21" s="304">
        <f t="shared" ca="1" si="10"/>
        <v>70</v>
      </c>
      <c r="M21" s="304">
        <f t="shared" ca="1" si="11"/>
        <v>120</v>
      </c>
      <c r="N21" s="304">
        <f t="shared" ca="1" si="12"/>
        <v>130</v>
      </c>
      <c r="O21" s="304">
        <f t="shared" ca="1" si="13"/>
        <v>135</v>
      </c>
      <c r="P21" s="304">
        <f t="shared" ca="1" si="14"/>
        <v>340</v>
      </c>
      <c r="Q21" s="305">
        <f t="shared" ca="1" si="15"/>
        <v>285.43000340461731</v>
      </c>
      <c r="R21" s="204"/>
    </row>
    <row r="22" spans="1:18" ht="15" x14ac:dyDescent="0.2">
      <c r="A22" s="292">
        <v>20</v>
      </c>
      <c r="B22" s="302" t="str">
        <f t="shared" ca="1" si="0"/>
        <v>B</v>
      </c>
      <c r="C22" s="302">
        <f t="shared" ca="1" si="1"/>
        <v>30</v>
      </c>
      <c r="D22" s="302" t="str">
        <f t="shared" ca="1" si="2"/>
        <v>Jenny Bohlin</v>
      </c>
      <c r="E22" s="302" t="str">
        <f t="shared" ca="1" si="3"/>
        <v>MAK</v>
      </c>
      <c r="F22" s="303">
        <f t="shared" ca="1" si="4"/>
        <v>75.599999999999994</v>
      </c>
      <c r="G22" s="304">
        <f t="shared" ca="1" si="5"/>
        <v>160</v>
      </c>
      <c r="H22" s="304">
        <f t="shared" ca="1" si="6"/>
        <v>170</v>
      </c>
      <c r="I22" s="304" t="str">
        <f t="shared" ca="1" si="7"/>
        <v/>
      </c>
      <c r="J22" s="304">
        <f t="shared" ca="1" si="8"/>
        <v>60</v>
      </c>
      <c r="K22" s="304">
        <f t="shared" ca="1" si="9"/>
        <v>62.5</v>
      </c>
      <c r="L22" s="304">
        <f t="shared" ca="1" si="10"/>
        <v>65</v>
      </c>
      <c r="M22" s="304">
        <f t="shared" ca="1" si="11"/>
        <v>160</v>
      </c>
      <c r="N22" s="304">
        <f t="shared" ca="1" si="12"/>
        <v>167.5</v>
      </c>
      <c r="O22" s="304">
        <f t="shared" ca="1" si="13"/>
        <v>175</v>
      </c>
      <c r="P22" s="304">
        <f t="shared" ca="1" si="14"/>
        <v>410</v>
      </c>
      <c r="Q22" s="305">
        <f t="shared" ca="1" si="15"/>
        <v>344.19500410556793</v>
      </c>
      <c r="R22" s="204"/>
    </row>
    <row r="23" spans="1:18" ht="15" x14ac:dyDescent="0.2">
      <c r="A23" s="292">
        <v>21</v>
      </c>
      <c r="B23" s="302" t="str">
        <f t="shared" ref="B23:B36" ca="1" si="16">INDIRECT("Lifting!A"&amp;$A23)</f>
        <v>C</v>
      </c>
      <c r="C23" s="302">
        <f t="shared" ref="C23:C36" ca="1" si="17">INDIRECT("Lifting!G"&amp;$A23)</f>
        <v>31</v>
      </c>
      <c r="D23" s="302" t="str">
        <f t="shared" ref="D23:D36" ca="1" si="18">INDIRECT("Lifting!B"&amp;$A23)</f>
        <v>Philip Torgersson</v>
      </c>
      <c r="E23" s="302" t="str">
        <f t="shared" ref="E23:E36" ca="1" si="19">INDIRECT("Lifting!C"&amp;$A23)</f>
        <v>MAK</v>
      </c>
      <c r="F23" s="303">
        <f t="shared" ref="F23:F36" ca="1" si="20">INDIRECT("Lifting!E"&amp;$A23)</f>
        <v>96.05</v>
      </c>
      <c r="G23" s="304">
        <f t="shared" ref="G23:G36" ca="1" si="21">IF(INDIRECT("Lifting!L"&amp;$A23)="","",ABS(INDIRECT("Lifting!L"&amp;$A23)))</f>
        <v>145</v>
      </c>
      <c r="H23" s="304">
        <f t="shared" ref="H23:H36" ca="1" si="22">IF(INDIRECT("Lifting!M"&amp;$A23)="","",ABS(INDIRECT("Lifting!M"&amp;$A23)))</f>
        <v>155</v>
      </c>
      <c r="I23" s="304">
        <f t="shared" ref="I23:I36" ca="1" si="23">IF(INDIRECT("Lifting!N"&amp;$A23)="","",ABS(INDIRECT("Lifting!N"&amp;$A23)))</f>
        <v>170</v>
      </c>
      <c r="J23" s="304">
        <f t="shared" ref="J23:J36" ca="1" si="24">IF(INDIRECT("Lifting!Q"&amp;$A23)="","",ABS(INDIRECT("Lifting!Q"&amp;$A23)))</f>
        <v>120</v>
      </c>
      <c r="K23" s="304">
        <f t="shared" ref="K23:K36" ca="1" si="25">IF(INDIRECT("Lifting!R"&amp;$A23)="","",ABS(INDIRECT("Lifting!R"&amp;$A23)))</f>
        <v>130</v>
      </c>
      <c r="L23" s="304">
        <f t="shared" ref="L23:L36" ca="1" si="26">IF(INDIRECT("Lifting!S"&amp;$A23)="","",ABS(INDIRECT("Lifting!S"&amp;$A23)))</f>
        <v>140</v>
      </c>
      <c r="M23" s="304">
        <f t="shared" ref="M23:M36" ca="1" si="27">IF(INDIRECT("Lifting!V"&amp;$A23)="","",ABS(INDIRECT("Lifting!V"&amp;$A23)))</f>
        <v>190</v>
      </c>
      <c r="N23" s="304">
        <f t="shared" ref="N23:N36" ca="1" si="28">IF(INDIRECT("Lifting!W"&amp;$A23)="","",ABS(INDIRECT("Lifting!W"&amp;$A23)))</f>
        <v>210</v>
      </c>
      <c r="O23" s="304">
        <f t="shared" ref="O23:O36" ca="1" si="29">IF(INDIRECT("Lifting!X"&amp;$A23)="","",ABS(INDIRECT("Lifting!X"&amp;$A23)))</f>
        <v>230</v>
      </c>
      <c r="P23" s="304">
        <f t="shared" ref="P23:P36" ca="1" si="30">IF(OR(INDIRECT("Lifting!O"&amp;$A23)&gt;0,INDIRECT("Lifting!T"&amp;$A23)&gt;0,INDIRECT("Lifting!Y"&amp;$A23)&gt;0),IF(INDIRECT("Lifting!O"&amp;$A23)="",0,INDIRECT("Lifting!O"&amp;$A23))+IF(INDIRECT("Lifting!T"&amp;$A23)="",0,INDIRECT("Lifting!T"&amp;$A23))+IF(INDIRECT("Lifting!Y"&amp;$A23)="",0,INDIRECT("Lifting!Y"&amp;$A23)),"")</f>
        <v>540</v>
      </c>
      <c r="Q23" s="305">
        <f t="shared" ref="Q23:Q36" ca="1" si="31">IF(P23="","",P23*INDIRECT("Lifting!H9"))</f>
        <v>453.33000540733337</v>
      </c>
      <c r="R23" s="204"/>
    </row>
    <row r="24" spans="1:18" ht="15" x14ac:dyDescent="0.2">
      <c r="A24" s="292">
        <v>22</v>
      </c>
      <c r="B24" s="302" t="str">
        <f t="shared" ca="1" si="16"/>
        <v>C</v>
      </c>
      <c r="C24" s="302">
        <f t="shared" ca="1" si="17"/>
        <v>7</v>
      </c>
      <c r="D24" s="302" t="str">
        <f t="shared" ca="1" si="18"/>
        <v>Viktor Mattsson</v>
      </c>
      <c r="E24" s="302" t="str">
        <f t="shared" ca="1" si="19"/>
        <v>GKK</v>
      </c>
      <c r="F24" s="303">
        <f t="shared" ca="1" si="20"/>
        <v>75.599999999999994</v>
      </c>
      <c r="G24" s="304">
        <f t="shared" ca="1" si="21"/>
        <v>147.5</v>
      </c>
      <c r="H24" s="304">
        <f t="shared" ca="1" si="22"/>
        <v>157.5</v>
      </c>
      <c r="I24" s="304">
        <f t="shared" ca="1" si="23"/>
        <v>162.5</v>
      </c>
      <c r="J24" s="304">
        <f t="shared" ca="1" si="24"/>
        <v>95</v>
      </c>
      <c r="K24" s="304">
        <f t="shared" ca="1" si="25"/>
        <v>100</v>
      </c>
      <c r="L24" s="304">
        <f t="shared" ca="1" si="26"/>
        <v>105</v>
      </c>
      <c r="M24" s="304">
        <f t="shared" ca="1" si="27"/>
        <v>195</v>
      </c>
      <c r="N24" s="304">
        <f t="shared" ca="1" si="28"/>
        <v>210</v>
      </c>
      <c r="O24" s="304">
        <f t="shared" ca="1" si="29"/>
        <v>210</v>
      </c>
      <c r="P24" s="304">
        <f t="shared" ca="1" si="30"/>
        <v>477.5</v>
      </c>
      <c r="Q24" s="305">
        <f t="shared" ca="1" si="31"/>
        <v>400.8612547814846</v>
      </c>
      <c r="R24" s="204"/>
    </row>
    <row r="25" spans="1:18" ht="15" x14ac:dyDescent="0.2">
      <c r="A25" s="292">
        <v>23</v>
      </c>
      <c r="B25" s="302" t="str">
        <f t="shared" ca="1" si="16"/>
        <v>C</v>
      </c>
      <c r="C25" s="302">
        <f t="shared" ca="1" si="17"/>
        <v>32</v>
      </c>
      <c r="D25" s="302" t="str">
        <f t="shared" ca="1" si="18"/>
        <v>Kennedy Wandera</v>
      </c>
      <c r="E25" s="302" t="str">
        <f t="shared" ca="1" si="19"/>
        <v>GKK</v>
      </c>
      <c r="F25" s="303">
        <f t="shared" ca="1" si="20"/>
        <v>81.7</v>
      </c>
      <c r="G25" s="304">
        <f t="shared" ca="1" si="21"/>
        <v>150</v>
      </c>
      <c r="H25" s="304">
        <f t="shared" ca="1" si="22"/>
        <v>160</v>
      </c>
      <c r="I25" s="304">
        <f t="shared" ca="1" si="23"/>
        <v>160</v>
      </c>
      <c r="J25" s="304">
        <f t="shared" ca="1" si="24"/>
        <v>100</v>
      </c>
      <c r="K25" s="304">
        <f t="shared" ca="1" si="25"/>
        <v>110</v>
      </c>
      <c r="L25" s="304">
        <f t="shared" ca="1" si="26"/>
        <v>115</v>
      </c>
      <c r="M25" s="304">
        <f t="shared" ca="1" si="27"/>
        <v>230</v>
      </c>
      <c r="N25" s="304">
        <f t="shared" ca="1" si="28"/>
        <v>245</v>
      </c>
      <c r="O25" s="304">
        <f t="shared" ca="1" si="29"/>
        <v>255</v>
      </c>
      <c r="P25" s="304">
        <f t="shared" ca="1" si="30"/>
        <v>515</v>
      </c>
      <c r="Q25" s="305">
        <f t="shared" ca="1" si="31"/>
        <v>432.34250515699387</v>
      </c>
      <c r="R25" s="204"/>
    </row>
    <row r="26" spans="1:18" ht="15" x14ac:dyDescent="0.2">
      <c r="A26" s="292">
        <v>24</v>
      </c>
      <c r="B26" s="302" t="str">
        <f t="shared" ca="1" si="16"/>
        <v>C</v>
      </c>
      <c r="C26" s="302">
        <f t="shared" ca="1" si="17"/>
        <v>2</v>
      </c>
      <c r="D26" s="302" t="str">
        <f t="shared" ca="1" si="18"/>
        <v>Magnus Carlsson</v>
      </c>
      <c r="E26" s="302" t="str">
        <f t="shared" ca="1" si="19"/>
        <v>GKK</v>
      </c>
      <c r="F26" s="303">
        <f t="shared" ca="1" si="20"/>
        <v>73.95</v>
      </c>
      <c r="G26" s="304">
        <f t="shared" ca="1" si="21"/>
        <v>160</v>
      </c>
      <c r="H26" s="304">
        <f t="shared" ca="1" si="22"/>
        <v>160</v>
      </c>
      <c r="I26" s="304">
        <f t="shared" ca="1" si="23"/>
        <v>165</v>
      </c>
      <c r="J26" s="304">
        <f t="shared" ca="1" si="24"/>
        <v>105</v>
      </c>
      <c r="K26" s="304">
        <f t="shared" ca="1" si="25"/>
        <v>112.5</v>
      </c>
      <c r="L26" s="304">
        <f t="shared" ca="1" si="26"/>
        <v>112.5</v>
      </c>
      <c r="M26" s="304">
        <f t="shared" ca="1" si="27"/>
        <v>200</v>
      </c>
      <c r="N26" s="304">
        <f t="shared" ca="1" si="28"/>
        <v>220</v>
      </c>
      <c r="O26" s="304">
        <f t="shared" ca="1" si="29"/>
        <v>227.5</v>
      </c>
      <c r="P26" s="304">
        <f t="shared" ca="1" si="30"/>
        <v>485</v>
      </c>
      <c r="Q26" s="305">
        <f t="shared" ca="1" si="31"/>
        <v>407.15750485658646</v>
      </c>
      <c r="R26" s="204"/>
    </row>
    <row r="27" spans="1:18" ht="15" x14ac:dyDescent="0.2">
      <c r="A27" s="292">
        <v>25</v>
      </c>
      <c r="B27" s="302" t="str">
        <f t="shared" ca="1" si="16"/>
        <v>C</v>
      </c>
      <c r="C27" s="302">
        <f t="shared" ca="1" si="17"/>
        <v>20</v>
      </c>
      <c r="D27" s="302" t="str">
        <f t="shared" ca="1" si="18"/>
        <v>Mikael Jansson</v>
      </c>
      <c r="E27" s="302" t="str">
        <f t="shared" ca="1" si="19"/>
        <v>GKK</v>
      </c>
      <c r="F27" s="303">
        <f t="shared" ca="1" si="20"/>
        <v>88.65</v>
      </c>
      <c r="G27" s="304">
        <f t="shared" ca="1" si="21"/>
        <v>160</v>
      </c>
      <c r="H27" s="304">
        <f t="shared" ca="1" si="22"/>
        <v>170</v>
      </c>
      <c r="I27" s="304">
        <f t="shared" ca="1" si="23"/>
        <v>180</v>
      </c>
      <c r="J27" s="304">
        <f t="shared" ca="1" si="24"/>
        <v>120</v>
      </c>
      <c r="K27" s="304">
        <f t="shared" ca="1" si="25"/>
        <v>127.5</v>
      </c>
      <c r="L27" s="304">
        <f t="shared" ca="1" si="26"/>
        <v>135</v>
      </c>
      <c r="M27" s="304">
        <f t="shared" ca="1" si="27"/>
        <v>185</v>
      </c>
      <c r="N27" s="304">
        <f t="shared" ca="1" si="28"/>
        <v>215</v>
      </c>
      <c r="O27" s="304">
        <f t="shared" ca="1" si="29"/>
        <v>230</v>
      </c>
      <c r="P27" s="304">
        <f t="shared" ca="1" si="30"/>
        <v>530</v>
      </c>
      <c r="Q27" s="305">
        <f t="shared" ca="1" si="31"/>
        <v>444.93500530719757</v>
      </c>
      <c r="R27" s="204"/>
    </row>
    <row r="28" spans="1:18" ht="15" x14ac:dyDescent="0.2">
      <c r="A28" s="292">
        <v>26</v>
      </c>
      <c r="B28" s="302" t="str">
        <f t="shared" ca="1" si="16"/>
        <v>C</v>
      </c>
      <c r="C28" s="302">
        <f t="shared" ca="1" si="17"/>
        <v>17</v>
      </c>
      <c r="D28" s="302" t="str">
        <f t="shared" ca="1" si="18"/>
        <v>Calle Öberg</v>
      </c>
      <c r="E28" s="302" t="str">
        <f t="shared" ca="1" si="19"/>
        <v>GKK</v>
      </c>
      <c r="F28" s="303">
        <f t="shared" ca="1" si="20"/>
        <v>73</v>
      </c>
      <c r="G28" s="304">
        <f t="shared" ca="1" si="21"/>
        <v>170</v>
      </c>
      <c r="H28" s="304">
        <f t="shared" ca="1" si="22"/>
        <v>180</v>
      </c>
      <c r="I28" s="304">
        <f t="shared" ca="1" si="23"/>
        <v>180</v>
      </c>
      <c r="J28" s="304">
        <f t="shared" ca="1" si="24"/>
        <v>117.5</v>
      </c>
      <c r="K28" s="304">
        <f t="shared" ca="1" si="25"/>
        <v>125</v>
      </c>
      <c r="L28" s="304">
        <f t="shared" ca="1" si="26"/>
        <v>132.5</v>
      </c>
      <c r="M28" s="304">
        <f t="shared" ca="1" si="27"/>
        <v>215</v>
      </c>
      <c r="N28" s="304">
        <f t="shared" ca="1" si="28"/>
        <v>222.5</v>
      </c>
      <c r="O28" s="304">
        <f t="shared" ca="1" si="29"/>
        <v>227.5</v>
      </c>
      <c r="P28" s="304">
        <f t="shared" ca="1" si="30"/>
        <v>527.5</v>
      </c>
      <c r="Q28" s="305">
        <f t="shared" ca="1" si="31"/>
        <v>442.83625528216362</v>
      </c>
      <c r="R28" s="204"/>
    </row>
    <row r="29" spans="1:18" ht="15" x14ac:dyDescent="0.2">
      <c r="A29" s="292">
        <v>27</v>
      </c>
      <c r="B29" s="302" t="str">
        <f t="shared" ca="1" si="16"/>
        <v>C</v>
      </c>
      <c r="C29" s="302">
        <f t="shared" ca="1" si="17"/>
        <v>28</v>
      </c>
      <c r="D29" s="302" t="str">
        <f t="shared" ca="1" si="18"/>
        <v>Albin Björkman</v>
      </c>
      <c r="E29" s="302" t="str">
        <f t="shared" ca="1" si="19"/>
        <v>GKK</v>
      </c>
      <c r="F29" s="303">
        <f t="shared" ca="1" si="20"/>
        <v>73.2</v>
      </c>
      <c r="G29" s="304">
        <f t="shared" ca="1" si="21"/>
        <v>175</v>
      </c>
      <c r="H29" s="304">
        <f t="shared" ca="1" si="22"/>
        <v>182.5</v>
      </c>
      <c r="I29" s="304">
        <f t="shared" ca="1" si="23"/>
        <v>182.5</v>
      </c>
      <c r="J29" s="304">
        <f t="shared" ca="1" si="24"/>
        <v>110</v>
      </c>
      <c r="K29" s="304">
        <f t="shared" ca="1" si="25"/>
        <v>117.5</v>
      </c>
      <c r="L29" s="304">
        <f t="shared" ca="1" si="26"/>
        <v>125</v>
      </c>
      <c r="M29" s="304">
        <f t="shared" ca="1" si="27"/>
        <v>200</v>
      </c>
      <c r="N29" s="304">
        <f t="shared" ca="1" si="28"/>
        <v>210</v>
      </c>
      <c r="O29" s="304">
        <f t="shared" ca="1" si="29"/>
        <v>215</v>
      </c>
      <c r="P29" s="304">
        <f t="shared" ca="1" si="30"/>
        <v>502.5</v>
      </c>
      <c r="Q29" s="305">
        <f t="shared" ca="1" si="31"/>
        <v>421.84875503182411</v>
      </c>
      <c r="R29" s="204"/>
    </row>
    <row r="30" spans="1:18" ht="15" x14ac:dyDescent="0.2">
      <c r="A30" s="292">
        <v>28</v>
      </c>
      <c r="B30" s="302" t="str">
        <f t="shared" ca="1" si="16"/>
        <v>C</v>
      </c>
      <c r="C30" s="302">
        <f t="shared" ca="1" si="17"/>
        <v>5</v>
      </c>
      <c r="D30" s="302" t="str">
        <f t="shared" ca="1" si="18"/>
        <v>Victor Ståhl</v>
      </c>
      <c r="E30" s="302" t="str">
        <f t="shared" ca="1" si="19"/>
        <v>SKS</v>
      </c>
      <c r="F30" s="303">
        <f t="shared" ca="1" si="20"/>
        <v>92.5</v>
      </c>
      <c r="G30" s="304">
        <f t="shared" ca="1" si="21"/>
        <v>180</v>
      </c>
      <c r="H30" s="304">
        <f t="shared" ca="1" si="22"/>
        <v>190</v>
      </c>
      <c r="I30" s="304">
        <f t="shared" ca="1" si="23"/>
        <v>200</v>
      </c>
      <c r="J30" s="304">
        <f t="shared" ca="1" si="24"/>
        <v>115</v>
      </c>
      <c r="K30" s="304">
        <f t="shared" ca="1" si="25"/>
        <v>120</v>
      </c>
      <c r="L30" s="304">
        <f t="shared" ca="1" si="26"/>
        <v>125</v>
      </c>
      <c r="M30" s="304">
        <f t="shared" ca="1" si="27"/>
        <v>220</v>
      </c>
      <c r="N30" s="304">
        <f t="shared" ca="1" si="28"/>
        <v>225</v>
      </c>
      <c r="O30" s="304">
        <f t="shared" ca="1" si="29"/>
        <v>230</v>
      </c>
      <c r="P30" s="304">
        <f t="shared" ca="1" si="30"/>
        <v>550</v>
      </c>
      <c r="Q30" s="305">
        <f t="shared" ca="1" si="31"/>
        <v>461.72500550746918</v>
      </c>
      <c r="R30" s="204"/>
    </row>
    <row r="31" spans="1:18" ht="15" x14ac:dyDescent="0.2">
      <c r="A31" s="292">
        <v>29</v>
      </c>
      <c r="B31" s="302" t="str">
        <f t="shared" ca="1" si="16"/>
        <v>C</v>
      </c>
      <c r="C31" s="302">
        <f t="shared" ca="1" si="17"/>
        <v>26</v>
      </c>
      <c r="D31" s="302" t="str">
        <f t="shared" ca="1" si="18"/>
        <v>Martin Krisell</v>
      </c>
      <c r="E31" s="302" t="str">
        <f t="shared" ca="1" si="19"/>
        <v>GKK</v>
      </c>
      <c r="F31" s="303">
        <f t="shared" ca="1" si="20"/>
        <v>73.2</v>
      </c>
      <c r="G31" s="304">
        <f t="shared" ca="1" si="21"/>
        <v>185</v>
      </c>
      <c r="H31" s="304">
        <f t="shared" ca="1" si="22"/>
        <v>195</v>
      </c>
      <c r="I31" s="304">
        <f t="shared" ca="1" si="23"/>
        <v>200</v>
      </c>
      <c r="J31" s="304">
        <f t="shared" ca="1" si="24"/>
        <v>122.5</v>
      </c>
      <c r="K31" s="304">
        <f t="shared" ca="1" si="25"/>
        <v>127.5</v>
      </c>
      <c r="L31" s="304">
        <f t="shared" ca="1" si="26"/>
        <v>127.5</v>
      </c>
      <c r="M31" s="304">
        <f t="shared" ca="1" si="27"/>
        <v>205</v>
      </c>
      <c r="N31" s="304">
        <f t="shared" ca="1" si="28"/>
        <v>220</v>
      </c>
      <c r="O31" s="304">
        <f t="shared" ca="1" si="29"/>
        <v>225</v>
      </c>
      <c r="P31" s="304">
        <f t="shared" ca="1" si="30"/>
        <v>547.5</v>
      </c>
      <c r="Q31" s="305">
        <f t="shared" ca="1" si="31"/>
        <v>459.62625548243523</v>
      </c>
      <c r="R31" s="204"/>
    </row>
    <row r="32" spans="1:18" ht="15" x14ac:dyDescent="0.2">
      <c r="A32" s="292">
        <v>30</v>
      </c>
      <c r="B32" s="302" t="str">
        <f t="shared" ca="1" si="16"/>
        <v>C</v>
      </c>
      <c r="C32" s="302">
        <f t="shared" ca="1" si="17"/>
        <v>18</v>
      </c>
      <c r="D32" s="302" t="str">
        <f t="shared" ca="1" si="18"/>
        <v>Björn Bondemark</v>
      </c>
      <c r="E32" s="302" t="str">
        <f t="shared" ca="1" si="19"/>
        <v>GKK</v>
      </c>
      <c r="F32" s="303">
        <f t="shared" ca="1" si="20"/>
        <v>115.15</v>
      </c>
      <c r="G32" s="304">
        <f t="shared" ca="1" si="21"/>
        <v>190</v>
      </c>
      <c r="H32" s="304">
        <f t="shared" ca="1" si="22"/>
        <v>197.5</v>
      </c>
      <c r="I32" s="304">
        <f t="shared" ca="1" si="23"/>
        <v>210</v>
      </c>
      <c r="J32" s="304">
        <f t="shared" ca="1" si="24"/>
        <v>155</v>
      </c>
      <c r="K32" s="304">
        <f t="shared" ca="1" si="25"/>
        <v>162.5</v>
      </c>
      <c r="L32" s="304">
        <f t="shared" ca="1" si="26"/>
        <v>170</v>
      </c>
      <c r="M32" s="304">
        <f t="shared" ca="1" si="27"/>
        <v>240</v>
      </c>
      <c r="N32" s="304">
        <f t="shared" ca="1" si="28"/>
        <v>255</v>
      </c>
      <c r="O32" s="304">
        <f t="shared" ca="1" si="29"/>
        <v>265</v>
      </c>
      <c r="P32" s="304">
        <f t="shared" ca="1" si="30"/>
        <v>637.5</v>
      </c>
      <c r="Q32" s="305">
        <f t="shared" ca="1" si="31"/>
        <v>535.18125638365746</v>
      </c>
      <c r="R32" s="204"/>
    </row>
    <row r="33" spans="1:18" ht="15" x14ac:dyDescent="0.2">
      <c r="A33" s="292">
        <v>31</v>
      </c>
      <c r="B33" s="302" t="str">
        <f t="shared" ca="1" si="16"/>
        <v>C</v>
      </c>
      <c r="C33" s="302">
        <f t="shared" ca="1" si="17"/>
        <v>23</v>
      </c>
      <c r="D33" s="302" t="str">
        <f t="shared" ca="1" si="18"/>
        <v>Henrik Hermansson</v>
      </c>
      <c r="E33" s="302" t="str">
        <f t="shared" ca="1" si="19"/>
        <v>SKS</v>
      </c>
      <c r="F33" s="303">
        <f t="shared" ca="1" si="20"/>
        <v>118.6</v>
      </c>
      <c r="G33" s="304">
        <f t="shared" ca="1" si="21"/>
        <v>210</v>
      </c>
      <c r="H33" s="304">
        <f t="shared" ca="1" si="22"/>
        <v>210</v>
      </c>
      <c r="I33" s="304">
        <f t="shared" ca="1" si="23"/>
        <v>220</v>
      </c>
      <c r="J33" s="304">
        <f t="shared" ca="1" si="24"/>
        <v>150</v>
      </c>
      <c r="K33" s="304">
        <f t="shared" ca="1" si="25"/>
        <v>160</v>
      </c>
      <c r="L33" s="304">
        <f t="shared" ca="1" si="26"/>
        <v>165</v>
      </c>
      <c r="M33" s="304">
        <f t="shared" ca="1" si="27"/>
        <v>240</v>
      </c>
      <c r="N33" s="304">
        <f t="shared" ca="1" si="28"/>
        <v>260</v>
      </c>
      <c r="O33" s="304">
        <f t="shared" ca="1" si="29"/>
        <v>260</v>
      </c>
      <c r="P33" s="304">
        <f t="shared" ca="1" si="30"/>
        <v>625</v>
      </c>
      <c r="Q33" s="305">
        <f t="shared" ca="1" si="31"/>
        <v>524.6875062584877</v>
      </c>
      <c r="R33" s="204"/>
    </row>
    <row r="34" spans="1:18" ht="15" x14ac:dyDescent="0.2">
      <c r="A34" s="292">
        <v>32</v>
      </c>
      <c r="B34" s="302" t="str">
        <f t="shared" ca="1" si="16"/>
        <v>C</v>
      </c>
      <c r="C34" s="302">
        <f t="shared" ca="1" si="17"/>
        <v>24</v>
      </c>
      <c r="D34" s="302" t="str">
        <f t="shared" ca="1" si="18"/>
        <v>Valentino Almhage</v>
      </c>
      <c r="E34" s="302" t="str">
        <f t="shared" ca="1" si="19"/>
        <v>SKS</v>
      </c>
      <c r="F34" s="303">
        <f t="shared" ca="1" si="20"/>
        <v>104.85</v>
      </c>
      <c r="G34" s="304">
        <f t="shared" ca="1" si="21"/>
        <v>220</v>
      </c>
      <c r="H34" s="304">
        <f t="shared" ca="1" si="22"/>
        <v>232.5</v>
      </c>
      <c r="I34" s="304">
        <f t="shared" ca="1" si="23"/>
        <v>242.5</v>
      </c>
      <c r="J34" s="304">
        <f t="shared" ca="1" si="24"/>
        <v>155</v>
      </c>
      <c r="K34" s="304">
        <f t="shared" ca="1" si="25"/>
        <v>162.5</v>
      </c>
      <c r="L34" s="304">
        <f t="shared" ca="1" si="26"/>
        <v>167.5</v>
      </c>
      <c r="M34" s="304">
        <f t="shared" ca="1" si="27"/>
        <v>240</v>
      </c>
      <c r="N34" s="304">
        <f t="shared" ca="1" si="28"/>
        <v>260</v>
      </c>
      <c r="O34" s="304">
        <f t="shared" ca="1" si="29"/>
        <v>272.5</v>
      </c>
      <c r="P34" s="304">
        <f t="shared" ca="1" si="30"/>
        <v>672.5</v>
      </c>
      <c r="Q34" s="305">
        <f t="shared" ca="1" si="31"/>
        <v>564.56375673413277</v>
      </c>
      <c r="R34" s="204"/>
    </row>
    <row r="35" spans="1:18" ht="15" x14ac:dyDescent="0.2">
      <c r="A35" s="292">
        <v>33</v>
      </c>
      <c r="B35" s="302" t="str">
        <f t="shared" ca="1" si="16"/>
        <v>C</v>
      </c>
      <c r="C35" s="302">
        <f t="shared" ca="1" si="17"/>
        <v>3</v>
      </c>
      <c r="D35" s="302" t="str">
        <f t="shared" ca="1" si="18"/>
        <v>Klaes Petersson</v>
      </c>
      <c r="E35" s="302" t="str">
        <f t="shared" ca="1" si="19"/>
        <v>GKK</v>
      </c>
      <c r="F35" s="303">
        <f t="shared" ca="1" si="20"/>
        <v>127.25</v>
      </c>
      <c r="G35" s="304">
        <f t="shared" ca="1" si="21"/>
        <v>230</v>
      </c>
      <c r="H35" s="304">
        <f t="shared" ca="1" si="22"/>
        <v>240</v>
      </c>
      <c r="I35" s="304">
        <f t="shared" ca="1" si="23"/>
        <v>250</v>
      </c>
      <c r="J35" s="304">
        <f t="shared" ca="1" si="24"/>
        <v>150</v>
      </c>
      <c r="K35" s="304">
        <f t="shared" ca="1" si="25"/>
        <v>157.5</v>
      </c>
      <c r="L35" s="304">
        <f t="shared" ca="1" si="26"/>
        <v>165</v>
      </c>
      <c r="M35" s="304">
        <f t="shared" ca="1" si="27"/>
        <v>260</v>
      </c>
      <c r="N35" s="304">
        <f t="shared" ca="1" si="28"/>
        <v>285</v>
      </c>
      <c r="O35" s="304">
        <f t="shared" ca="1" si="29"/>
        <v>300</v>
      </c>
      <c r="P35" s="304">
        <f t="shared" ca="1" si="30"/>
        <v>700</v>
      </c>
      <c r="Q35" s="305">
        <f t="shared" ca="1" si="31"/>
        <v>587.65000700950623</v>
      </c>
      <c r="R35" s="204"/>
    </row>
    <row r="36" spans="1:18" ht="15" x14ac:dyDescent="0.2">
      <c r="A36" s="292">
        <v>34</v>
      </c>
      <c r="B36" s="302" t="str">
        <f t="shared" ca="1" si="16"/>
        <v>C</v>
      </c>
      <c r="C36" s="302">
        <f t="shared" ca="1" si="17"/>
        <v>12</v>
      </c>
      <c r="D36" s="302" t="str">
        <f t="shared" ca="1" si="18"/>
        <v>Kenny Johansson</v>
      </c>
      <c r="E36" s="302" t="str">
        <f t="shared" ca="1" si="19"/>
        <v>MAK</v>
      </c>
      <c r="F36" s="303">
        <f t="shared" ca="1" si="20"/>
        <v>142.69999999999999</v>
      </c>
      <c r="G36" s="304">
        <f t="shared" ca="1" si="21"/>
        <v>280</v>
      </c>
      <c r="H36" s="304">
        <f t="shared" ca="1" si="22"/>
        <v>285</v>
      </c>
      <c r="I36" s="304" t="str">
        <f t="shared" ca="1" si="23"/>
        <v/>
      </c>
      <c r="J36" s="304">
        <f t="shared" ca="1" si="24"/>
        <v>180</v>
      </c>
      <c r="K36" s="304">
        <f t="shared" ca="1" si="25"/>
        <v>185</v>
      </c>
      <c r="L36" s="304">
        <f t="shared" ca="1" si="26"/>
        <v>190</v>
      </c>
      <c r="M36" s="304">
        <f t="shared" ca="1" si="27"/>
        <v>280</v>
      </c>
      <c r="N36" s="304" t="str">
        <f t="shared" ca="1" si="28"/>
        <v/>
      </c>
      <c r="O36" s="304" t="str">
        <f t="shared" ca="1" si="29"/>
        <v/>
      </c>
      <c r="P36" s="304">
        <f t="shared" ca="1" si="30"/>
        <v>750</v>
      </c>
      <c r="Q36" s="305">
        <f t="shared" ca="1" si="31"/>
        <v>629.62500751018524</v>
      </c>
      <c r="R36" s="204"/>
    </row>
    <row r="37" spans="1:18" ht="15" x14ac:dyDescent="0.2">
      <c r="A37" s="292"/>
      <c r="B37" s="302"/>
      <c r="C37" s="302"/>
      <c r="D37" s="302"/>
      <c r="E37" s="302"/>
      <c r="F37" s="303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5"/>
      <c r="R37" s="204"/>
    </row>
    <row r="38" spans="1:18" ht="15" x14ac:dyDescent="0.2">
      <c r="A38" s="292"/>
      <c r="B38" s="302"/>
      <c r="C38" s="302"/>
      <c r="D38" s="302"/>
      <c r="E38" s="302"/>
      <c r="F38" s="303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5"/>
      <c r="R38" s="204"/>
    </row>
    <row r="39" spans="1:18" ht="15" x14ac:dyDescent="0.2">
      <c r="A39" s="292"/>
      <c r="B39" s="302"/>
      <c r="C39" s="302"/>
      <c r="D39" s="302"/>
      <c r="E39" s="302"/>
      <c r="F39" s="303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5"/>
      <c r="R39" s="204"/>
    </row>
    <row r="40" spans="1:18" ht="15" x14ac:dyDescent="0.2">
      <c r="A40" s="292"/>
      <c r="B40" s="302"/>
      <c r="C40" s="302"/>
      <c r="D40" s="302"/>
      <c r="E40" s="302"/>
      <c r="F40" s="303"/>
      <c r="G40" s="304"/>
      <c r="H40" s="304"/>
      <c r="I40" s="304"/>
      <c r="J40" s="304"/>
      <c r="K40" s="304"/>
      <c r="L40" s="304"/>
      <c r="M40" s="304"/>
      <c r="N40" s="304"/>
      <c r="O40" s="304"/>
      <c r="P40" s="304"/>
      <c r="Q40" s="305"/>
      <c r="R40" s="204"/>
    </row>
    <row r="41" spans="1:18" ht="15" x14ac:dyDescent="0.2">
      <c r="A41" s="292"/>
      <c r="B41" s="302"/>
      <c r="C41" s="302"/>
      <c r="D41" s="302"/>
      <c r="E41" s="302"/>
      <c r="F41" s="303"/>
      <c r="G41" s="304"/>
      <c r="H41" s="304"/>
      <c r="I41" s="304"/>
      <c r="J41" s="304"/>
      <c r="K41" s="304"/>
      <c r="L41" s="304"/>
      <c r="M41" s="304"/>
      <c r="N41" s="304"/>
      <c r="O41" s="304"/>
      <c r="P41" s="304"/>
      <c r="Q41" s="305"/>
      <c r="R41" s="204"/>
    </row>
    <row r="42" spans="1:18" ht="15" x14ac:dyDescent="0.2">
      <c r="A42" s="292"/>
      <c r="B42" s="302"/>
      <c r="C42" s="302"/>
      <c r="D42" s="302"/>
      <c r="E42" s="302"/>
      <c r="F42" s="303"/>
      <c r="G42" s="304"/>
      <c r="H42" s="304"/>
      <c r="I42" s="304"/>
      <c r="J42" s="304"/>
      <c r="K42" s="304"/>
      <c r="L42" s="304"/>
      <c r="M42" s="304"/>
      <c r="N42" s="304"/>
      <c r="O42" s="304"/>
      <c r="P42" s="304"/>
      <c r="Q42" s="305"/>
      <c r="R42" s="204"/>
    </row>
    <row r="43" spans="1:18" ht="15" x14ac:dyDescent="0.2">
      <c r="A43" s="292"/>
      <c r="B43" s="302"/>
      <c r="C43" s="302"/>
      <c r="D43" s="302"/>
      <c r="E43" s="302"/>
      <c r="F43" s="303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5"/>
      <c r="R43" s="204"/>
    </row>
    <row r="44" spans="1:18" ht="15" x14ac:dyDescent="0.2">
      <c r="A44" s="292"/>
      <c r="B44" s="302"/>
      <c r="C44" s="302"/>
      <c r="D44" s="302"/>
      <c r="E44" s="302"/>
      <c r="F44" s="303"/>
      <c r="G44" s="304"/>
      <c r="H44" s="304"/>
      <c r="I44" s="304"/>
      <c r="J44" s="304"/>
      <c r="K44" s="304"/>
      <c r="L44" s="304"/>
      <c r="M44" s="304"/>
      <c r="N44" s="304"/>
      <c r="O44" s="304"/>
      <c r="P44" s="304"/>
      <c r="Q44" s="305"/>
      <c r="R44" s="204"/>
    </row>
    <row r="45" spans="1:18" ht="15" x14ac:dyDescent="0.2">
      <c r="A45" s="292"/>
      <c r="B45" s="302"/>
      <c r="C45" s="302"/>
      <c r="D45" s="302"/>
      <c r="E45" s="302"/>
      <c r="F45" s="303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05"/>
      <c r="R45" s="204"/>
    </row>
    <row r="46" spans="1:18" ht="15" x14ac:dyDescent="0.2">
      <c r="A46" s="292"/>
      <c r="B46" s="302"/>
      <c r="C46" s="302"/>
      <c r="D46" s="302"/>
      <c r="E46" s="302"/>
      <c r="F46" s="303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305"/>
      <c r="R46" s="204"/>
    </row>
    <row r="47" spans="1:18" ht="15" x14ac:dyDescent="0.2">
      <c r="A47" s="292"/>
      <c r="B47" s="302"/>
      <c r="C47" s="302"/>
      <c r="D47" s="302"/>
      <c r="E47" s="302"/>
      <c r="F47" s="303"/>
      <c r="G47" s="304"/>
      <c r="H47" s="304"/>
      <c r="I47" s="304"/>
      <c r="J47" s="304"/>
      <c r="K47" s="304"/>
      <c r="L47" s="304"/>
      <c r="M47" s="304"/>
      <c r="N47" s="304"/>
      <c r="O47" s="304"/>
      <c r="P47" s="304"/>
      <c r="Q47" s="305"/>
      <c r="R47" s="204"/>
    </row>
    <row r="48" spans="1:18" ht="15" x14ac:dyDescent="0.2">
      <c r="A48" s="292"/>
      <c r="B48" s="302"/>
      <c r="C48" s="302"/>
      <c r="D48" s="302"/>
      <c r="E48" s="302"/>
      <c r="F48" s="303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305"/>
      <c r="R48" s="204"/>
    </row>
    <row r="49" spans="1:18" ht="15" x14ac:dyDescent="0.2">
      <c r="A49" s="292"/>
      <c r="B49" s="302"/>
      <c r="C49" s="302"/>
      <c r="D49" s="302"/>
      <c r="E49" s="302"/>
      <c r="F49" s="303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305"/>
      <c r="R49" s="204"/>
    </row>
    <row r="50" spans="1:18" ht="15" x14ac:dyDescent="0.2">
      <c r="A50" s="292"/>
      <c r="B50" s="306"/>
      <c r="C50" s="306"/>
      <c r="D50" s="306"/>
      <c r="E50" s="306"/>
      <c r="F50" s="307"/>
      <c r="G50" s="308"/>
      <c r="H50" s="308"/>
      <c r="I50" s="308"/>
      <c r="J50" s="308"/>
      <c r="K50" s="308"/>
      <c r="L50" s="308"/>
      <c r="M50" s="308"/>
      <c r="N50" s="308"/>
      <c r="O50" s="308"/>
      <c r="P50" s="308"/>
      <c r="Q50" s="309"/>
      <c r="R50" s="204"/>
    </row>
  </sheetData>
  <sortState ref="A23:Q36">
    <sortCondition ref="G23"/>
    <sortCondition ref="C23"/>
  </sortState>
  <mergeCells count="5">
    <mergeCell ref="B2:G4"/>
    <mergeCell ref="H2:J5"/>
    <mergeCell ref="B5:G6"/>
    <mergeCell ref="H6:J8"/>
    <mergeCell ref="B7:G7"/>
  </mergeCells>
  <conditionalFormatting sqref="M11:O50">
    <cfRule type="expression" dxfId="21" priority="2">
      <formula>INDIRECT(ADDRESS($A11,COLUMN()+61,,,"Lifting"))=-1</formula>
    </cfRule>
    <cfRule type="expression" dxfId="20" priority="3">
      <formula>INDIRECT(ADDRESS($A11,COLUMN()+61,,,"Lifting"))=1</formula>
    </cfRule>
  </conditionalFormatting>
  <conditionalFormatting sqref="B11:Q50">
    <cfRule type="expression" dxfId="19" priority="1">
      <formula>$B11=$B$11</formula>
    </cfRule>
  </conditionalFormatting>
  <conditionalFormatting sqref="J11:L50">
    <cfRule type="expression" dxfId="18" priority="4">
      <formula>INDIRECT(ADDRESS($A11,COLUMN()+59,,,"Lifting"))=-1</formula>
    </cfRule>
    <cfRule type="expression" dxfId="17" priority="7">
      <formula>INDIRECT(ADDRESS($A11,COLUMN()+59,,,"Lifting"))=1</formula>
    </cfRule>
  </conditionalFormatting>
  <conditionalFormatting sqref="G11:I50">
    <cfRule type="expression" dxfId="16" priority="8">
      <formula>INDIRECT(ADDRESS($A11,COLUMN()+57,,,"Lifting"))=-1</formula>
    </cfRule>
    <cfRule type="expression" dxfId="15" priority="9">
      <formula>INDIRECT(ADDRESS($A11,COLUMN()+57,,,"Lifting"))=1</formula>
    </cfRule>
  </conditionalFormatting>
  <pageMargins left="0.7" right="0.7" top="0.75" bottom="0.75" header="0.3" footer="0.3"/>
  <pageSetup paperSize="9" scale="6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402" t="s">
        <v>107</v>
      </c>
      <c r="F1" s="403"/>
      <c r="G1" s="402" t="s">
        <v>108</v>
      </c>
      <c r="H1" s="403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400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40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40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40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40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40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40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40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40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40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400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40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40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400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400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400"/>
      <c r="E18" s="401" t="s">
        <v>104</v>
      </c>
      <c r="F18" s="401"/>
      <c r="G18" s="401"/>
      <c r="H18" s="401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400"/>
      <c r="E19" s="401"/>
      <c r="F19" s="401"/>
      <c r="G19" s="401"/>
      <c r="H19" s="401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400"/>
      <c r="E20" s="401"/>
      <c r="F20" s="401"/>
      <c r="G20" s="401"/>
      <c r="H20" s="401"/>
    </row>
    <row r="21" spans="1:24" x14ac:dyDescent="0.2">
      <c r="A21" s="27">
        <v>48</v>
      </c>
      <c r="B21" s="27">
        <v>1.097</v>
      </c>
      <c r="C21" s="400"/>
    </row>
    <row r="22" spans="1:24" x14ac:dyDescent="0.2">
      <c r="A22" s="27">
        <v>49</v>
      </c>
      <c r="B22" s="27">
        <v>1.113</v>
      </c>
      <c r="C22" s="40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8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</row>
    <row r="2" spans="1:28" ht="12.75" customHeight="1" x14ac:dyDescent="1.1499999999999999">
      <c r="A2" s="218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5"/>
      <c r="AA2" s="218"/>
      <c r="AB2" s="218"/>
    </row>
    <row r="3" spans="1:28" ht="12.75" customHeight="1" x14ac:dyDescent="1.1499999999999999">
      <c r="A3" s="218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5"/>
      <c r="AA3" s="218"/>
      <c r="AB3" s="218"/>
    </row>
    <row r="4" spans="1:28" ht="12.75" customHeight="1" x14ac:dyDescent="1.1499999999999999">
      <c r="A4" s="218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5"/>
      <c r="AA4" s="218"/>
      <c r="AB4" s="218"/>
    </row>
    <row r="5" spans="1:28" ht="12.75" customHeight="1" x14ac:dyDescent="1.1499999999999999">
      <c r="A5" s="218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5"/>
      <c r="AA5" s="218"/>
      <c r="AB5" s="218"/>
    </row>
    <row r="6" spans="1:28" ht="12.75" customHeight="1" x14ac:dyDescent="1.1499999999999999">
      <c r="A6" s="218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5"/>
      <c r="AA6" s="218"/>
      <c r="AB6" s="218"/>
    </row>
    <row r="7" spans="1:28" ht="12.75" customHeight="1" x14ac:dyDescent="1.1499999999999999">
      <c r="A7" s="218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5"/>
      <c r="AA7" s="218"/>
      <c r="AB7" s="218"/>
    </row>
    <row r="8" spans="1:28" ht="12.75" customHeight="1" x14ac:dyDescent="1.1499999999999999">
      <c r="A8" s="218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5"/>
      <c r="AA8" s="218"/>
      <c r="AB8" s="218"/>
    </row>
    <row r="9" spans="1:28" ht="12.75" customHeight="1" x14ac:dyDescent="0.2">
      <c r="A9" s="218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AA9" s="218"/>
      <c r="AB9" s="218"/>
    </row>
    <row r="10" spans="1:28" ht="12.75" customHeight="1" x14ac:dyDescent="0.2">
      <c r="A10" s="218"/>
      <c r="B10" s="406" t="str">
        <f ca="1">IF(Lifting!C2="","",CONCATENATE(ABS(Lifting!C2)," kg"))</f>
        <v>70 kg</v>
      </c>
      <c r="C10" s="406"/>
      <c r="D10" s="406"/>
      <c r="E10" s="406"/>
      <c r="F10" s="406"/>
      <c r="G10" s="406"/>
      <c r="H10" s="406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18"/>
      <c r="AB10" s="218"/>
    </row>
    <row r="11" spans="1:28" ht="12.75" customHeight="1" x14ac:dyDescent="0.2">
      <c r="A11" s="218"/>
      <c r="B11" s="406"/>
      <c r="C11" s="406"/>
      <c r="D11" s="406"/>
      <c r="E11" s="406"/>
      <c r="F11" s="406"/>
      <c r="G11" s="406"/>
      <c r="H11" s="406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18"/>
      <c r="AB11" s="218"/>
    </row>
    <row r="12" spans="1:28" ht="12.75" customHeight="1" x14ac:dyDescent="0.2">
      <c r="A12" s="218"/>
      <c r="B12" s="406"/>
      <c r="C12" s="406"/>
      <c r="D12" s="406"/>
      <c r="E12" s="406"/>
      <c r="F12" s="406"/>
      <c r="G12" s="406"/>
      <c r="H12" s="406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18"/>
      <c r="AB12" s="218"/>
    </row>
    <row r="13" spans="1:28" ht="12.75" customHeight="1" x14ac:dyDescent="0.2">
      <c r="A13" s="218"/>
      <c r="B13" s="406"/>
      <c r="C13" s="406"/>
      <c r="D13" s="406"/>
      <c r="E13" s="406"/>
      <c r="F13" s="406"/>
      <c r="G13" s="406"/>
      <c r="H13" s="406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18"/>
      <c r="AB13" s="218"/>
    </row>
    <row r="14" spans="1:28" ht="12.75" customHeight="1" x14ac:dyDescent="0.2">
      <c r="A14" s="218"/>
      <c r="B14" s="406"/>
      <c r="C14" s="406"/>
      <c r="D14" s="406"/>
      <c r="E14" s="406"/>
      <c r="F14" s="406"/>
      <c r="G14" s="406"/>
      <c r="H14" s="406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18"/>
      <c r="AB14" s="218"/>
    </row>
    <row r="15" spans="1:28" ht="12.75" customHeight="1" x14ac:dyDescent="0.2">
      <c r="A15" s="218"/>
      <c r="B15" s="406"/>
      <c r="C15" s="406"/>
      <c r="D15" s="406"/>
      <c r="E15" s="406"/>
      <c r="F15" s="406"/>
      <c r="G15" s="406"/>
      <c r="H15" s="406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18"/>
      <c r="AB15" s="218"/>
    </row>
    <row r="16" spans="1:28" ht="12.75" customHeight="1" x14ac:dyDescent="0.2">
      <c r="A16" s="218"/>
      <c r="B16" s="406"/>
      <c r="C16" s="406"/>
      <c r="D16" s="406"/>
      <c r="E16" s="406"/>
      <c r="F16" s="406"/>
      <c r="G16" s="406"/>
      <c r="H16" s="406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18"/>
      <c r="AB16" s="218"/>
    </row>
    <row r="17" spans="1:28" ht="12.75" customHeight="1" x14ac:dyDescent="0.2">
      <c r="A17" s="218"/>
      <c r="B17" s="406"/>
      <c r="C17" s="406"/>
      <c r="D17" s="406"/>
      <c r="E17" s="406"/>
      <c r="F17" s="406"/>
      <c r="G17" s="406"/>
      <c r="H17" s="406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18"/>
      <c r="AB17" s="218"/>
    </row>
    <row r="18" spans="1:28" ht="12.75" customHeight="1" x14ac:dyDescent="0.2">
      <c r="A18" s="218"/>
      <c r="B18" s="406"/>
      <c r="C18" s="406"/>
      <c r="D18" s="406"/>
      <c r="E18" s="406"/>
      <c r="F18" s="406"/>
      <c r="G18" s="406"/>
      <c r="H18" s="406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18"/>
      <c r="AB18" s="218"/>
    </row>
    <row r="19" spans="1:28" ht="12.75" customHeight="1" x14ac:dyDescent="0.2">
      <c r="A19" s="218"/>
      <c r="B19" s="406"/>
      <c r="C19" s="406"/>
      <c r="D19" s="406"/>
      <c r="E19" s="406"/>
      <c r="F19" s="406"/>
      <c r="G19" s="406"/>
      <c r="H19" s="406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18"/>
      <c r="AB19" s="218"/>
    </row>
    <row r="20" spans="1:28" ht="12.75" customHeight="1" x14ac:dyDescent="0.2">
      <c r="A20" s="218"/>
      <c r="B20" s="406"/>
      <c r="C20" s="406"/>
      <c r="D20" s="406"/>
      <c r="E20" s="406"/>
      <c r="F20" s="406"/>
      <c r="G20" s="406"/>
      <c r="H20" s="406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18"/>
      <c r="AB20" s="218"/>
    </row>
    <row r="21" spans="1:28" x14ac:dyDescent="0.2">
      <c r="A21" s="218"/>
      <c r="B21" s="405" t="str">
        <f ca="1">IF(Lifting!G4="","",CONCATENATE("Höjd: ",Lifting!G4))</f>
        <v>Höjd: 15</v>
      </c>
      <c r="C21" s="405"/>
      <c r="D21" s="405"/>
      <c r="E21" s="405"/>
      <c r="F21" s="405"/>
      <c r="G21" s="405"/>
      <c r="H21" s="405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18"/>
      <c r="AB21" s="218"/>
    </row>
    <row r="22" spans="1:28" x14ac:dyDescent="0.2">
      <c r="A22" s="218"/>
      <c r="B22" s="405"/>
      <c r="C22" s="405"/>
      <c r="D22" s="405"/>
      <c r="E22" s="405"/>
      <c r="F22" s="405"/>
      <c r="G22" s="405"/>
      <c r="H22" s="405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18"/>
      <c r="AB22" s="218"/>
    </row>
    <row r="23" spans="1:28" x14ac:dyDescent="0.2">
      <c r="A23" s="218"/>
      <c r="B23" s="405"/>
      <c r="C23" s="405"/>
      <c r="D23" s="405"/>
      <c r="E23" s="405"/>
      <c r="F23" s="405"/>
      <c r="G23" s="405"/>
      <c r="H23" s="405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18"/>
      <c r="AB23" s="218"/>
    </row>
    <row r="24" spans="1:28" x14ac:dyDescent="0.2">
      <c r="A24" s="218"/>
      <c r="B24" s="405"/>
      <c r="C24" s="405"/>
      <c r="D24" s="405"/>
      <c r="E24" s="405"/>
      <c r="F24" s="405"/>
      <c r="G24" s="405"/>
      <c r="H24" s="405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18"/>
      <c r="AB24" s="218"/>
    </row>
    <row r="25" spans="1:28" x14ac:dyDescent="0.2">
      <c r="A25" s="218"/>
      <c r="B25" s="405"/>
      <c r="C25" s="405"/>
      <c r="D25" s="405"/>
      <c r="E25" s="405"/>
      <c r="F25" s="405"/>
      <c r="G25" s="405"/>
      <c r="H25" s="405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18"/>
      <c r="AB25" s="218"/>
    </row>
    <row r="26" spans="1:28" x14ac:dyDescent="0.2">
      <c r="A26" s="218"/>
      <c r="B26" s="405"/>
      <c r="C26" s="405"/>
      <c r="D26" s="405"/>
      <c r="E26" s="405"/>
      <c r="F26" s="405"/>
      <c r="G26" s="405"/>
      <c r="H26" s="405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18"/>
      <c r="AB26" s="218"/>
    </row>
    <row r="27" spans="1:28" x14ac:dyDescent="0.2">
      <c r="A27" s="21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18"/>
      <c r="AB27" s="218"/>
    </row>
    <row r="28" spans="1:28" x14ac:dyDescent="0.2">
      <c r="A28" s="21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18"/>
      <c r="AB28" s="218"/>
    </row>
    <row r="29" spans="1:28" x14ac:dyDescent="0.2">
      <c r="A29" s="218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AA29" s="218"/>
      <c r="AB29" s="218"/>
    </row>
    <row r="30" spans="1:28" ht="7.5" customHeight="1" x14ac:dyDescent="0.2"/>
    <row r="31" spans="1:28" ht="12.75" customHeight="1" x14ac:dyDescent="0.45">
      <c r="A31" s="284"/>
      <c r="B31" s="407" t="str">
        <f ca="1">IF(Lists!P3="",,Lists!R38)</f>
        <v>Nästa vikt: 75 kg</v>
      </c>
      <c r="C31" s="407"/>
      <c r="D31" s="407"/>
      <c r="E31" s="407"/>
      <c r="F31" s="407"/>
      <c r="G31" s="407"/>
      <c r="H31" s="407"/>
      <c r="I31" s="284"/>
      <c r="J31" s="284"/>
      <c r="K31" s="284"/>
      <c r="L31" s="284"/>
      <c r="M31" s="284"/>
      <c r="N31" s="284"/>
      <c r="O31" s="408" t="str">
        <f ca="1">Lists!T38</f>
        <v>Cecilia Thulin</v>
      </c>
      <c r="P31" s="408"/>
      <c r="Q31" s="408"/>
      <c r="R31" s="408"/>
      <c r="S31" s="408"/>
      <c r="T31" s="285"/>
      <c r="U31" s="285"/>
      <c r="V31" s="285"/>
      <c r="W31" s="285"/>
      <c r="X31" s="285"/>
      <c r="Y31" s="285"/>
      <c r="Z31" s="285"/>
      <c r="AA31" s="285"/>
      <c r="AB31" s="285"/>
    </row>
    <row r="32" spans="1:28" ht="12.75" customHeight="1" x14ac:dyDescent="0.45">
      <c r="A32" s="284"/>
      <c r="B32" s="407"/>
      <c r="C32" s="407"/>
      <c r="D32" s="407"/>
      <c r="E32" s="407"/>
      <c r="F32" s="407"/>
      <c r="G32" s="407"/>
      <c r="H32" s="407"/>
      <c r="I32" s="286"/>
      <c r="J32" s="286"/>
      <c r="K32" s="286"/>
      <c r="L32" s="287"/>
      <c r="M32" s="287"/>
      <c r="N32" s="287"/>
      <c r="O32" s="408"/>
      <c r="P32" s="408"/>
      <c r="Q32" s="408"/>
      <c r="R32" s="408"/>
      <c r="S32" s="408"/>
      <c r="T32" s="285"/>
      <c r="U32" s="285"/>
      <c r="V32" s="285"/>
      <c r="W32" s="285"/>
      <c r="X32" s="285"/>
      <c r="Y32" s="285"/>
      <c r="Z32" s="285"/>
      <c r="AA32" s="285"/>
      <c r="AB32" s="285"/>
    </row>
    <row r="33" spans="1:28" ht="12.75" customHeight="1" x14ac:dyDescent="0.45">
      <c r="A33" s="284"/>
      <c r="B33" s="407"/>
      <c r="C33" s="407"/>
      <c r="D33" s="407"/>
      <c r="E33" s="407"/>
      <c r="F33" s="407"/>
      <c r="G33" s="407"/>
      <c r="H33" s="407"/>
      <c r="I33" s="286"/>
      <c r="J33" s="286"/>
      <c r="K33" s="286"/>
      <c r="L33" s="287"/>
      <c r="M33" s="287"/>
      <c r="N33" s="287"/>
      <c r="O33" s="408"/>
      <c r="P33" s="408"/>
      <c r="Q33" s="408"/>
      <c r="R33" s="408"/>
      <c r="S33" s="408"/>
      <c r="T33" s="285"/>
      <c r="U33" s="285"/>
      <c r="V33" s="285"/>
      <c r="W33" s="285"/>
      <c r="X33" s="285"/>
      <c r="Y33" s="285"/>
      <c r="Z33" s="285"/>
      <c r="AA33" s="285"/>
      <c r="AB33" s="285"/>
    </row>
    <row r="34" spans="1:28" ht="12.75" customHeight="1" x14ac:dyDescent="0.2">
      <c r="A34" s="284"/>
      <c r="B34" s="407"/>
      <c r="C34" s="407"/>
      <c r="D34" s="407"/>
      <c r="E34" s="407"/>
      <c r="F34" s="407"/>
      <c r="G34" s="407"/>
      <c r="H34" s="407"/>
      <c r="I34" s="286"/>
      <c r="J34" s="286"/>
      <c r="K34" s="286"/>
      <c r="L34" s="287"/>
      <c r="M34" s="287"/>
      <c r="N34" s="287"/>
      <c r="O34" s="409" t="str">
        <f ca="1">Lists!T39</f>
        <v>Göteborg KK</v>
      </c>
      <c r="P34" s="409"/>
      <c r="Q34" s="409"/>
      <c r="R34" s="409"/>
      <c r="S34" s="409"/>
      <c r="T34" s="288"/>
      <c r="U34" s="288"/>
      <c r="V34" s="288"/>
      <c r="W34" s="288"/>
      <c r="X34" s="288"/>
      <c r="Y34" s="288"/>
      <c r="Z34" s="288"/>
      <c r="AA34" s="288"/>
      <c r="AB34" s="288"/>
    </row>
    <row r="35" spans="1:28" ht="12.75" customHeight="1" x14ac:dyDescent="0.2">
      <c r="A35" s="284"/>
      <c r="B35" s="407"/>
      <c r="C35" s="407"/>
      <c r="D35" s="407"/>
      <c r="E35" s="407"/>
      <c r="F35" s="407"/>
      <c r="G35" s="407"/>
      <c r="H35" s="407"/>
      <c r="I35" s="286"/>
      <c r="J35" s="286"/>
      <c r="K35" s="286"/>
      <c r="L35" s="287"/>
      <c r="M35" s="287"/>
      <c r="N35" s="287"/>
      <c r="O35" s="409"/>
      <c r="P35" s="409"/>
      <c r="Q35" s="409"/>
      <c r="R35" s="409"/>
      <c r="S35" s="409"/>
      <c r="T35" s="288"/>
      <c r="U35" s="288"/>
      <c r="V35" s="288"/>
      <c r="W35" s="288"/>
      <c r="X35" s="288"/>
      <c r="Y35" s="288"/>
      <c r="Z35" s="288"/>
      <c r="AA35" s="288"/>
      <c r="AB35" s="288"/>
    </row>
    <row r="36" spans="1:28" ht="12.75" customHeight="1" x14ac:dyDescent="0.2">
      <c r="A36" s="284"/>
      <c r="B36" s="407" t="str">
        <f ca="1">Lists!R39</f>
        <v>Nästa höjd: 13</v>
      </c>
      <c r="C36" s="407"/>
      <c r="D36" s="407"/>
      <c r="E36" s="407"/>
      <c r="F36" s="407"/>
      <c r="G36" s="407"/>
      <c r="H36" s="407"/>
      <c r="I36" s="286"/>
      <c r="J36" s="286"/>
      <c r="K36" s="286"/>
      <c r="L36" s="287"/>
      <c r="M36" s="287"/>
      <c r="N36" s="287"/>
      <c r="O36" s="409"/>
      <c r="P36" s="409"/>
      <c r="Q36" s="409"/>
      <c r="R36" s="409"/>
      <c r="S36" s="409"/>
      <c r="T36" s="288"/>
      <c r="U36" s="288"/>
      <c r="V36" s="288"/>
      <c r="W36" s="288"/>
      <c r="X36" s="288"/>
      <c r="Y36" s="288"/>
      <c r="Z36" s="288"/>
      <c r="AA36" s="288"/>
      <c r="AB36" s="288"/>
    </row>
    <row r="37" spans="1:28" ht="12.75" customHeight="1" x14ac:dyDescent="0.2">
      <c r="A37" s="284"/>
      <c r="B37" s="407"/>
      <c r="C37" s="407"/>
      <c r="D37" s="407"/>
      <c r="E37" s="407"/>
      <c r="F37" s="407"/>
      <c r="G37" s="407"/>
      <c r="H37" s="407"/>
      <c r="I37" s="286"/>
      <c r="J37" s="286"/>
      <c r="K37" s="286"/>
      <c r="L37" s="287"/>
      <c r="M37" s="287"/>
      <c r="N37" s="287"/>
      <c r="O37" s="409" t="str">
        <f ca="1">Lists!T40</f>
        <v>Klass 84 kg</v>
      </c>
      <c r="P37" s="409"/>
      <c r="Q37" s="409"/>
      <c r="R37" s="409"/>
      <c r="S37" s="409"/>
      <c r="T37" s="288"/>
      <c r="U37" s="288"/>
      <c r="V37" s="288"/>
      <c r="W37" s="288"/>
      <c r="X37" s="288"/>
      <c r="Y37" s="288"/>
      <c r="Z37" s="288"/>
      <c r="AA37" s="288"/>
      <c r="AB37" s="288"/>
    </row>
    <row r="38" spans="1:28" ht="12.75" customHeight="1" x14ac:dyDescent="0.2">
      <c r="A38" s="284"/>
      <c r="B38" s="407"/>
      <c r="C38" s="407"/>
      <c r="D38" s="407"/>
      <c r="E38" s="407"/>
      <c r="F38" s="407"/>
      <c r="G38" s="407"/>
      <c r="H38" s="407"/>
      <c r="I38" s="284"/>
      <c r="J38" s="284"/>
      <c r="K38" s="284"/>
      <c r="L38" s="284"/>
      <c r="M38" s="284"/>
      <c r="N38" s="284"/>
      <c r="O38" s="409"/>
      <c r="P38" s="409"/>
      <c r="Q38" s="409"/>
      <c r="R38" s="409"/>
      <c r="S38" s="409"/>
      <c r="T38" s="288"/>
      <c r="U38" s="288"/>
      <c r="V38" s="288"/>
      <c r="W38" s="288"/>
      <c r="X38" s="288"/>
      <c r="Y38" s="288"/>
      <c r="Z38" s="288"/>
      <c r="AA38" s="288"/>
      <c r="AB38" s="288"/>
    </row>
    <row r="39" spans="1:28" ht="12.75" customHeight="1" x14ac:dyDescent="0.2">
      <c r="A39" s="284"/>
      <c r="B39" s="407"/>
      <c r="C39" s="407"/>
      <c r="D39" s="407"/>
      <c r="E39" s="407"/>
      <c r="F39" s="407"/>
      <c r="G39" s="407"/>
      <c r="H39" s="407"/>
      <c r="I39" s="284"/>
      <c r="J39" s="284"/>
      <c r="K39" s="284"/>
      <c r="L39" s="284"/>
      <c r="M39" s="284"/>
      <c r="N39" s="284"/>
      <c r="O39" s="409"/>
      <c r="P39" s="409"/>
      <c r="Q39" s="409"/>
      <c r="R39" s="409"/>
      <c r="S39" s="409"/>
      <c r="T39" s="288"/>
      <c r="U39" s="288"/>
      <c r="V39" s="288"/>
      <c r="W39" s="288"/>
      <c r="X39" s="288"/>
      <c r="Y39" s="288"/>
      <c r="Z39" s="288"/>
      <c r="AA39" s="288"/>
      <c r="AB39" s="288"/>
    </row>
    <row r="40" spans="1:28" ht="12.75" customHeight="1" x14ac:dyDescent="0.2">
      <c r="A40" s="284"/>
      <c r="B40" s="407"/>
      <c r="C40" s="407"/>
      <c r="D40" s="407"/>
      <c r="E40" s="407"/>
      <c r="F40" s="407"/>
      <c r="G40" s="407"/>
      <c r="H40" s="407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</row>
    <row r="41" spans="1:28" ht="12.75" customHeight="1" x14ac:dyDescent="0.2">
      <c r="A41" s="284"/>
      <c r="B41" s="284"/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  <c r="AA41" s="284"/>
      <c r="AB41" s="284"/>
    </row>
    <row r="42" spans="1:28" x14ac:dyDescent="0.2">
      <c r="A42" s="284"/>
      <c r="B42" s="284"/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284"/>
      <c r="Y42" s="284"/>
      <c r="Z42" s="284"/>
      <c r="AA42" s="284"/>
      <c r="AB42" s="284"/>
    </row>
    <row r="45" spans="1:28" x14ac:dyDescent="0.2">
      <c r="M45" s="404" t="s">
        <v>363</v>
      </c>
      <c r="N45" s="404"/>
      <c r="O45" s="404"/>
    </row>
    <row r="46" spans="1:28" ht="12.75" customHeight="1" x14ac:dyDescent="0.2">
      <c r="M46" s="404"/>
      <c r="N46" s="404"/>
      <c r="O46" s="404"/>
    </row>
    <row r="47" spans="1:28" x14ac:dyDescent="0.2">
      <c r="M47" s="404"/>
      <c r="N47" s="404"/>
      <c r="O47" s="404"/>
    </row>
    <row r="48" spans="1:28" x14ac:dyDescent="0.2">
      <c r="M48" s="404"/>
      <c r="N48" s="404"/>
      <c r="O48" s="404"/>
    </row>
  </sheetData>
  <mergeCells count="8">
    <mergeCell ref="M45:O48"/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4" bestFit="1" customWidth="1"/>
    <col min="2" max="2" width="9.140625" style="224" customWidth="1"/>
    <col min="3" max="3" width="7.5703125" style="253" customWidth="1"/>
    <col min="4" max="4" width="21.42578125" style="224" customWidth="1"/>
    <col min="5" max="5" width="19.140625" style="224" bestFit="1" customWidth="1"/>
    <col min="6" max="19" width="5.7109375" style="224" customWidth="1"/>
    <col min="20" max="256" width="9.140625" style="224"/>
    <col min="257" max="257" width="5.42578125" style="224" bestFit="1" customWidth="1"/>
    <col min="258" max="258" width="9.140625" style="224"/>
    <col min="259" max="259" width="7.5703125" style="224" customWidth="1"/>
    <col min="260" max="260" width="21.42578125" style="224" customWidth="1"/>
    <col min="261" max="261" width="19.140625" style="224" bestFit="1" customWidth="1"/>
    <col min="262" max="275" width="5.7109375" style="224" customWidth="1"/>
    <col min="276" max="512" width="9.140625" style="224"/>
    <col min="513" max="513" width="5.42578125" style="224" bestFit="1" customWidth="1"/>
    <col min="514" max="514" width="9.140625" style="224"/>
    <col min="515" max="515" width="7.5703125" style="224" customWidth="1"/>
    <col min="516" max="516" width="21.42578125" style="224" customWidth="1"/>
    <col min="517" max="517" width="19.140625" style="224" bestFit="1" customWidth="1"/>
    <col min="518" max="531" width="5.7109375" style="224" customWidth="1"/>
    <col min="532" max="768" width="9.140625" style="224"/>
    <col min="769" max="769" width="5.42578125" style="224" bestFit="1" customWidth="1"/>
    <col min="770" max="770" width="9.140625" style="224"/>
    <col min="771" max="771" width="7.5703125" style="224" customWidth="1"/>
    <col min="772" max="772" width="21.42578125" style="224" customWidth="1"/>
    <col min="773" max="773" width="19.140625" style="224" bestFit="1" customWidth="1"/>
    <col min="774" max="787" width="5.7109375" style="224" customWidth="1"/>
    <col min="788" max="1024" width="9.140625" style="224"/>
    <col min="1025" max="1025" width="5.42578125" style="224" bestFit="1" customWidth="1"/>
    <col min="1026" max="1026" width="9.140625" style="224"/>
    <col min="1027" max="1027" width="7.5703125" style="224" customWidth="1"/>
    <col min="1028" max="1028" width="21.42578125" style="224" customWidth="1"/>
    <col min="1029" max="1029" width="19.140625" style="224" bestFit="1" customWidth="1"/>
    <col min="1030" max="1043" width="5.7109375" style="224" customWidth="1"/>
    <col min="1044" max="1280" width="9.140625" style="224"/>
    <col min="1281" max="1281" width="5.42578125" style="224" bestFit="1" customWidth="1"/>
    <col min="1282" max="1282" width="9.140625" style="224"/>
    <col min="1283" max="1283" width="7.5703125" style="224" customWidth="1"/>
    <col min="1284" max="1284" width="21.42578125" style="224" customWidth="1"/>
    <col min="1285" max="1285" width="19.140625" style="224" bestFit="1" customWidth="1"/>
    <col min="1286" max="1299" width="5.7109375" style="224" customWidth="1"/>
    <col min="1300" max="1536" width="9.140625" style="224"/>
    <col min="1537" max="1537" width="5.42578125" style="224" bestFit="1" customWidth="1"/>
    <col min="1538" max="1538" width="9.140625" style="224"/>
    <col min="1539" max="1539" width="7.5703125" style="224" customWidth="1"/>
    <col min="1540" max="1540" width="21.42578125" style="224" customWidth="1"/>
    <col min="1541" max="1541" width="19.140625" style="224" bestFit="1" customWidth="1"/>
    <col min="1542" max="1555" width="5.7109375" style="224" customWidth="1"/>
    <col min="1556" max="1792" width="9.140625" style="224"/>
    <col min="1793" max="1793" width="5.42578125" style="224" bestFit="1" customWidth="1"/>
    <col min="1794" max="1794" width="9.140625" style="224"/>
    <col min="1795" max="1795" width="7.5703125" style="224" customWidth="1"/>
    <col min="1796" max="1796" width="21.42578125" style="224" customWidth="1"/>
    <col min="1797" max="1797" width="19.140625" style="224" bestFit="1" customWidth="1"/>
    <col min="1798" max="1811" width="5.7109375" style="224" customWidth="1"/>
    <col min="1812" max="2048" width="9.140625" style="224"/>
    <col min="2049" max="2049" width="5.42578125" style="224" bestFit="1" customWidth="1"/>
    <col min="2050" max="2050" width="9.140625" style="224"/>
    <col min="2051" max="2051" width="7.5703125" style="224" customWidth="1"/>
    <col min="2052" max="2052" width="21.42578125" style="224" customWidth="1"/>
    <col min="2053" max="2053" width="19.140625" style="224" bestFit="1" customWidth="1"/>
    <col min="2054" max="2067" width="5.7109375" style="224" customWidth="1"/>
    <col min="2068" max="2304" width="9.140625" style="224"/>
    <col min="2305" max="2305" width="5.42578125" style="224" bestFit="1" customWidth="1"/>
    <col min="2306" max="2306" width="9.140625" style="224"/>
    <col min="2307" max="2307" width="7.5703125" style="224" customWidth="1"/>
    <col min="2308" max="2308" width="21.42578125" style="224" customWidth="1"/>
    <col min="2309" max="2309" width="19.140625" style="224" bestFit="1" customWidth="1"/>
    <col min="2310" max="2323" width="5.7109375" style="224" customWidth="1"/>
    <col min="2324" max="2560" width="9.140625" style="224"/>
    <col min="2561" max="2561" width="5.42578125" style="224" bestFit="1" customWidth="1"/>
    <col min="2562" max="2562" width="9.140625" style="224"/>
    <col min="2563" max="2563" width="7.5703125" style="224" customWidth="1"/>
    <col min="2564" max="2564" width="21.42578125" style="224" customWidth="1"/>
    <col min="2565" max="2565" width="19.140625" style="224" bestFit="1" customWidth="1"/>
    <col min="2566" max="2579" width="5.7109375" style="224" customWidth="1"/>
    <col min="2580" max="2816" width="9.140625" style="224"/>
    <col min="2817" max="2817" width="5.42578125" style="224" bestFit="1" customWidth="1"/>
    <col min="2818" max="2818" width="9.140625" style="224"/>
    <col min="2819" max="2819" width="7.5703125" style="224" customWidth="1"/>
    <col min="2820" max="2820" width="21.42578125" style="224" customWidth="1"/>
    <col min="2821" max="2821" width="19.140625" style="224" bestFit="1" customWidth="1"/>
    <col min="2822" max="2835" width="5.7109375" style="224" customWidth="1"/>
    <col min="2836" max="3072" width="9.140625" style="224"/>
    <col min="3073" max="3073" width="5.42578125" style="224" bestFit="1" customWidth="1"/>
    <col min="3074" max="3074" width="9.140625" style="224"/>
    <col min="3075" max="3075" width="7.5703125" style="224" customWidth="1"/>
    <col min="3076" max="3076" width="21.42578125" style="224" customWidth="1"/>
    <col min="3077" max="3077" width="19.140625" style="224" bestFit="1" customWidth="1"/>
    <col min="3078" max="3091" width="5.7109375" style="224" customWidth="1"/>
    <col min="3092" max="3328" width="9.140625" style="224"/>
    <col min="3329" max="3329" width="5.42578125" style="224" bestFit="1" customWidth="1"/>
    <col min="3330" max="3330" width="9.140625" style="224"/>
    <col min="3331" max="3331" width="7.5703125" style="224" customWidth="1"/>
    <col min="3332" max="3332" width="21.42578125" style="224" customWidth="1"/>
    <col min="3333" max="3333" width="19.140625" style="224" bestFit="1" customWidth="1"/>
    <col min="3334" max="3347" width="5.7109375" style="224" customWidth="1"/>
    <col min="3348" max="3584" width="9.140625" style="224"/>
    <col min="3585" max="3585" width="5.42578125" style="224" bestFit="1" customWidth="1"/>
    <col min="3586" max="3586" width="9.140625" style="224"/>
    <col min="3587" max="3587" width="7.5703125" style="224" customWidth="1"/>
    <col min="3588" max="3588" width="21.42578125" style="224" customWidth="1"/>
    <col min="3589" max="3589" width="19.140625" style="224" bestFit="1" customWidth="1"/>
    <col min="3590" max="3603" width="5.7109375" style="224" customWidth="1"/>
    <col min="3604" max="3840" width="9.140625" style="224"/>
    <col min="3841" max="3841" width="5.42578125" style="224" bestFit="1" customWidth="1"/>
    <col min="3842" max="3842" width="9.140625" style="224"/>
    <col min="3843" max="3843" width="7.5703125" style="224" customWidth="1"/>
    <col min="3844" max="3844" width="21.42578125" style="224" customWidth="1"/>
    <col min="3845" max="3845" width="19.140625" style="224" bestFit="1" customWidth="1"/>
    <col min="3846" max="3859" width="5.7109375" style="224" customWidth="1"/>
    <col min="3860" max="4096" width="9.140625" style="224"/>
    <col min="4097" max="4097" width="5.42578125" style="224" bestFit="1" customWidth="1"/>
    <col min="4098" max="4098" width="9.140625" style="224"/>
    <col min="4099" max="4099" width="7.5703125" style="224" customWidth="1"/>
    <col min="4100" max="4100" width="21.42578125" style="224" customWidth="1"/>
    <col min="4101" max="4101" width="19.140625" style="224" bestFit="1" customWidth="1"/>
    <col min="4102" max="4115" width="5.7109375" style="224" customWidth="1"/>
    <col min="4116" max="4352" width="9.140625" style="224"/>
    <col min="4353" max="4353" width="5.42578125" style="224" bestFit="1" customWidth="1"/>
    <col min="4354" max="4354" width="9.140625" style="224"/>
    <col min="4355" max="4355" width="7.5703125" style="224" customWidth="1"/>
    <col min="4356" max="4356" width="21.42578125" style="224" customWidth="1"/>
    <col min="4357" max="4357" width="19.140625" style="224" bestFit="1" customWidth="1"/>
    <col min="4358" max="4371" width="5.7109375" style="224" customWidth="1"/>
    <col min="4372" max="4608" width="9.140625" style="224"/>
    <col min="4609" max="4609" width="5.42578125" style="224" bestFit="1" customWidth="1"/>
    <col min="4610" max="4610" width="9.140625" style="224"/>
    <col min="4611" max="4611" width="7.5703125" style="224" customWidth="1"/>
    <col min="4612" max="4612" width="21.42578125" style="224" customWidth="1"/>
    <col min="4613" max="4613" width="19.140625" style="224" bestFit="1" customWidth="1"/>
    <col min="4614" max="4627" width="5.7109375" style="224" customWidth="1"/>
    <col min="4628" max="4864" width="9.140625" style="224"/>
    <col min="4865" max="4865" width="5.42578125" style="224" bestFit="1" customWidth="1"/>
    <col min="4866" max="4866" width="9.140625" style="224"/>
    <col min="4867" max="4867" width="7.5703125" style="224" customWidth="1"/>
    <col min="4868" max="4868" width="21.42578125" style="224" customWidth="1"/>
    <col min="4869" max="4869" width="19.140625" style="224" bestFit="1" customWidth="1"/>
    <col min="4870" max="4883" width="5.7109375" style="224" customWidth="1"/>
    <col min="4884" max="5120" width="9.140625" style="224"/>
    <col min="5121" max="5121" width="5.42578125" style="224" bestFit="1" customWidth="1"/>
    <col min="5122" max="5122" width="9.140625" style="224"/>
    <col min="5123" max="5123" width="7.5703125" style="224" customWidth="1"/>
    <col min="5124" max="5124" width="21.42578125" style="224" customWidth="1"/>
    <col min="5125" max="5125" width="19.140625" style="224" bestFit="1" customWidth="1"/>
    <col min="5126" max="5139" width="5.7109375" style="224" customWidth="1"/>
    <col min="5140" max="5376" width="9.140625" style="224"/>
    <col min="5377" max="5377" width="5.42578125" style="224" bestFit="1" customWidth="1"/>
    <col min="5378" max="5378" width="9.140625" style="224"/>
    <col min="5379" max="5379" width="7.5703125" style="224" customWidth="1"/>
    <col min="5380" max="5380" width="21.42578125" style="224" customWidth="1"/>
    <col min="5381" max="5381" width="19.140625" style="224" bestFit="1" customWidth="1"/>
    <col min="5382" max="5395" width="5.7109375" style="224" customWidth="1"/>
    <col min="5396" max="5632" width="9.140625" style="224"/>
    <col min="5633" max="5633" width="5.42578125" style="224" bestFit="1" customWidth="1"/>
    <col min="5634" max="5634" width="9.140625" style="224"/>
    <col min="5635" max="5635" width="7.5703125" style="224" customWidth="1"/>
    <col min="5636" max="5636" width="21.42578125" style="224" customWidth="1"/>
    <col min="5637" max="5637" width="19.140625" style="224" bestFit="1" customWidth="1"/>
    <col min="5638" max="5651" width="5.7109375" style="224" customWidth="1"/>
    <col min="5652" max="5888" width="9.140625" style="224"/>
    <col min="5889" max="5889" width="5.42578125" style="224" bestFit="1" customWidth="1"/>
    <col min="5890" max="5890" width="9.140625" style="224"/>
    <col min="5891" max="5891" width="7.5703125" style="224" customWidth="1"/>
    <col min="5892" max="5892" width="21.42578125" style="224" customWidth="1"/>
    <col min="5893" max="5893" width="19.140625" style="224" bestFit="1" customWidth="1"/>
    <col min="5894" max="5907" width="5.7109375" style="224" customWidth="1"/>
    <col min="5908" max="6144" width="9.140625" style="224"/>
    <col min="6145" max="6145" width="5.42578125" style="224" bestFit="1" customWidth="1"/>
    <col min="6146" max="6146" width="9.140625" style="224"/>
    <col min="6147" max="6147" width="7.5703125" style="224" customWidth="1"/>
    <col min="6148" max="6148" width="21.42578125" style="224" customWidth="1"/>
    <col min="6149" max="6149" width="19.140625" style="224" bestFit="1" customWidth="1"/>
    <col min="6150" max="6163" width="5.7109375" style="224" customWidth="1"/>
    <col min="6164" max="6400" width="9.140625" style="224"/>
    <col min="6401" max="6401" width="5.42578125" style="224" bestFit="1" customWidth="1"/>
    <col min="6402" max="6402" width="9.140625" style="224"/>
    <col min="6403" max="6403" width="7.5703125" style="224" customWidth="1"/>
    <col min="6404" max="6404" width="21.42578125" style="224" customWidth="1"/>
    <col min="6405" max="6405" width="19.140625" style="224" bestFit="1" customWidth="1"/>
    <col min="6406" max="6419" width="5.7109375" style="224" customWidth="1"/>
    <col min="6420" max="6656" width="9.140625" style="224"/>
    <col min="6657" max="6657" width="5.42578125" style="224" bestFit="1" customWidth="1"/>
    <col min="6658" max="6658" width="9.140625" style="224"/>
    <col min="6659" max="6659" width="7.5703125" style="224" customWidth="1"/>
    <col min="6660" max="6660" width="21.42578125" style="224" customWidth="1"/>
    <col min="6661" max="6661" width="19.140625" style="224" bestFit="1" customWidth="1"/>
    <col min="6662" max="6675" width="5.7109375" style="224" customWidth="1"/>
    <col min="6676" max="6912" width="9.140625" style="224"/>
    <col min="6913" max="6913" width="5.42578125" style="224" bestFit="1" customWidth="1"/>
    <col min="6914" max="6914" width="9.140625" style="224"/>
    <col min="6915" max="6915" width="7.5703125" style="224" customWidth="1"/>
    <col min="6916" max="6916" width="21.42578125" style="224" customWidth="1"/>
    <col min="6917" max="6917" width="19.140625" style="224" bestFit="1" customWidth="1"/>
    <col min="6918" max="6931" width="5.7109375" style="224" customWidth="1"/>
    <col min="6932" max="7168" width="9.140625" style="224"/>
    <col min="7169" max="7169" width="5.42578125" style="224" bestFit="1" customWidth="1"/>
    <col min="7170" max="7170" width="9.140625" style="224"/>
    <col min="7171" max="7171" width="7.5703125" style="224" customWidth="1"/>
    <col min="7172" max="7172" width="21.42578125" style="224" customWidth="1"/>
    <col min="7173" max="7173" width="19.140625" style="224" bestFit="1" customWidth="1"/>
    <col min="7174" max="7187" width="5.7109375" style="224" customWidth="1"/>
    <col min="7188" max="7424" width="9.140625" style="224"/>
    <col min="7425" max="7425" width="5.42578125" style="224" bestFit="1" customWidth="1"/>
    <col min="7426" max="7426" width="9.140625" style="224"/>
    <col min="7427" max="7427" width="7.5703125" style="224" customWidth="1"/>
    <col min="7428" max="7428" width="21.42578125" style="224" customWidth="1"/>
    <col min="7429" max="7429" width="19.140625" style="224" bestFit="1" customWidth="1"/>
    <col min="7430" max="7443" width="5.7109375" style="224" customWidth="1"/>
    <col min="7444" max="7680" width="9.140625" style="224"/>
    <col min="7681" max="7681" width="5.42578125" style="224" bestFit="1" customWidth="1"/>
    <col min="7682" max="7682" width="9.140625" style="224"/>
    <col min="7683" max="7683" width="7.5703125" style="224" customWidth="1"/>
    <col min="7684" max="7684" width="21.42578125" style="224" customWidth="1"/>
    <col min="7685" max="7685" width="19.140625" style="224" bestFit="1" customWidth="1"/>
    <col min="7686" max="7699" width="5.7109375" style="224" customWidth="1"/>
    <col min="7700" max="7936" width="9.140625" style="224"/>
    <col min="7937" max="7937" width="5.42578125" style="224" bestFit="1" customWidth="1"/>
    <col min="7938" max="7938" width="9.140625" style="224"/>
    <col min="7939" max="7939" width="7.5703125" style="224" customWidth="1"/>
    <col min="7940" max="7940" width="21.42578125" style="224" customWidth="1"/>
    <col min="7941" max="7941" width="19.140625" style="224" bestFit="1" customWidth="1"/>
    <col min="7942" max="7955" width="5.7109375" style="224" customWidth="1"/>
    <col min="7956" max="8192" width="9.140625" style="224"/>
    <col min="8193" max="8193" width="5.42578125" style="224" bestFit="1" customWidth="1"/>
    <col min="8194" max="8194" width="9.140625" style="224"/>
    <col min="8195" max="8195" width="7.5703125" style="224" customWidth="1"/>
    <col min="8196" max="8196" width="21.42578125" style="224" customWidth="1"/>
    <col min="8197" max="8197" width="19.140625" style="224" bestFit="1" customWidth="1"/>
    <col min="8198" max="8211" width="5.7109375" style="224" customWidth="1"/>
    <col min="8212" max="8448" width="9.140625" style="224"/>
    <col min="8449" max="8449" width="5.42578125" style="224" bestFit="1" customWidth="1"/>
    <col min="8450" max="8450" width="9.140625" style="224"/>
    <col min="8451" max="8451" width="7.5703125" style="224" customWidth="1"/>
    <col min="8452" max="8452" width="21.42578125" style="224" customWidth="1"/>
    <col min="8453" max="8453" width="19.140625" style="224" bestFit="1" customWidth="1"/>
    <col min="8454" max="8467" width="5.7109375" style="224" customWidth="1"/>
    <col min="8468" max="8704" width="9.140625" style="224"/>
    <col min="8705" max="8705" width="5.42578125" style="224" bestFit="1" customWidth="1"/>
    <col min="8706" max="8706" width="9.140625" style="224"/>
    <col min="8707" max="8707" width="7.5703125" style="224" customWidth="1"/>
    <col min="8708" max="8708" width="21.42578125" style="224" customWidth="1"/>
    <col min="8709" max="8709" width="19.140625" style="224" bestFit="1" customWidth="1"/>
    <col min="8710" max="8723" width="5.7109375" style="224" customWidth="1"/>
    <col min="8724" max="8960" width="9.140625" style="224"/>
    <col min="8961" max="8961" width="5.42578125" style="224" bestFit="1" customWidth="1"/>
    <col min="8962" max="8962" width="9.140625" style="224"/>
    <col min="8963" max="8963" width="7.5703125" style="224" customWidth="1"/>
    <col min="8964" max="8964" width="21.42578125" style="224" customWidth="1"/>
    <col min="8965" max="8965" width="19.140625" style="224" bestFit="1" customWidth="1"/>
    <col min="8966" max="8979" width="5.7109375" style="224" customWidth="1"/>
    <col min="8980" max="9216" width="9.140625" style="224"/>
    <col min="9217" max="9217" width="5.42578125" style="224" bestFit="1" customWidth="1"/>
    <col min="9218" max="9218" width="9.140625" style="224"/>
    <col min="9219" max="9219" width="7.5703125" style="224" customWidth="1"/>
    <col min="9220" max="9220" width="21.42578125" style="224" customWidth="1"/>
    <col min="9221" max="9221" width="19.140625" style="224" bestFit="1" customWidth="1"/>
    <col min="9222" max="9235" width="5.7109375" style="224" customWidth="1"/>
    <col min="9236" max="9472" width="9.140625" style="224"/>
    <col min="9473" max="9473" width="5.42578125" style="224" bestFit="1" customWidth="1"/>
    <col min="9474" max="9474" width="9.140625" style="224"/>
    <col min="9475" max="9475" width="7.5703125" style="224" customWidth="1"/>
    <col min="9476" max="9476" width="21.42578125" style="224" customWidth="1"/>
    <col min="9477" max="9477" width="19.140625" style="224" bestFit="1" customWidth="1"/>
    <col min="9478" max="9491" width="5.7109375" style="224" customWidth="1"/>
    <col min="9492" max="9728" width="9.140625" style="224"/>
    <col min="9729" max="9729" width="5.42578125" style="224" bestFit="1" customWidth="1"/>
    <col min="9730" max="9730" width="9.140625" style="224"/>
    <col min="9731" max="9731" width="7.5703125" style="224" customWidth="1"/>
    <col min="9732" max="9732" width="21.42578125" style="224" customWidth="1"/>
    <col min="9733" max="9733" width="19.140625" style="224" bestFit="1" customWidth="1"/>
    <col min="9734" max="9747" width="5.7109375" style="224" customWidth="1"/>
    <col min="9748" max="9984" width="9.140625" style="224"/>
    <col min="9985" max="9985" width="5.42578125" style="224" bestFit="1" customWidth="1"/>
    <col min="9986" max="9986" width="9.140625" style="224"/>
    <col min="9987" max="9987" width="7.5703125" style="224" customWidth="1"/>
    <col min="9988" max="9988" width="21.42578125" style="224" customWidth="1"/>
    <col min="9989" max="9989" width="19.140625" style="224" bestFit="1" customWidth="1"/>
    <col min="9990" max="10003" width="5.7109375" style="224" customWidth="1"/>
    <col min="10004" max="10240" width="9.140625" style="224"/>
    <col min="10241" max="10241" width="5.42578125" style="224" bestFit="1" customWidth="1"/>
    <col min="10242" max="10242" width="9.140625" style="224"/>
    <col min="10243" max="10243" width="7.5703125" style="224" customWidth="1"/>
    <col min="10244" max="10244" width="21.42578125" style="224" customWidth="1"/>
    <col min="10245" max="10245" width="19.140625" style="224" bestFit="1" customWidth="1"/>
    <col min="10246" max="10259" width="5.7109375" style="224" customWidth="1"/>
    <col min="10260" max="10496" width="9.140625" style="224"/>
    <col min="10497" max="10497" width="5.42578125" style="224" bestFit="1" customWidth="1"/>
    <col min="10498" max="10498" width="9.140625" style="224"/>
    <col min="10499" max="10499" width="7.5703125" style="224" customWidth="1"/>
    <col min="10500" max="10500" width="21.42578125" style="224" customWidth="1"/>
    <col min="10501" max="10501" width="19.140625" style="224" bestFit="1" customWidth="1"/>
    <col min="10502" max="10515" width="5.7109375" style="224" customWidth="1"/>
    <col min="10516" max="10752" width="9.140625" style="224"/>
    <col min="10753" max="10753" width="5.42578125" style="224" bestFit="1" customWidth="1"/>
    <col min="10754" max="10754" width="9.140625" style="224"/>
    <col min="10755" max="10755" width="7.5703125" style="224" customWidth="1"/>
    <col min="10756" max="10756" width="21.42578125" style="224" customWidth="1"/>
    <col min="10757" max="10757" width="19.140625" style="224" bestFit="1" customWidth="1"/>
    <col min="10758" max="10771" width="5.7109375" style="224" customWidth="1"/>
    <col min="10772" max="11008" width="9.140625" style="224"/>
    <col min="11009" max="11009" width="5.42578125" style="224" bestFit="1" customWidth="1"/>
    <col min="11010" max="11010" width="9.140625" style="224"/>
    <col min="11011" max="11011" width="7.5703125" style="224" customWidth="1"/>
    <col min="11012" max="11012" width="21.42578125" style="224" customWidth="1"/>
    <col min="11013" max="11013" width="19.140625" style="224" bestFit="1" customWidth="1"/>
    <col min="11014" max="11027" width="5.7109375" style="224" customWidth="1"/>
    <col min="11028" max="11264" width="9.140625" style="224"/>
    <col min="11265" max="11265" width="5.42578125" style="224" bestFit="1" customWidth="1"/>
    <col min="11266" max="11266" width="9.140625" style="224"/>
    <col min="11267" max="11267" width="7.5703125" style="224" customWidth="1"/>
    <col min="11268" max="11268" width="21.42578125" style="224" customWidth="1"/>
    <col min="11269" max="11269" width="19.140625" style="224" bestFit="1" customWidth="1"/>
    <col min="11270" max="11283" width="5.7109375" style="224" customWidth="1"/>
    <col min="11284" max="11520" width="9.140625" style="224"/>
    <col min="11521" max="11521" width="5.42578125" style="224" bestFit="1" customWidth="1"/>
    <col min="11522" max="11522" width="9.140625" style="224"/>
    <col min="11523" max="11523" width="7.5703125" style="224" customWidth="1"/>
    <col min="11524" max="11524" width="21.42578125" style="224" customWidth="1"/>
    <col min="11525" max="11525" width="19.140625" style="224" bestFit="1" customWidth="1"/>
    <col min="11526" max="11539" width="5.7109375" style="224" customWidth="1"/>
    <col min="11540" max="11776" width="9.140625" style="224"/>
    <col min="11777" max="11777" width="5.42578125" style="224" bestFit="1" customWidth="1"/>
    <col min="11778" max="11778" width="9.140625" style="224"/>
    <col min="11779" max="11779" width="7.5703125" style="224" customWidth="1"/>
    <col min="11780" max="11780" width="21.42578125" style="224" customWidth="1"/>
    <col min="11781" max="11781" width="19.140625" style="224" bestFit="1" customWidth="1"/>
    <col min="11782" max="11795" width="5.7109375" style="224" customWidth="1"/>
    <col min="11796" max="12032" width="9.140625" style="224"/>
    <col min="12033" max="12033" width="5.42578125" style="224" bestFit="1" customWidth="1"/>
    <col min="12034" max="12034" width="9.140625" style="224"/>
    <col min="12035" max="12035" width="7.5703125" style="224" customWidth="1"/>
    <col min="12036" max="12036" width="21.42578125" style="224" customWidth="1"/>
    <col min="12037" max="12037" width="19.140625" style="224" bestFit="1" customWidth="1"/>
    <col min="12038" max="12051" width="5.7109375" style="224" customWidth="1"/>
    <col min="12052" max="12288" width="9.140625" style="224"/>
    <col min="12289" max="12289" width="5.42578125" style="224" bestFit="1" customWidth="1"/>
    <col min="12290" max="12290" width="9.140625" style="224"/>
    <col min="12291" max="12291" width="7.5703125" style="224" customWidth="1"/>
    <col min="12292" max="12292" width="21.42578125" style="224" customWidth="1"/>
    <col min="12293" max="12293" width="19.140625" style="224" bestFit="1" customWidth="1"/>
    <col min="12294" max="12307" width="5.7109375" style="224" customWidth="1"/>
    <col min="12308" max="12544" width="9.140625" style="224"/>
    <col min="12545" max="12545" width="5.42578125" style="224" bestFit="1" customWidth="1"/>
    <col min="12546" max="12546" width="9.140625" style="224"/>
    <col min="12547" max="12547" width="7.5703125" style="224" customWidth="1"/>
    <col min="12548" max="12548" width="21.42578125" style="224" customWidth="1"/>
    <col min="12549" max="12549" width="19.140625" style="224" bestFit="1" customWidth="1"/>
    <col min="12550" max="12563" width="5.7109375" style="224" customWidth="1"/>
    <col min="12564" max="12800" width="9.140625" style="224"/>
    <col min="12801" max="12801" width="5.42578125" style="224" bestFit="1" customWidth="1"/>
    <col min="12802" max="12802" width="9.140625" style="224"/>
    <col min="12803" max="12803" width="7.5703125" style="224" customWidth="1"/>
    <col min="12804" max="12804" width="21.42578125" style="224" customWidth="1"/>
    <col min="12805" max="12805" width="19.140625" style="224" bestFit="1" customWidth="1"/>
    <col min="12806" max="12819" width="5.7109375" style="224" customWidth="1"/>
    <col min="12820" max="13056" width="9.140625" style="224"/>
    <col min="13057" max="13057" width="5.42578125" style="224" bestFit="1" customWidth="1"/>
    <col min="13058" max="13058" width="9.140625" style="224"/>
    <col min="13059" max="13059" width="7.5703125" style="224" customWidth="1"/>
    <col min="13060" max="13060" width="21.42578125" style="224" customWidth="1"/>
    <col min="13061" max="13061" width="19.140625" style="224" bestFit="1" customWidth="1"/>
    <col min="13062" max="13075" width="5.7109375" style="224" customWidth="1"/>
    <col min="13076" max="13312" width="9.140625" style="224"/>
    <col min="13313" max="13313" width="5.42578125" style="224" bestFit="1" customWidth="1"/>
    <col min="13314" max="13314" width="9.140625" style="224"/>
    <col min="13315" max="13315" width="7.5703125" style="224" customWidth="1"/>
    <col min="13316" max="13316" width="21.42578125" style="224" customWidth="1"/>
    <col min="13317" max="13317" width="19.140625" style="224" bestFit="1" customWidth="1"/>
    <col min="13318" max="13331" width="5.7109375" style="224" customWidth="1"/>
    <col min="13332" max="13568" width="9.140625" style="224"/>
    <col min="13569" max="13569" width="5.42578125" style="224" bestFit="1" customWidth="1"/>
    <col min="13570" max="13570" width="9.140625" style="224"/>
    <col min="13571" max="13571" width="7.5703125" style="224" customWidth="1"/>
    <col min="13572" max="13572" width="21.42578125" style="224" customWidth="1"/>
    <col min="13573" max="13573" width="19.140625" style="224" bestFit="1" customWidth="1"/>
    <col min="13574" max="13587" width="5.7109375" style="224" customWidth="1"/>
    <col min="13588" max="13824" width="9.140625" style="224"/>
    <col min="13825" max="13825" width="5.42578125" style="224" bestFit="1" customWidth="1"/>
    <col min="13826" max="13826" width="9.140625" style="224"/>
    <col min="13827" max="13827" width="7.5703125" style="224" customWidth="1"/>
    <col min="13828" max="13828" width="21.42578125" style="224" customWidth="1"/>
    <col min="13829" max="13829" width="19.140625" style="224" bestFit="1" customWidth="1"/>
    <col min="13830" max="13843" width="5.7109375" style="224" customWidth="1"/>
    <col min="13844" max="14080" width="9.140625" style="224"/>
    <col min="14081" max="14081" width="5.42578125" style="224" bestFit="1" customWidth="1"/>
    <col min="14082" max="14082" width="9.140625" style="224"/>
    <col min="14083" max="14083" width="7.5703125" style="224" customWidth="1"/>
    <col min="14084" max="14084" width="21.42578125" style="224" customWidth="1"/>
    <col min="14085" max="14085" width="19.140625" style="224" bestFit="1" customWidth="1"/>
    <col min="14086" max="14099" width="5.7109375" style="224" customWidth="1"/>
    <col min="14100" max="14336" width="9.140625" style="224"/>
    <col min="14337" max="14337" width="5.42578125" style="224" bestFit="1" customWidth="1"/>
    <col min="14338" max="14338" width="9.140625" style="224"/>
    <col min="14339" max="14339" width="7.5703125" style="224" customWidth="1"/>
    <col min="14340" max="14340" width="21.42578125" style="224" customWidth="1"/>
    <col min="14341" max="14341" width="19.140625" style="224" bestFit="1" customWidth="1"/>
    <col min="14342" max="14355" width="5.7109375" style="224" customWidth="1"/>
    <col min="14356" max="14592" width="9.140625" style="224"/>
    <col min="14593" max="14593" width="5.42578125" style="224" bestFit="1" customWidth="1"/>
    <col min="14594" max="14594" width="9.140625" style="224"/>
    <col min="14595" max="14595" width="7.5703125" style="224" customWidth="1"/>
    <col min="14596" max="14596" width="21.42578125" style="224" customWidth="1"/>
    <col min="14597" max="14597" width="19.140625" style="224" bestFit="1" customWidth="1"/>
    <col min="14598" max="14611" width="5.7109375" style="224" customWidth="1"/>
    <col min="14612" max="14848" width="9.140625" style="224"/>
    <col min="14849" max="14849" width="5.42578125" style="224" bestFit="1" customWidth="1"/>
    <col min="14850" max="14850" width="9.140625" style="224"/>
    <col min="14851" max="14851" width="7.5703125" style="224" customWidth="1"/>
    <col min="14852" max="14852" width="21.42578125" style="224" customWidth="1"/>
    <col min="14853" max="14853" width="19.140625" style="224" bestFit="1" customWidth="1"/>
    <col min="14854" max="14867" width="5.7109375" style="224" customWidth="1"/>
    <col min="14868" max="15104" width="9.140625" style="224"/>
    <col min="15105" max="15105" width="5.42578125" style="224" bestFit="1" customWidth="1"/>
    <col min="15106" max="15106" width="9.140625" style="224"/>
    <col min="15107" max="15107" width="7.5703125" style="224" customWidth="1"/>
    <col min="15108" max="15108" width="21.42578125" style="224" customWidth="1"/>
    <col min="15109" max="15109" width="19.140625" style="224" bestFit="1" customWidth="1"/>
    <col min="15110" max="15123" width="5.7109375" style="224" customWidth="1"/>
    <col min="15124" max="15360" width="9.140625" style="224"/>
    <col min="15361" max="15361" width="5.42578125" style="224" bestFit="1" customWidth="1"/>
    <col min="15362" max="15362" width="9.140625" style="224"/>
    <col min="15363" max="15363" width="7.5703125" style="224" customWidth="1"/>
    <col min="15364" max="15364" width="21.42578125" style="224" customWidth="1"/>
    <col min="15365" max="15365" width="19.140625" style="224" bestFit="1" customWidth="1"/>
    <col min="15366" max="15379" width="5.7109375" style="224" customWidth="1"/>
    <col min="15380" max="15616" width="9.140625" style="224"/>
    <col min="15617" max="15617" width="5.42578125" style="224" bestFit="1" customWidth="1"/>
    <col min="15618" max="15618" width="9.140625" style="224"/>
    <col min="15619" max="15619" width="7.5703125" style="224" customWidth="1"/>
    <col min="15620" max="15620" width="21.42578125" style="224" customWidth="1"/>
    <col min="15621" max="15621" width="19.140625" style="224" bestFit="1" customWidth="1"/>
    <col min="15622" max="15635" width="5.7109375" style="224" customWidth="1"/>
    <col min="15636" max="15872" width="9.140625" style="224"/>
    <col min="15873" max="15873" width="5.42578125" style="224" bestFit="1" customWidth="1"/>
    <col min="15874" max="15874" width="9.140625" style="224"/>
    <col min="15875" max="15875" width="7.5703125" style="224" customWidth="1"/>
    <col min="15876" max="15876" width="21.42578125" style="224" customWidth="1"/>
    <col min="15877" max="15877" width="19.140625" style="224" bestFit="1" customWidth="1"/>
    <col min="15878" max="15891" width="5.7109375" style="224" customWidth="1"/>
    <col min="15892" max="16128" width="9.140625" style="224"/>
    <col min="16129" max="16129" width="5.42578125" style="224" bestFit="1" customWidth="1"/>
    <col min="16130" max="16130" width="9.140625" style="224"/>
    <col min="16131" max="16131" width="7.5703125" style="224" customWidth="1"/>
    <col min="16132" max="16132" width="21.42578125" style="224" customWidth="1"/>
    <col min="16133" max="16133" width="19.140625" style="224" bestFit="1" customWidth="1"/>
    <col min="16134" max="16147" width="5.7109375" style="224" customWidth="1"/>
    <col min="16148" max="16384" width="9.140625" style="224"/>
  </cols>
  <sheetData>
    <row r="2" spans="1:19" ht="18.75" x14ac:dyDescent="0.3">
      <c r="D2" s="225" t="s">
        <v>226</v>
      </c>
      <c r="E2" s="226"/>
      <c r="F2" s="226"/>
      <c r="G2" s="226"/>
    </row>
    <row r="3" spans="1:19" x14ac:dyDescent="0.25">
      <c r="F3" s="227"/>
      <c r="G3" s="227"/>
      <c r="H3" s="227"/>
      <c r="I3" s="227"/>
      <c r="J3" s="227"/>
    </row>
    <row r="4" spans="1:19" x14ac:dyDescent="0.25">
      <c r="D4" s="228" t="s">
        <v>227</v>
      </c>
      <c r="G4" s="413" t="s">
        <v>228</v>
      </c>
      <c r="H4" s="413"/>
      <c r="I4" s="414"/>
      <c r="J4" s="414"/>
      <c r="K4" s="414"/>
    </row>
    <row r="5" spans="1:19" x14ac:dyDescent="0.25">
      <c r="D5" s="228" t="s">
        <v>229</v>
      </c>
      <c r="E5" s="224" t="str">
        <f>Setup!B3</f>
        <v>Serieomgång 1</v>
      </c>
      <c r="G5" s="413" t="s">
        <v>230</v>
      </c>
      <c r="H5" s="413"/>
      <c r="I5" s="415">
        <f ca="1">TODAY()</f>
        <v>43168</v>
      </c>
      <c r="J5" s="415"/>
      <c r="K5" s="415"/>
      <c r="M5" s="416" t="s">
        <v>231</v>
      </c>
      <c r="N5" s="416"/>
      <c r="O5" s="416"/>
      <c r="P5" s="416"/>
      <c r="Q5" s="227"/>
      <c r="R5" s="227"/>
    </row>
    <row r="6" spans="1:19" ht="3" customHeight="1" x14ac:dyDescent="0.25"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</row>
    <row r="7" spans="1:19" x14ac:dyDescent="0.25">
      <c r="A7" s="229"/>
      <c r="B7" s="229"/>
      <c r="C7" s="254"/>
      <c r="D7" s="229"/>
      <c r="E7" s="230"/>
      <c r="F7" s="410" t="s">
        <v>232</v>
      </c>
      <c r="G7" s="411"/>
      <c r="H7" s="411"/>
      <c r="I7" s="412"/>
      <c r="J7" s="410" t="s">
        <v>233</v>
      </c>
      <c r="K7" s="411"/>
      <c r="L7" s="411"/>
      <c r="M7" s="412"/>
      <c r="N7" s="410" t="s">
        <v>234</v>
      </c>
      <c r="O7" s="411"/>
      <c r="P7" s="411"/>
      <c r="Q7" s="412"/>
      <c r="R7" s="229"/>
      <c r="S7" s="229"/>
    </row>
    <row r="8" spans="1:19" x14ac:dyDescent="0.25">
      <c r="A8" s="265" t="s">
        <v>235</v>
      </c>
      <c r="B8" s="265" t="s">
        <v>236</v>
      </c>
      <c r="C8" s="266" t="s">
        <v>237</v>
      </c>
      <c r="D8" s="265" t="s">
        <v>190</v>
      </c>
      <c r="E8" s="267" t="s">
        <v>238</v>
      </c>
      <c r="F8" s="268" t="s">
        <v>239</v>
      </c>
      <c r="G8" s="269" t="s">
        <v>240</v>
      </c>
      <c r="H8" s="269" t="s">
        <v>241</v>
      </c>
      <c r="I8" s="269" t="s">
        <v>242</v>
      </c>
      <c r="J8" s="269" t="s">
        <v>239</v>
      </c>
      <c r="K8" s="269" t="s">
        <v>240</v>
      </c>
      <c r="L8" s="269" t="s">
        <v>241</v>
      </c>
      <c r="M8" s="269" t="s">
        <v>242</v>
      </c>
      <c r="N8" s="269" t="s">
        <v>239</v>
      </c>
      <c r="O8" s="269" t="s">
        <v>240</v>
      </c>
      <c r="P8" s="269" t="s">
        <v>241</v>
      </c>
      <c r="Q8" s="269" t="s">
        <v>242</v>
      </c>
      <c r="R8" s="270" t="s">
        <v>202</v>
      </c>
      <c r="S8" s="270" t="s">
        <v>186</v>
      </c>
    </row>
    <row r="9" spans="1:19" ht="15" customHeight="1" x14ac:dyDescent="0.25">
      <c r="A9" s="271" t="s">
        <v>313</v>
      </c>
      <c r="B9" s="271" t="s">
        <v>351</v>
      </c>
      <c r="C9" s="272">
        <v>97.35</v>
      </c>
      <c r="D9" s="273" t="s">
        <v>281</v>
      </c>
      <c r="E9" s="274" t="s">
        <v>216</v>
      </c>
      <c r="F9" s="275">
        <v>70</v>
      </c>
      <c r="G9" s="276">
        <v>-80</v>
      </c>
      <c r="H9" s="275">
        <v>-105</v>
      </c>
      <c r="I9" s="290">
        <v>70</v>
      </c>
      <c r="J9" s="275">
        <v>40</v>
      </c>
      <c r="K9" s="275">
        <v>50</v>
      </c>
      <c r="L9" s="275">
        <v>-55</v>
      </c>
      <c r="M9" s="290">
        <v>50</v>
      </c>
      <c r="N9" s="275">
        <v>80</v>
      </c>
      <c r="O9" s="275">
        <v>100</v>
      </c>
      <c r="P9" s="275">
        <v>110</v>
      </c>
      <c r="Q9" s="290">
        <v>110</v>
      </c>
      <c r="R9" s="275">
        <v>230</v>
      </c>
      <c r="S9" s="277">
        <v>193.08500230312347</v>
      </c>
    </row>
    <row r="10" spans="1:19" ht="15" customHeight="1" x14ac:dyDescent="0.25">
      <c r="A10" s="231" t="s">
        <v>313</v>
      </c>
      <c r="B10" s="231" t="s">
        <v>352</v>
      </c>
      <c r="C10" s="258">
        <v>80.400000000000006</v>
      </c>
      <c r="D10" s="232" t="s">
        <v>289</v>
      </c>
      <c r="E10" s="233" t="s">
        <v>184</v>
      </c>
      <c r="F10" s="234">
        <v>75</v>
      </c>
      <c r="G10" s="235">
        <v>80</v>
      </c>
      <c r="H10" s="234">
        <v>-90</v>
      </c>
      <c r="I10" s="291">
        <v>80</v>
      </c>
      <c r="J10" s="234">
        <v>40</v>
      </c>
      <c r="K10" s="234">
        <v>45</v>
      </c>
      <c r="L10" s="234">
        <v>-50</v>
      </c>
      <c r="M10" s="291">
        <v>45</v>
      </c>
      <c r="N10" s="234">
        <v>100</v>
      </c>
      <c r="O10" s="234">
        <v>112.5</v>
      </c>
      <c r="P10" s="234">
        <v>117.5</v>
      </c>
      <c r="Q10" s="291">
        <v>117.5</v>
      </c>
      <c r="R10" s="234">
        <v>242.5</v>
      </c>
      <c r="S10" s="278">
        <v>221.28125578165054</v>
      </c>
    </row>
    <row r="11" spans="1:19" ht="15" customHeight="1" x14ac:dyDescent="0.25">
      <c r="A11" s="271" t="s">
        <v>313</v>
      </c>
      <c r="B11" s="271" t="s">
        <v>353</v>
      </c>
      <c r="C11" s="272">
        <v>61.3</v>
      </c>
      <c r="D11" s="281" t="s">
        <v>284</v>
      </c>
      <c r="E11" s="274" t="s">
        <v>216</v>
      </c>
      <c r="F11" s="275">
        <v>80</v>
      </c>
      <c r="G11" s="276">
        <v>85</v>
      </c>
      <c r="H11" s="275">
        <v>92.5</v>
      </c>
      <c r="I11" s="290">
        <v>92.5</v>
      </c>
      <c r="J11" s="275">
        <v>75</v>
      </c>
      <c r="K11" s="275">
        <v>80</v>
      </c>
      <c r="L11" s="275">
        <v>82.5</v>
      </c>
      <c r="M11" s="290">
        <v>82.5</v>
      </c>
      <c r="N11" s="275">
        <v>100</v>
      </c>
      <c r="O11" s="275">
        <v>105</v>
      </c>
      <c r="P11" s="275">
        <v>110</v>
      </c>
      <c r="Q11" s="290">
        <v>110</v>
      </c>
      <c r="R11" s="275">
        <v>285</v>
      </c>
      <c r="S11" s="277">
        <v>312.53101587295532</v>
      </c>
    </row>
    <row r="12" spans="1:19" ht="15" customHeight="1" x14ac:dyDescent="0.25">
      <c r="A12" s="231" t="s">
        <v>313</v>
      </c>
      <c r="B12" s="231" t="s">
        <v>354</v>
      </c>
      <c r="C12" s="258">
        <v>86.45</v>
      </c>
      <c r="D12" s="232" t="s">
        <v>291</v>
      </c>
      <c r="E12" s="233" t="s">
        <v>260</v>
      </c>
      <c r="F12" s="234">
        <v>90</v>
      </c>
      <c r="G12" s="235">
        <v>-100</v>
      </c>
      <c r="H12" s="234">
        <v>100</v>
      </c>
      <c r="I12" s="291">
        <v>100</v>
      </c>
      <c r="J12" s="234">
        <v>60</v>
      </c>
      <c r="K12" s="234">
        <v>70</v>
      </c>
      <c r="L12" s="234">
        <v>75</v>
      </c>
      <c r="M12" s="291">
        <v>75</v>
      </c>
      <c r="N12" s="234">
        <v>100</v>
      </c>
      <c r="O12" s="234">
        <v>120</v>
      </c>
      <c r="P12" s="234">
        <v>140</v>
      </c>
      <c r="Q12" s="291">
        <v>140</v>
      </c>
      <c r="R12" s="234">
        <v>315</v>
      </c>
      <c r="S12" s="278">
        <v>205.41150838136673</v>
      </c>
    </row>
    <row r="13" spans="1:19" ht="15" customHeight="1" x14ac:dyDescent="0.25">
      <c r="A13" s="271" t="s">
        <v>313</v>
      </c>
      <c r="B13" s="271" t="s">
        <v>355</v>
      </c>
      <c r="C13" s="272">
        <v>58.2</v>
      </c>
      <c r="D13" s="273" t="s">
        <v>279</v>
      </c>
      <c r="E13" s="274" t="s">
        <v>184</v>
      </c>
      <c r="F13" s="275">
        <v>100</v>
      </c>
      <c r="G13" s="276">
        <v>110</v>
      </c>
      <c r="H13" s="275">
        <v>-112.5</v>
      </c>
      <c r="I13" s="290">
        <v>110</v>
      </c>
      <c r="J13" s="275">
        <v>67.5</v>
      </c>
      <c r="K13" s="275">
        <v>70</v>
      </c>
      <c r="L13" s="275">
        <v>75</v>
      </c>
      <c r="M13" s="290">
        <v>75</v>
      </c>
      <c r="N13" s="275">
        <v>130</v>
      </c>
      <c r="O13" s="275">
        <v>140</v>
      </c>
      <c r="P13" s="275">
        <v>150</v>
      </c>
      <c r="Q13" s="290">
        <v>150</v>
      </c>
      <c r="R13" s="275">
        <v>335</v>
      </c>
      <c r="S13" s="277">
        <v>382.43600428104401</v>
      </c>
    </row>
    <row r="14" spans="1:19" ht="15" customHeight="1" x14ac:dyDescent="0.25">
      <c r="A14" s="231" t="s">
        <v>313</v>
      </c>
      <c r="B14" s="231" t="s">
        <v>356</v>
      </c>
      <c r="C14" s="258">
        <v>62.55</v>
      </c>
      <c r="D14" s="232" t="s">
        <v>283</v>
      </c>
      <c r="E14" s="233" t="s">
        <v>260</v>
      </c>
      <c r="F14" s="234">
        <v>100</v>
      </c>
      <c r="G14" s="235">
        <v>110</v>
      </c>
      <c r="H14" s="234"/>
      <c r="I14" s="291">
        <v>110</v>
      </c>
      <c r="J14" s="234">
        <v>60</v>
      </c>
      <c r="K14" s="234">
        <v>65</v>
      </c>
      <c r="L14" s="234">
        <v>67.5</v>
      </c>
      <c r="M14" s="291">
        <v>67.5</v>
      </c>
      <c r="N14" s="234">
        <v>120</v>
      </c>
      <c r="O14" s="234">
        <v>130</v>
      </c>
      <c r="P14" s="234"/>
      <c r="Q14" s="291">
        <v>130</v>
      </c>
      <c r="R14" s="234">
        <v>307.5</v>
      </c>
      <c r="S14" s="278">
        <v>332.03850299119949</v>
      </c>
    </row>
    <row r="15" spans="1:19" ht="15" customHeight="1" x14ac:dyDescent="0.25">
      <c r="A15" s="271" t="s">
        <v>313</v>
      </c>
      <c r="B15" s="271" t="s">
        <v>357</v>
      </c>
      <c r="C15" s="272">
        <v>81.7</v>
      </c>
      <c r="D15" s="273" t="s">
        <v>293</v>
      </c>
      <c r="E15" s="274" t="s">
        <v>260</v>
      </c>
      <c r="F15" s="275">
        <v>110</v>
      </c>
      <c r="G15" s="276">
        <v>115</v>
      </c>
      <c r="H15" s="275">
        <v>125</v>
      </c>
      <c r="I15" s="290">
        <v>125</v>
      </c>
      <c r="J15" s="275">
        <v>100</v>
      </c>
      <c r="K15" s="275">
        <v>105</v>
      </c>
      <c r="L15" s="275">
        <v>110</v>
      </c>
      <c r="M15" s="290">
        <v>110</v>
      </c>
      <c r="N15" s="275">
        <v>150</v>
      </c>
      <c r="O15" s="275">
        <v>180</v>
      </c>
      <c r="P15" s="275">
        <v>200</v>
      </c>
      <c r="Q15" s="290">
        <v>200</v>
      </c>
      <c r="R15" s="275">
        <v>435</v>
      </c>
      <c r="S15" s="277">
        <v>293.14650356769562</v>
      </c>
    </row>
    <row r="16" spans="1:19" ht="15" customHeight="1" x14ac:dyDescent="0.25">
      <c r="A16" s="231" t="s">
        <v>313</v>
      </c>
      <c r="B16" s="231" t="s">
        <v>358</v>
      </c>
      <c r="C16" s="258">
        <v>89.15</v>
      </c>
      <c r="D16" s="232" t="s">
        <v>287</v>
      </c>
      <c r="E16" s="233" t="s">
        <v>216</v>
      </c>
      <c r="F16" s="234">
        <v>110</v>
      </c>
      <c r="G16" s="235">
        <v>120</v>
      </c>
      <c r="H16" s="234">
        <v>-127.5</v>
      </c>
      <c r="I16" s="291">
        <v>120</v>
      </c>
      <c r="J16" s="234">
        <v>70</v>
      </c>
      <c r="K16" s="234">
        <v>80</v>
      </c>
      <c r="L16" s="234">
        <v>-85</v>
      </c>
      <c r="M16" s="291">
        <v>80</v>
      </c>
      <c r="N16" s="234">
        <v>120</v>
      </c>
      <c r="O16" s="234">
        <v>140</v>
      </c>
      <c r="P16" s="234">
        <v>-150</v>
      </c>
      <c r="Q16" s="291">
        <v>140</v>
      </c>
      <c r="R16" s="234">
        <v>340</v>
      </c>
      <c r="S16" s="278">
        <v>294.95000243186951</v>
      </c>
    </row>
    <row r="17" spans="1:19" ht="15" customHeight="1" x14ac:dyDescent="0.25">
      <c r="A17" s="271" t="s">
        <v>313</v>
      </c>
      <c r="B17" s="271" t="s">
        <v>359</v>
      </c>
      <c r="C17" s="272">
        <v>63</v>
      </c>
      <c r="D17" s="273" t="s">
        <v>253</v>
      </c>
      <c r="E17" s="274" t="s">
        <v>184</v>
      </c>
      <c r="F17" s="275">
        <v>115</v>
      </c>
      <c r="G17" s="276">
        <v>120</v>
      </c>
      <c r="H17" s="275">
        <v>-122.5</v>
      </c>
      <c r="I17" s="290">
        <v>120</v>
      </c>
      <c r="J17" s="275">
        <v>65</v>
      </c>
      <c r="K17" s="275">
        <v>67.5</v>
      </c>
      <c r="L17" s="275">
        <v>-70</v>
      </c>
      <c r="M17" s="290">
        <v>67.5</v>
      </c>
      <c r="N17" s="275">
        <v>150</v>
      </c>
      <c r="O17" s="275">
        <v>-162.5</v>
      </c>
      <c r="P17" s="275">
        <v>162.5</v>
      </c>
      <c r="Q17" s="290">
        <v>162.5</v>
      </c>
      <c r="R17" s="275">
        <v>350</v>
      </c>
      <c r="S17" s="277">
        <v>375.90000033378601</v>
      </c>
    </row>
    <row r="18" spans="1:19" ht="15" customHeight="1" x14ac:dyDescent="0.25">
      <c r="A18" s="231" t="s">
        <v>313</v>
      </c>
      <c r="B18" s="231" t="s">
        <v>360</v>
      </c>
      <c r="C18" s="258">
        <v>70.55</v>
      </c>
      <c r="D18" s="232" t="s">
        <v>285</v>
      </c>
      <c r="E18" s="233" t="s">
        <v>184</v>
      </c>
      <c r="F18" s="234">
        <v>125</v>
      </c>
      <c r="G18" s="235">
        <v>130</v>
      </c>
      <c r="H18" s="234">
        <v>-135</v>
      </c>
      <c r="I18" s="291">
        <v>130</v>
      </c>
      <c r="J18" s="234">
        <v>67.5</v>
      </c>
      <c r="K18" s="234">
        <v>72.5</v>
      </c>
      <c r="L18" s="234">
        <v>-77.5</v>
      </c>
      <c r="M18" s="291">
        <v>72.5</v>
      </c>
      <c r="N18" s="234">
        <v>140</v>
      </c>
      <c r="O18" s="234">
        <v>150</v>
      </c>
      <c r="P18" s="234">
        <v>-160</v>
      </c>
      <c r="Q18" s="291">
        <v>150</v>
      </c>
      <c r="R18" s="234">
        <v>352.5</v>
      </c>
      <c r="S18" s="278">
        <v>348.79874512553215</v>
      </c>
    </row>
    <row r="19" spans="1:19" ht="15" customHeight="1" x14ac:dyDescent="0.25">
      <c r="A19" s="271" t="s">
        <v>313</v>
      </c>
      <c r="B19" s="271" t="s">
        <v>361</v>
      </c>
      <c r="C19" s="272">
        <v>72.3</v>
      </c>
      <c r="D19" s="273" t="s">
        <v>280</v>
      </c>
      <c r="E19" s="274" t="s">
        <v>184</v>
      </c>
      <c r="F19" s="275">
        <v>130</v>
      </c>
      <c r="G19" s="276">
        <v>145</v>
      </c>
      <c r="H19" s="275">
        <v>-155</v>
      </c>
      <c r="I19" s="290">
        <v>145</v>
      </c>
      <c r="J19" s="275">
        <v>60</v>
      </c>
      <c r="K19" s="275">
        <v>-65</v>
      </c>
      <c r="L19" s="275">
        <v>-70</v>
      </c>
      <c r="M19" s="290">
        <v>60</v>
      </c>
      <c r="N19" s="275">
        <v>120</v>
      </c>
      <c r="O19" s="275">
        <v>130</v>
      </c>
      <c r="P19" s="275">
        <v>135</v>
      </c>
      <c r="Q19" s="290">
        <v>135</v>
      </c>
      <c r="R19" s="275">
        <v>340</v>
      </c>
      <c r="S19" s="277">
        <v>330.95599889755249</v>
      </c>
    </row>
    <row r="20" spans="1:19" x14ac:dyDescent="0.25">
      <c r="A20" s="231" t="s">
        <v>313</v>
      </c>
      <c r="B20" s="231" t="s">
        <v>362</v>
      </c>
      <c r="C20" s="258">
        <v>75.599999999999994</v>
      </c>
      <c r="D20" s="231" t="s">
        <v>288</v>
      </c>
      <c r="E20" s="236" t="s">
        <v>260</v>
      </c>
      <c r="F20" s="237">
        <v>160</v>
      </c>
      <c r="G20" s="234">
        <v>170</v>
      </c>
      <c r="H20" s="234"/>
      <c r="I20" s="291">
        <v>170</v>
      </c>
      <c r="J20" s="234">
        <v>60</v>
      </c>
      <c r="K20" s="234">
        <v>62.5</v>
      </c>
      <c r="L20" s="234">
        <v>65</v>
      </c>
      <c r="M20" s="291">
        <v>65</v>
      </c>
      <c r="N20" s="234">
        <v>160</v>
      </c>
      <c r="O20" s="234">
        <v>167.5</v>
      </c>
      <c r="P20" s="234">
        <v>175</v>
      </c>
      <c r="Q20" s="291">
        <v>175</v>
      </c>
      <c r="R20" s="234">
        <v>410</v>
      </c>
      <c r="S20" s="278">
        <v>387.81900942325592</v>
      </c>
    </row>
    <row r="21" spans="1:19" x14ac:dyDescent="0.25">
      <c r="A21" s="271"/>
      <c r="B21" s="271"/>
      <c r="C21" s="272"/>
      <c r="D21" s="271"/>
      <c r="E21" s="271"/>
      <c r="F21" s="275"/>
      <c r="G21" s="275"/>
      <c r="H21" s="275"/>
      <c r="I21" s="290"/>
      <c r="J21" s="275"/>
      <c r="K21" s="275"/>
      <c r="L21" s="275"/>
      <c r="M21" s="290"/>
      <c r="N21" s="275"/>
      <c r="O21" s="275"/>
      <c r="P21" s="275"/>
      <c r="Q21" s="290"/>
      <c r="R21" s="275"/>
      <c r="S21" s="277"/>
    </row>
    <row r="22" spans="1:19" x14ac:dyDescent="0.25">
      <c r="A22" s="231"/>
      <c r="B22" s="231"/>
      <c r="C22" s="258"/>
      <c r="D22" s="231"/>
      <c r="E22" s="231"/>
      <c r="F22" s="234"/>
      <c r="G22" s="234"/>
      <c r="H22" s="234"/>
      <c r="I22" s="291"/>
      <c r="J22" s="234"/>
      <c r="K22" s="234"/>
      <c r="L22" s="234"/>
      <c r="M22" s="291"/>
      <c r="N22" s="234"/>
      <c r="O22" s="234"/>
      <c r="P22" s="234"/>
      <c r="Q22" s="291"/>
      <c r="R22" s="234"/>
      <c r="S22" s="278"/>
    </row>
    <row r="23" spans="1:19" x14ac:dyDescent="0.25">
      <c r="A23" s="271"/>
      <c r="B23" s="271"/>
      <c r="C23" s="272"/>
      <c r="D23" s="271"/>
      <c r="E23" s="271"/>
      <c r="F23" s="275"/>
      <c r="G23" s="275"/>
      <c r="H23" s="275"/>
      <c r="I23" s="290"/>
      <c r="J23" s="275"/>
      <c r="K23" s="275"/>
      <c r="L23" s="275"/>
      <c r="M23" s="290"/>
      <c r="N23" s="275"/>
      <c r="O23" s="275"/>
      <c r="P23" s="275"/>
      <c r="Q23" s="290"/>
      <c r="R23" s="275"/>
      <c r="S23" s="277"/>
    </row>
    <row r="24" spans="1:19" x14ac:dyDescent="0.25">
      <c r="A24" s="231"/>
      <c r="B24" s="231"/>
      <c r="C24" s="258"/>
      <c r="D24" s="231"/>
      <c r="E24" s="231"/>
      <c r="F24" s="234"/>
      <c r="G24" s="234"/>
      <c r="H24" s="234"/>
      <c r="I24" s="291"/>
      <c r="J24" s="234"/>
      <c r="K24" s="234"/>
      <c r="L24" s="234"/>
      <c r="M24" s="291"/>
      <c r="N24" s="234"/>
      <c r="O24" s="234"/>
      <c r="P24" s="234"/>
      <c r="Q24" s="291"/>
      <c r="R24" s="234"/>
      <c r="S24" s="278"/>
    </row>
    <row r="25" spans="1:19" x14ac:dyDescent="0.25">
      <c r="A25" s="271"/>
      <c r="B25" s="271"/>
      <c r="C25" s="272"/>
      <c r="D25" s="271"/>
      <c r="E25" s="271"/>
      <c r="F25" s="275"/>
      <c r="G25" s="275"/>
      <c r="H25" s="275"/>
      <c r="I25" s="290"/>
      <c r="J25" s="275"/>
      <c r="K25" s="275"/>
      <c r="L25" s="275"/>
      <c r="M25" s="290"/>
      <c r="N25" s="275"/>
      <c r="O25" s="275"/>
      <c r="P25" s="275"/>
      <c r="Q25" s="290"/>
      <c r="R25" s="275"/>
      <c r="S25" s="277"/>
    </row>
    <row r="26" spans="1:19" x14ac:dyDescent="0.25">
      <c r="A26" s="238"/>
      <c r="B26" s="238"/>
      <c r="C26" s="255"/>
      <c r="D26" s="238"/>
      <c r="E26" s="238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</row>
    <row r="27" spans="1:19" x14ac:dyDescent="0.25">
      <c r="A27" s="227"/>
      <c r="B27" s="227"/>
      <c r="C27" s="256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</row>
    <row r="28" spans="1:19" x14ac:dyDescent="0.25">
      <c r="A28" s="240" t="s">
        <v>243</v>
      </c>
      <c r="B28" s="240"/>
      <c r="C28" s="257"/>
      <c r="D28" s="240"/>
      <c r="E28" s="240" t="s">
        <v>244</v>
      </c>
      <c r="F28" s="227"/>
      <c r="G28" s="240" t="s">
        <v>245</v>
      </c>
      <c r="H28" s="240"/>
      <c r="I28" s="240"/>
      <c r="J28" s="240"/>
      <c r="K28" s="240"/>
      <c r="L28" s="240"/>
      <c r="M28" s="240"/>
      <c r="N28" s="240"/>
      <c r="O28" s="240"/>
    </row>
    <row r="29" spans="1:19" ht="9.9499999999999993" customHeight="1" x14ac:dyDescent="0.25">
      <c r="F29" s="227"/>
    </row>
    <row r="30" spans="1:19" x14ac:dyDescent="0.25">
      <c r="A30" s="240" t="s">
        <v>246</v>
      </c>
      <c r="B30" s="240"/>
      <c r="C30" s="257"/>
      <c r="D30" s="240"/>
      <c r="E30" s="240" t="s">
        <v>244</v>
      </c>
      <c r="F30" s="227"/>
      <c r="G30" s="240" t="s">
        <v>247</v>
      </c>
      <c r="H30" s="240"/>
      <c r="I30" s="240"/>
      <c r="J30" s="240"/>
      <c r="K30" s="240"/>
      <c r="L30" s="240"/>
      <c r="M30" s="240"/>
      <c r="N30" s="240"/>
      <c r="O30" s="240"/>
    </row>
    <row r="31" spans="1:19" ht="9.9499999999999993" customHeight="1" x14ac:dyDescent="0.25">
      <c r="F31" s="227"/>
    </row>
    <row r="32" spans="1:19" x14ac:dyDescent="0.25">
      <c r="A32" s="240" t="s">
        <v>246</v>
      </c>
      <c r="B32" s="240"/>
      <c r="C32" s="257"/>
      <c r="D32" s="240"/>
      <c r="E32" s="240" t="s">
        <v>244</v>
      </c>
      <c r="F32" s="227"/>
    </row>
    <row r="33" spans="1:19" ht="9.9499999999999993" customHeight="1" x14ac:dyDescent="0.25">
      <c r="F33" s="227"/>
    </row>
    <row r="34" spans="1:19" x14ac:dyDescent="0.25">
      <c r="F34" s="227"/>
      <c r="G34" s="240" t="s">
        <v>248</v>
      </c>
      <c r="H34" s="240"/>
      <c r="I34" s="240"/>
      <c r="J34" s="240"/>
      <c r="K34" s="240"/>
      <c r="L34" s="240"/>
      <c r="M34" s="240"/>
      <c r="N34" s="240"/>
      <c r="O34" s="240"/>
      <c r="P34" s="240" t="s">
        <v>244</v>
      </c>
      <c r="Q34" s="240"/>
      <c r="R34" s="240"/>
      <c r="S34" s="240"/>
    </row>
    <row r="35" spans="1:19" ht="9.9499999999999993" customHeight="1" x14ac:dyDescent="0.25">
      <c r="F35" s="227"/>
      <c r="P35" s="227"/>
      <c r="Q35" s="227"/>
      <c r="R35" s="227"/>
      <c r="S35" s="227"/>
    </row>
    <row r="36" spans="1:19" x14ac:dyDescent="0.25">
      <c r="A36" s="240" t="s">
        <v>249</v>
      </c>
      <c r="B36" s="240"/>
      <c r="C36" s="257"/>
      <c r="D36" s="240"/>
      <c r="E36" s="240" t="s">
        <v>244</v>
      </c>
      <c r="F36" s="227"/>
      <c r="G36" s="240" t="s">
        <v>248</v>
      </c>
      <c r="H36" s="240"/>
      <c r="I36" s="240"/>
      <c r="J36" s="240"/>
      <c r="K36" s="240"/>
      <c r="L36" s="240"/>
      <c r="M36" s="240"/>
      <c r="N36" s="240"/>
      <c r="O36" s="240"/>
      <c r="P36" s="240" t="s">
        <v>244</v>
      </c>
      <c r="Q36" s="240"/>
      <c r="R36" s="240"/>
      <c r="S36" s="240"/>
    </row>
    <row r="37" spans="1:19" ht="9.9499999999999993" customHeight="1" x14ac:dyDescent="0.25">
      <c r="F37" s="227"/>
      <c r="P37" s="227"/>
      <c r="Q37" s="227"/>
      <c r="R37" s="227"/>
      <c r="S37" s="227"/>
    </row>
    <row r="38" spans="1:19" x14ac:dyDescent="0.25">
      <c r="A38" s="240" t="s">
        <v>250</v>
      </c>
      <c r="B38" s="240"/>
      <c r="C38" s="257"/>
      <c r="D38" s="240"/>
      <c r="E38" s="240" t="s">
        <v>244</v>
      </c>
      <c r="F38" s="227"/>
      <c r="G38" s="240" t="s">
        <v>248</v>
      </c>
      <c r="H38" s="240"/>
      <c r="I38" s="240"/>
      <c r="J38" s="240"/>
      <c r="K38" s="240"/>
      <c r="L38" s="240"/>
      <c r="M38" s="240"/>
      <c r="N38" s="240"/>
      <c r="O38" s="240"/>
      <c r="P38" s="240" t="s">
        <v>244</v>
      </c>
      <c r="Q38" s="240"/>
      <c r="R38" s="240"/>
      <c r="S38" s="24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9"/>
  <sheetViews>
    <sheetView zoomScaleNormal="100" workbookViewId="0">
      <selection activeCell="A32" sqref="A32:AD3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19">
        <f ca="1">TODAY()</f>
        <v>43168</v>
      </c>
      <c r="B1" s="419"/>
      <c r="C1" s="417" t="str">
        <f>Setup!B3</f>
        <v>Serieomgång 1</v>
      </c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G1" s="29">
        <f ca="1">COUNTA(A:A)+8</f>
        <v>45</v>
      </c>
    </row>
    <row r="2" spans="1:33" s="29" customFormat="1" ht="12.75" customHeight="1" x14ac:dyDescent="0.2">
      <c r="A2" s="420"/>
      <c r="B2" s="420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2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24</v>
      </c>
      <c r="B4" s="37" t="s">
        <v>288</v>
      </c>
      <c r="C4" s="36" t="s">
        <v>259</v>
      </c>
      <c r="D4" s="2" t="s">
        <v>223</v>
      </c>
      <c r="E4" s="2">
        <v>75.599999999999994</v>
      </c>
      <c r="F4" s="2">
        <v>84</v>
      </c>
      <c r="G4" s="2">
        <v>30</v>
      </c>
      <c r="H4" s="2">
        <v>0.94590002298355103</v>
      </c>
      <c r="I4" s="223">
        <v>33938</v>
      </c>
      <c r="J4" s="2">
        <v>1</v>
      </c>
      <c r="K4" s="2">
        <v>11</v>
      </c>
      <c r="L4" s="2">
        <v>160</v>
      </c>
      <c r="M4" s="2">
        <v>170</v>
      </c>
      <c r="O4" s="2">
        <v>170</v>
      </c>
      <c r="P4" s="1" t="s">
        <v>252</v>
      </c>
      <c r="Q4" s="2">
        <v>60</v>
      </c>
      <c r="R4" s="2">
        <v>62.5</v>
      </c>
      <c r="S4" s="2">
        <v>65</v>
      </c>
      <c r="T4" s="2">
        <v>65</v>
      </c>
      <c r="U4" s="2">
        <v>235</v>
      </c>
      <c r="V4" s="2">
        <v>160</v>
      </c>
      <c r="W4" s="2">
        <v>167.5</v>
      </c>
      <c r="X4" s="2">
        <v>175</v>
      </c>
      <c r="Y4" s="2">
        <v>175</v>
      </c>
      <c r="Z4" s="2">
        <v>410</v>
      </c>
      <c r="AA4" s="38">
        <v>387.81900942325592</v>
      </c>
      <c r="AB4" s="38">
        <v>387.81900942325592</v>
      </c>
      <c r="AC4" s="2">
        <v>2</v>
      </c>
      <c r="AD4" s="36" t="s">
        <v>314</v>
      </c>
    </row>
    <row r="5" spans="1:33" x14ac:dyDescent="0.2">
      <c r="A5" s="2" t="s">
        <v>24</v>
      </c>
      <c r="B5" s="37" t="s">
        <v>279</v>
      </c>
      <c r="C5" s="36" t="s">
        <v>183</v>
      </c>
      <c r="D5" s="2" t="s">
        <v>223</v>
      </c>
      <c r="E5" s="2">
        <v>58.2</v>
      </c>
      <c r="F5" s="2">
        <v>63</v>
      </c>
      <c r="G5" s="2">
        <v>1</v>
      </c>
      <c r="H5" s="2">
        <v>1.1416000127792358</v>
      </c>
      <c r="I5" s="223">
        <v>34795</v>
      </c>
      <c r="J5" s="2">
        <v>1.01</v>
      </c>
      <c r="K5" s="2">
        <v>10</v>
      </c>
      <c r="L5" s="2">
        <v>100</v>
      </c>
      <c r="M5" s="2">
        <v>110</v>
      </c>
      <c r="N5" s="2">
        <v>-112.5</v>
      </c>
      <c r="O5" s="2">
        <v>110</v>
      </c>
      <c r="P5" s="1" t="s">
        <v>252</v>
      </c>
      <c r="Q5" s="2">
        <v>67.5</v>
      </c>
      <c r="R5" s="2">
        <v>70</v>
      </c>
      <c r="S5" s="2">
        <v>75</v>
      </c>
      <c r="T5" s="2">
        <v>75</v>
      </c>
      <c r="U5" s="2">
        <v>185</v>
      </c>
      <c r="V5" s="2">
        <v>130</v>
      </c>
      <c r="W5" s="2">
        <v>140</v>
      </c>
      <c r="X5" s="2">
        <v>150</v>
      </c>
      <c r="Y5" s="2">
        <v>150</v>
      </c>
      <c r="Z5" s="2">
        <v>335</v>
      </c>
      <c r="AA5" s="38">
        <v>382.43600428104401</v>
      </c>
      <c r="AB5" s="38">
        <v>386.26036432385445</v>
      </c>
      <c r="AC5" s="2">
        <v>2</v>
      </c>
      <c r="AD5" s="36" t="s">
        <v>315</v>
      </c>
    </row>
    <row r="6" spans="1:33" x14ac:dyDescent="0.2">
      <c r="A6" s="2" t="s">
        <v>24</v>
      </c>
      <c r="B6" s="37" t="s">
        <v>253</v>
      </c>
      <c r="C6" s="36" t="s">
        <v>183</v>
      </c>
      <c r="D6" s="2" t="s">
        <v>223</v>
      </c>
      <c r="E6" s="2">
        <v>63</v>
      </c>
      <c r="F6" s="2">
        <v>63</v>
      </c>
      <c r="G6" s="2">
        <v>25</v>
      </c>
      <c r="H6" s="2">
        <v>1.0740000009536743</v>
      </c>
      <c r="I6" s="223">
        <v>33564</v>
      </c>
      <c r="J6" s="2">
        <v>1</v>
      </c>
      <c r="K6" s="2">
        <v>12</v>
      </c>
      <c r="L6" s="2">
        <v>115</v>
      </c>
      <c r="M6" s="2">
        <v>120</v>
      </c>
      <c r="N6" s="2">
        <v>-122.5</v>
      </c>
      <c r="O6" s="2">
        <v>120</v>
      </c>
      <c r="P6" s="1" t="s">
        <v>256</v>
      </c>
      <c r="Q6" s="2">
        <v>65</v>
      </c>
      <c r="R6" s="2">
        <v>67.5</v>
      </c>
      <c r="S6" s="2">
        <v>-70</v>
      </c>
      <c r="T6" s="2">
        <v>67.5</v>
      </c>
      <c r="U6" s="2">
        <v>187.5</v>
      </c>
      <c r="V6" s="2">
        <v>150</v>
      </c>
      <c r="W6" s="2">
        <v>-162.5</v>
      </c>
      <c r="X6" s="2">
        <v>162.5</v>
      </c>
      <c r="Y6" s="2">
        <v>162.5</v>
      </c>
      <c r="Z6" s="2">
        <v>350</v>
      </c>
      <c r="AA6" s="38">
        <v>375.90000033378601</v>
      </c>
      <c r="AB6" s="38">
        <v>375.90000033378601</v>
      </c>
      <c r="AC6" s="2">
        <v>2</v>
      </c>
      <c r="AD6" s="36" t="s">
        <v>316</v>
      </c>
    </row>
    <row r="7" spans="1:33" x14ac:dyDescent="0.2">
      <c r="A7" s="2" t="s">
        <v>24</v>
      </c>
      <c r="B7" s="37" t="s">
        <v>285</v>
      </c>
      <c r="C7" s="36" t="s">
        <v>183</v>
      </c>
      <c r="D7" s="2" t="s">
        <v>223</v>
      </c>
      <c r="E7" s="2">
        <v>70.55</v>
      </c>
      <c r="F7" s="2">
        <v>72</v>
      </c>
      <c r="G7" s="2">
        <v>15</v>
      </c>
      <c r="H7" s="2">
        <v>0.98949998617172241</v>
      </c>
      <c r="I7" s="223">
        <v>34479</v>
      </c>
      <c r="J7" s="2">
        <v>1</v>
      </c>
      <c r="K7" s="2">
        <v>12</v>
      </c>
      <c r="L7" s="2">
        <v>125</v>
      </c>
      <c r="M7" s="2">
        <v>130</v>
      </c>
      <c r="N7" s="2">
        <v>-135</v>
      </c>
      <c r="O7" s="2">
        <v>130</v>
      </c>
      <c r="P7" s="1" t="s">
        <v>286</v>
      </c>
      <c r="Q7" s="2">
        <v>67.5</v>
      </c>
      <c r="R7" s="2">
        <v>72.5</v>
      </c>
      <c r="S7" s="2">
        <v>-77.5</v>
      </c>
      <c r="T7" s="2">
        <v>72.5</v>
      </c>
      <c r="U7" s="2">
        <v>202.5</v>
      </c>
      <c r="V7" s="2">
        <v>140</v>
      </c>
      <c r="W7" s="2">
        <v>150</v>
      </c>
      <c r="X7" s="2">
        <v>-160</v>
      </c>
      <c r="Y7" s="2">
        <v>150</v>
      </c>
      <c r="Z7" s="2">
        <v>352.5</v>
      </c>
      <c r="AA7" s="38">
        <v>348.79874512553215</v>
      </c>
      <c r="AB7" s="38">
        <v>348.79874512553215</v>
      </c>
      <c r="AC7" s="2">
        <v>2</v>
      </c>
      <c r="AD7" s="36" t="s">
        <v>317</v>
      </c>
    </row>
    <row r="8" spans="1:33" x14ac:dyDescent="0.2">
      <c r="A8" s="2" t="s">
        <v>24</v>
      </c>
      <c r="B8" s="37" t="s">
        <v>283</v>
      </c>
      <c r="C8" s="36" t="s">
        <v>259</v>
      </c>
      <c r="D8" s="2" t="s">
        <v>223</v>
      </c>
      <c r="E8" s="2">
        <v>62.55</v>
      </c>
      <c r="F8" s="2">
        <v>63</v>
      </c>
      <c r="G8" s="2">
        <v>11</v>
      </c>
      <c r="H8" s="2">
        <v>1.079800009727478</v>
      </c>
      <c r="I8" s="223">
        <v>35454</v>
      </c>
      <c r="J8" s="2">
        <v>1.02</v>
      </c>
      <c r="K8" s="2">
        <v>10</v>
      </c>
      <c r="L8" s="2">
        <v>100</v>
      </c>
      <c r="M8" s="2">
        <v>110</v>
      </c>
      <c r="O8" s="2">
        <v>110</v>
      </c>
      <c r="P8" s="1" t="s">
        <v>274</v>
      </c>
      <c r="Q8" s="2">
        <v>60</v>
      </c>
      <c r="R8" s="2">
        <v>65</v>
      </c>
      <c r="S8" s="2">
        <v>67.5</v>
      </c>
      <c r="T8" s="2">
        <v>67.5</v>
      </c>
      <c r="U8" s="2">
        <v>177.5</v>
      </c>
      <c r="V8" s="2">
        <v>120</v>
      </c>
      <c r="W8" s="2">
        <v>130</v>
      </c>
      <c r="Y8" s="2">
        <v>130</v>
      </c>
      <c r="Z8" s="2">
        <v>307.5</v>
      </c>
      <c r="AA8" s="38">
        <v>332.03850299119949</v>
      </c>
      <c r="AB8" s="38">
        <v>338.67927305102347</v>
      </c>
      <c r="AC8" s="2">
        <v>2</v>
      </c>
      <c r="AD8" s="36" t="s">
        <v>318</v>
      </c>
    </row>
    <row r="9" spans="1:33" x14ac:dyDescent="0.2">
      <c r="A9" s="2" t="s">
        <v>24</v>
      </c>
      <c r="B9" s="37" t="s">
        <v>280</v>
      </c>
      <c r="C9" s="36" t="s">
        <v>183</v>
      </c>
      <c r="D9" s="2" t="s">
        <v>223</v>
      </c>
      <c r="E9" s="2">
        <v>72.3</v>
      </c>
      <c r="F9" s="2">
        <v>84</v>
      </c>
      <c r="G9" s="2">
        <v>6</v>
      </c>
      <c r="H9" s="2">
        <v>0.97339999675750732</v>
      </c>
      <c r="I9" s="223">
        <v>36581</v>
      </c>
      <c r="J9" s="2">
        <v>1.06</v>
      </c>
      <c r="K9" s="2">
        <v>12</v>
      </c>
      <c r="L9" s="2">
        <v>130</v>
      </c>
      <c r="M9" s="2">
        <v>145</v>
      </c>
      <c r="N9" s="2">
        <v>-155</v>
      </c>
      <c r="O9" s="2">
        <v>145</v>
      </c>
      <c r="P9" s="1" t="s">
        <v>269</v>
      </c>
      <c r="Q9" s="2">
        <v>60</v>
      </c>
      <c r="R9" s="2">
        <v>-65</v>
      </c>
      <c r="S9" s="2">
        <v>-70</v>
      </c>
      <c r="T9" s="2">
        <v>60</v>
      </c>
      <c r="U9" s="2">
        <v>205</v>
      </c>
      <c r="V9" s="2">
        <v>120</v>
      </c>
      <c r="W9" s="2">
        <v>130</v>
      </c>
      <c r="X9" s="2">
        <v>135</v>
      </c>
      <c r="Y9" s="2">
        <v>135</v>
      </c>
      <c r="Z9" s="2">
        <v>340</v>
      </c>
      <c r="AA9" s="38">
        <v>330.95599889755249</v>
      </c>
      <c r="AB9" s="38">
        <v>350.81335883140565</v>
      </c>
      <c r="AC9" s="2">
        <v>2</v>
      </c>
      <c r="AD9" s="36" t="s">
        <v>319</v>
      </c>
    </row>
    <row r="10" spans="1:33" x14ac:dyDescent="0.2">
      <c r="A10" s="2" t="s">
        <v>24</v>
      </c>
      <c r="B10" s="37" t="s">
        <v>284</v>
      </c>
      <c r="C10" s="36" t="s">
        <v>213</v>
      </c>
      <c r="D10" s="2" t="s">
        <v>223</v>
      </c>
      <c r="E10" s="2">
        <v>61.3</v>
      </c>
      <c r="F10" s="2">
        <v>63</v>
      </c>
      <c r="G10" s="2">
        <v>14</v>
      </c>
      <c r="H10" s="2">
        <v>1.0966000556945801</v>
      </c>
      <c r="I10" s="223">
        <v>36753</v>
      </c>
      <c r="J10" s="2">
        <v>1.08</v>
      </c>
      <c r="K10" s="2">
        <v>12</v>
      </c>
      <c r="L10" s="2">
        <v>80</v>
      </c>
      <c r="M10" s="2">
        <v>85</v>
      </c>
      <c r="N10" s="2">
        <v>92.5</v>
      </c>
      <c r="O10" s="2">
        <v>92.5</v>
      </c>
      <c r="P10" s="1" t="s">
        <v>251</v>
      </c>
      <c r="Q10" s="2">
        <v>75</v>
      </c>
      <c r="R10" s="2">
        <v>80</v>
      </c>
      <c r="S10" s="2">
        <v>82.5</v>
      </c>
      <c r="T10" s="2">
        <v>82.5</v>
      </c>
      <c r="U10" s="2">
        <v>175</v>
      </c>
      <c r="V10" s="2">
        <v>100</v>
      </c>
      <c r="W10" s="2">
        <v>105</v>
      </c>
      <c r="X10" s="2">
        <v>110</v>
      </c>
      <c r="Y10" s="2">
        <v>110</v>
      </c>
      <c r="Z10" s="2">
        <v>285</v>
      </c>
      <c r="AA10" s="38">
        <v>312.53101587295532</v>
      </c>
      <c r="AB10" s="38">
        <v>337.53349714279176</v>
      </c>
      <c r="AC10" s="2">
        <v>2</v>
      </c>
      <c r="AD10" s="36" t="s">
        <v>320</v>
      </c>
    </row>
    <row r="11" spans="1:33" x14ac:dyDescent="0.2">
      <c r="A11" s="2" t="s">
        <v>24</v>
      </c>
      <c r="B11" s="37" t="s">
        <v>287</v>
      </c>
      <c r="C11" s="36" t="s">
        <v>213</v>
      </c>
      <c r="D11" s="2" t="s">
        <v>223</v>
      </c>
      <c r="E11" s="2">
        <v>89.15</v>
      </c>
      <c r="F11" s="2" t="s">
        <v>167</v>
      </c>
      <c r="G11" s="2">
        <v>22</v>
      </c>
      <c r="H11" s="2">
        <v>0.86750000715255737</v>
      </c>
      <c r="I11" s="223">
        <v>32589</v>
      </c>
      <c r="J11" s="2">
        <v>1</v>
      </c>
      <c r="K11" s="2">
        <v>13</v>
      </c>
      <c r="L11" s="2">
        <v>110</v>
      </c>
      <c r="M11" s="2">
        <v>120</v>
      </c>
      <c r="N11" s="2">
        <v>-127.5</v>
      </c>
      <c r="O11" s="2">
        <v>120</v>
      </c>
      <c r="P11" s="1" t="s">
        <v>251</v>
      </c>
      <c r="Q11" s="2">
        <v>70</v>
      </c>
      <c r="R11" s="2">
        <v>80</v>
      </c>
      <c r="S11" s="2">
        <v>-85</v>
      </c>
      <c r="T11" s="2">
        <v>80</v>
      </c>
      <c r="U11" s="2">
        <v>200</v>
      </c>
      <c r="V11" s="2">
        <v>120</v>
      </c>
      <c r="W11" s="2">
        <v>140</v>
      </c>
      <c r="X11" s="2">
        <v>-150</v>
      </c>
      <c r="Y11" s="2">
        <v>140</v>
      </c>
      <c r="Z11" s="2">
        <v>340</v>
      </c>
      <c r="AA11" s="38">
        <v>294.95000243186951</v>
      </c>
      <c r="AB11" s="38">
        <v>294.95000243186951</v>
      </c>
      <c r="AC11" s="2">
        <v>2</v>
      </c>
      <c r="AD11" s="36" t="s">
        <v>321</v>
      </c>
    </row>
    <row r="12" spans="1:33" x14ac:dyDescent="0.2">
      <c r="A12" s="2" t="s">
        <v>24</v>
      </c>
      <c r="B12" s="37" t="s">
        <v>289</v>
      </c>
      <c r="C12" s="36" t="s">
        <v>183</v>
      </c>
      <c r="D12" s="2" t="s">
        <v>223</v>
      </c>
      <c r="E12" s="2">
        <v>80.400000000000006</v>
      </c>
      <c r="F12" s="2">
        <v>84</v>
      </c>
      <c r="G12" s="2">
        <v>33</v>
      </c>
      <c r="H12" s="2">
        <v>0.91250002384185791</v>
      </c>
      <c r="I12" s="223">
        <v>32165</v>
      </c>
      <c r="J12" s="2">
        <v>1</v>
      </c>
      <c r="K12" s="2">
        <v>13</v>
      </c>
      <c r="L12" s="2">
        <v>75</v>
      </c>
      <c r="M12" s="2">
        <v>80</v>
      </c>
      <c r="N12" s="2">
        <v>-90</v>
      </c>
      <c r="O12" s="2">
        <v>80</v>
      </c>
      <c r="P12" s="1" t="s">
        <v>290</v>
      </c>
      <c r="Q12" s="2">
        <v>40</v>
      </c>
      <c r="R12" s="2">
        <v>45</v>
      </c>
      <c r="S12" s="2">
        <v>-50</v>
      </c>
      <c r="T12" s="2">
        <v>45</v>
      </c>
      <c r="U12" s="2">
        <v>125</v>
      </c>
      <c r="V12" s="2">
        <v>100</v>
      </c>
      <c r="W12" s="2">
        <v>112.5</v>
      </c>
      <c r="X12" s="2">
        <v>117.5</v>
      </c>
      <c r="Y12" s="2">
        <v>117.5</v>
      </c>
      <c r="Z12" s="2">
        <v>242.5</v>
      </c>
      <c r="AA12" s="38">
        <v>221.28125578165054</v>
      </c>
      <c r="AB12" s="38">
        <v>221.28125578165054</v>
      </c>
      <c r="AC12" s="2">
        <v>2</v>
      </c>
      <c r="AD12" s="36" t="s">
        <v>322</v>
      </c>
    </row>
    <row r="13" spans="1:33" x14ac:dyDescent="0.2">
      <c r="A13" s="2" t="s">
        <v>24</v>
      </c>
      <c r="B13" s="37" t="s">
        <v>281</v>
      </c>
      <c r="C13" s="36" t="s">
        <v>213</v>
      </c>
      <c r="D13" s="2" t="s">
        <v>223</v>
      </c>
      <c r="E13" s="2">
        <v>97.35</v>
      </c>
      <c r="F13" s="2" t="s">
        <v>167</v>
      </c>
      <c r="G13" s="2">
        <v>10</v>
      </c>
      <c r="H13" s="2">
        <v>0.83950001001358032</v>
      </c>
      <c r="I13" s="223">
        <v>34242</v>
      </c>
      <c r="J13" s="2">
        <v>1</v>
      </c>
      <c r="K13" s="2">
        <v>15</v>
      </c>
      <c r="L13" s="2">
        <v>70</v>
      </c>
      <c r="M13" s="2">
        <v>-80</v>
      </c>
      <c r="N13" s="2">
        <v>-105</v>
      </c>
      <c r="O13" s="2">
        <v>70</v>
      </c>
      <c r="P13" s="1" t="s">
        <v>282</v>
      </c>
      <c r="Q13" s="2">
        <v>40</v>
      </c>
      <c r="R13" s="2">
        <v>50</v>
      </c>
      <c r="S13" s="2">
        <v>-55</v>
      </c>
      <c r="T13" s="2">
        <v>50</v>
      </c>
      <c r="U13" s="2">
        <v>120</v>
      </c>
      <c r="V13" s="2">
        <v>80</v>
      </c>
      <c r="W13" s="2">
        <v>100</v>
      </c>
      <c r="X13" s="2">
        <v>110</v>
      </c>
      <c r="Y13" s="2">
        <v>110</v>
      </c>
      <c r="Z13" s="2">
        <v>230</v>
      </c>
      <c r="AA13" s="38">
        <v>193.08500230312347</v>
      </c>
      <c r="AB13" s="38">
        <v>193.08500230312347</v>
      </c>
      <c r="AC13" s="2">
        <v>2</v>
      </c>
      <c r="AD13" s="36" t="s">
        <v>323</v>
      </c>
    </row>
    <row r="14" spans="1:33" x14ac:dyDescent="0.2">
      <c r="A14" s="2" t="s">
        <v>25</v>
      </c>
      <c r="B14" s="37" t="s">
        <v>301</v>
      </c>
      <c r="C14" s="36" t="s">
        <v>259</v>
      </c>
      <c r="D14" s="2" t="s">
        <v>222</v>
      </c>
      <c r="E14" s="2">
        <v>142.69999999999999</v>
      </c>
      <c r="F14" s="2" t="s">
        <v>165</v>
      </c>
      <c r="G14" s="2">
        <v>12</v>
      </c>
      <c r="H14" s="2">
        <v>0.55720001459121704</v>
      </c>
      <c r="I14" s="223">
        <v>32743</v>
      </c>
      <c r="J14" s="2">
        <v>1</v>
      </c>
      <c r="K14" s="2">
        <v>15</v>
      </c>
      <c r="L14" s="2">
        <v>280</v>
      </c>
      <c r="M14" s="2">
        <v>285</v>
      </c>
      <c r="O14" s="2">
        <v>285</v>
      </c>
      <c r="P14" s="1" t="s">
        <v>292</v>
      </c>
      <c r="Q14" s="2">
        <v>180</v>
      </c>
      <c r="R14" s="2">
        <v>185</v>
      </c>
      <c r="S14" s="2">
        <v>-190</v>
      </c>
      <c r="T14" s="2">
        <v>185</v>
      </c>
      <c r="U14" s="2">
        <v>470</v>
      </c>
      <c r="V14" s="2">
        <v>280</v>
      </c>
      <c r="X14" s="2">
        <v>0</v>
      </c>
      <c r="Y14" s="2">
        <v>280</v>
      </c>
      <c r="Z14" s="2">
        <v>750</v>
      </c>
      <c r="AA14" s="38">
        <v>417.90001094341278</v>
      </c>
      <c r="AB14" s="38">
        <v>417.90001094341278</v>
      </c>
      <c r="AC14" s="2">
        <v>2</v>
      </c>
      <c r="AD14" s="36" t="s">
        <v>324</v>
      </c>
    </row>
    <row r="15" spans="1:33" x14ac:dyDescent="0.2">
      <c r="A15" s="2" t="s">
        <v>25</v>
      </c>
      <c r="B15" s="37" t="s">
        <v>306</v>
      </c>
      <c r="C15" s="36" t="s">
        <v>213</v>
      </c>
      <c r="D15" s="2" t="s">
        <v>222</v>
      </c>
      <c r="E15" s="2">
        <v>104.85</v>
      </c>
      <c r="F15" s="2">
        <v>105</v>
      </c>
      <c r="G15" s="2">
        <v>24</v>
      </c>
      <c r="H15" s="2">
        <v>0.59789997339248657</v>
      </c>
      <c r="I15" s="223">
        <v>32597</v>
      </c>
      <c r="J15" s="2">
        <v>1</v>
      </c>
      <c r="K15" s="2">
        <v>15</v>
      </c>
      <c r="L15" s="2">
        <v>220</v>
      </c>
      <c r="M15" s="2">
        <v>232.5</v>
      </c>
      <c r="N15" s="2">
        <v>-242.5</v>
      </c>
      <c r="O15" s="2">
        <v>232.5</v>
      </c>
      <c r="P15" s="1" t="s">
        <v>307</v>
      </c>
      <c r="Q15" s="2">
        <v>155</v>
      </c>
      <c r="R15" s="2">
        <v>162.5</v>
      </c>
      <c r="S15" s="2">
        <v>167.5</v>
      </c>
      <c r="T15" s="2">
        <v>167.5</v>
      </c>
      <c r="U15" s="2">
        <v>400</v>
      </c>
      <c r="V15" s="2">
        <v>240</v>
      </c>
      <c r="W15" s="2">
        <v>260</v>
      </c>
      <c r="X15" s="2">
        <v>272.5</v>
      </c>
      <c r="Y15" s="2">
        <v>272.5</v>
      </c>
      <c r="Z15" s="2">
        <v>672.5</v>
      </c>
      <c r="AA15" s="38">
        <v>402.08773210644722</v>
      </c>
      <c r="AB15" s="38">
        <v>402.08773210644722</v>
      </c>
      <c r="AC15" s="2">
        <v>2</v>
      </c>
      <c r="AD15" s="36" t="s">
        <v>325</v>
      </c>
    </row>
    <row r="16" spans="1:33" x14ac:dyDescent="0.2">
      <c r="A16" s="2" t="s">
        <v>25</v>
      </c>
      <c r="B16" s="37" t="s">
        <v>296</v>
      </c>
      <c r="C16" s="36" t="s">
        <v>183</v>
      </c>
      <c r="D16" s="2" t="s">
        <v>222</v>
      </c>
      <c r="E16" s="2">
        <v>127.25</v>
      </c>
      <c r="F16" s="2" t="s">
        <v>165</v>
      </c>
      <c r="G16" s="2">
        <v>3</v>
      </c>
      <c r="H16" s="2">
        <v>0.56779998540878296</v>
      </c>
      <c r="I16" s="223">
        <v>32451</v>
      </c>
      <c r="J16" s="2">
        <v>1</v>
      </c>
      <c r="K16" s="2">
        <v>20</v>
      </c>
      <c r="L16" s="2">
        <v>230</v>
      </c>
      <c r="M16" s="2">
        <v>240</v>
      </c>
      <c r="N16" s="2">
        <v>250</v>
      </c>
      <c r="O16" s="2">
        <v>250</v>
      </c>
      <c r="P16" s="1" t="s">
        <v>297</v>
      </c>
      <c r="Q16" s="2">
        <v>150</v>
      </c>
      <c r="R16" s="2">
        <v>157.5</v>
      </c>
      <c r="S16" s="2">
        <v>165</v>
      </c>
      <c r="T16" s="2">
        <v>165</v>
      </c>
      <c r="U16" s="2">
        <v>415</v>
      </c>
      <c r="V16" s="2">
        <v>260</v>
      </c>
      <c r="W16" s="2">
        <v>285</v>
      </c>
      <c r="X16" s="2">
        <v>-300</v>
      </c>
      <c r="Y16" s="2">
        <v>285</v>
      </c>
      <c r="Z16" s="2">
        <v>700</v>
      </c>
      <c r="AA16" s="38">
        <v>397.45998978614807</v>
      </c>
      <c r="AB16" s="38">
        <v>397.45998978614807</v>
      </c>
      <c r="AC16" s="2">
        <v>2</v>
      </c>
      <c r="AD16" s="36" t="s">
        <v>326</v>
      </c>
    </row>
    <row r="17" spans="1:30" x14ac:dyDescent="0.2">
      <c r="A17" s="2" t="s">
        <v>25</v>
      </c>
      <c r="B17" s="37" t="s">
        <v>255</v>
      </c>
      <c r="C17" s="36" t="s">
        <v>183</v>
      </c>
      <c r="D17" s="2" t="s">
        <v>222</v>
      </c>
      <c r="E17" s="2">
        <v>73.2</v>
      </c>
      <c r="F17" s="2">
        <v>74</v>
      </c>
      <c r="G17" s="2">
        <v>26</v>
      </c>
      <c r="H17" s="2">
        <v>0.7249000072479248</v>
      </c>
      <c r="I17" s="223">
        <v>32008</v>
      </c>
      <c r="J17" s="2">
        <v>1</v>
      </c>
      <c r="K17" s="2">
        <v>13</v>
      </c>
      <c r="L17" s="2">
        <v>185</v>
      </c>
      <c r="M17" s="2">
        <v>195</v>
      </c>
      <c r="N17" s="2">
        <v>200</v>
      </c>
      <c r="O17" s="2">
        <v>200</v>
      </c>
      <c r="P17" s="1" t="s">
        <v>270</v>
      </c>
      <c r="Q17" s="2">
        <v>122.5</v>
      </c>
      <c r="R17" s="2">
        <v>-127.5</v>
      </c>
      <c r="S17" s="2">
        <v>127.5</v>
      </c>
      <c r="T17" s="2">
        <v>127.5</v>
      </c>
      <c r="U17" s="2">
        <v>327.5</v>
      </c>
      <c r="V17" s="2">
        <v>205</v>
      </c>
      <c r="W17" s="2">
        <v>220</v>
      </c>
      <c r="X17" s="2">
        <v>-225</v>
      </c>
      <c r="Y17" s="2">
        <v>220</v>
      </c>
      <c r="Z17" s="2">
        <v>547.5</v>
      </c>
      <c r="AA17" s="38">
        <v>396.88275396823883</v>
      </c>
      <c r="AB17" s="38">
        <v>396.88275396823883</v>
      </c>
      <c r="AC17" s="2">
        <v>2</v>
      </c>
      <c r="AD17" s="36" t="s">
        <v>327</v>
      </c>
    </row>
    <row r="18" spans="1:30" x14ac:dyDescent="0.2">
      <c r="A18" s="2" t="s">
        <v>25</v>
      </c>
      <c r="B18" s="37" t="s">
        <v>302</v>
      </c>
      <c r="C18" s="36" t="s">
        <v>183</v>
      </c>
      <c r="D18" s="2" t="s">
        <v>222</v>
      </c>
      <c r="E18" s="2">
        <v>73</v>
      </c>
      <c r="F18" s="2">
        <v>74</v>
      </c>
      <c r="G18" s="2">
        <v>17</v>
      </c>
      <c r="H18" s="2">
        <v>0.72640001773834229</v>
      </c>
      <c r="I18" s="223">
        <v>34123</v>
      </c>
      <c r="J18" s="2">
        <v>1</v>
      </c>
      <c r="K18" s="2">
        <v>14</v>
      </c>
      <c r="L18" s="2">
        <v>170</v>
      </c>
      <c r="M18" s="2">
        <v>-180</v>
      </c>
      <c r="N18" s="2">
        <v>180</v>
      </c>
      <c r="O18" s="2">
        <v>180</v>
      </c>
      <c r="P18" s="1" t="s">
        <v>299</v>
      </c>
      <c r="Q18" s="2">
        <v>117.5</v>
      </c>
      <c r="R18" s="2">
        <v>125</v>
      </c>
      <c r="S18" s="2">
        <v>-132.5</v>
      </c>
      <c r="T18" s="2">
        <v>125</v>
      </c>
      <c r="U18" s="2">
        <v>305</v>
      </c>
      <c r="V18" s="2">
        <v>215</v>
      </c>
      <c r="W18" s="2">
        <v>222.5</v>
      </c>
      <c r="X18" s="2">
        <v>-227.5</v>
      </c>
      <c r="Y18" s="2">
        <v>222.5</v>
      </c>
      <c r="Z18" s="2">
        <v>527.5</v>
      </c>
      <c r="AA18" s="38">
        <v>383.17600935697556</v>
      </c>
      <c r="AB18" s="38">
        <v>383.17600935697556</v>
      </c>
      <c r="AC18" s="2">
        <v>2</v>
      </c>
      <c r="AD18" s="36" t="s">
        <v>328</v>
      </c>
    </row>
    <row r="19" spans="1:30" x14ac:dyDescent="0.2">
      <c r="A19" s="2" t="s">
        <v>25</v>
      </c>
      <c r="B19" s="37" t="s">
        <v>303</v>
      </c>
      <c r="C19" s="36" t="s">
        <v>183</v>
      </c>
      <c r="D19" s="2" t="s">
        <v>222</v>
      </c>
      <c r="E19" s="2">
        <v>115.15</v>
      </c>
      <c r="F19" s="2">
        <v>120</v>
      </c>
      <c r="G19" s="2">
        <v>18</v>
      </c>
      <c r="H19" s="2">
        <v>0.58079999685287476</v>
      </c>
      <c r="I19" s="223">
        <v>33760</v>
      </c>
      <c r="J19" s="2">
        <v>1</v>
      </c>
      <c r="K19" s="2">
        <v>21</v>
      </c>
      <c r="L19" s="2">
        <v>190</v>
      </c>
      <c r="M19" s="2">
        <v>197.5</v>
      </c>
      <c r="N19" s="2">
        <v>210</v>
      </c>
      <c r="O19" s="2">
        <v>210</v>
      </c>
      <c r="P19" s="1" t="s">
        <v>297</v>
      </c>
      <c r="Q19" s="2">
        <v>155</v>
      </c>
      <c r="R19" s="2">
        <v>162.5</v>
      </c>
      <c r="S19" s="2">
        <v>-170</v>
      </c>
      <c r="T19" s="2">
        <v>162.5</v>
      </c>
      <c r="U19" s="2">
        <v>372.5</v>
      </c>
      <c r="V19" s="2">
        <v>240</v>
      </c>
      <c r="W19" s="2">
        <v>255</v>
      </c>
      <c r="X19" s="2">
        <v>265</v>
      </c>
      <c r="Y19" s="2">
        <v>265</v>
      </c>
      <c r="Z19" s="2">
        <v>637.5</v>
      </c>
      <c r="AA19" s="38">
        <v>370.25999799370766</v>
      </c>
      <c r="AB19" s="38">
        <v>370.25999799370766</v>
      </c>
      <c r="AC19" s="2">
        <v>2</v>
      </c>
      <c r="AD19" s="36" t="s">
        <v>329</v>
      </c>
    </row>
    <row r="20" spans="1:30" x14ac:dyDescent="0.2">
      <c r="A20" s="2" t="s">
        <v>25</v>
      </c>
      <c r="B20" s="37" t="s">
        <v>308</v>
      </c>
      <c r="C20" s="36" t="s">
        <v>183</v>
      </c>
      <c r="D20" s="2" t="s">
        <v>222</v>
      </c>
      <c r="E20" s="2">
        <v>73.2</v>
      </c>
      <c r="F20" s="2">
        <v>74</v>
      </c>
      <c r="G20" s="2">
        <v>28</v>
      </c>
      <c r="H20" s="2">
        <v>0.7249000072479248</v>
      </c>
      <c r="I20" s="223">
        <v>35370</v>
      </c>
      <c r="J20" s="2">
        <v>1.02</v>
      </c>
      <c r="K20" s="2">
        <v>13</v>
      </c>
      <c r="L20" s="2">
        <v>175</v>
      </c>
      <c r="M20" s="2">
        <v>-182.5</v>
      </c>
      <c r="N20" s="2">
        <v>-182.5</v>
      </c>
      <c r="O20" s="2">
        <v>175</v>
      </c>
      <c r="P20" s="1" t="s">
        <v>309</v>
      </c>
      <c r="Q20" s="2">
        <v>110</v>
      </c>
      <c r="R20" s="2">
        <v>117.5</v>
      </c>
      <c r="S20" s="2">
        <v>-125</v>
      </c>
      <c r="T20" s="2">
        <v>117.5</v>
      </c>
      <c r="U20" s="2">
        <v>292.5</v>
      </c>
      <c r="V20" s="2">
        <v>200</v>
      </c>
      <c r="W20" s="2">
        <v>210</v>
      </c>
      <c r="X20" s="2">
        <v>-215</v>
      </c>
      <c r="Y20" s="2">
        <v>210</v>
      </c>
      <c r="Z20" s="2">
        <v>502.5</v>
      </c>
      <c r="AA20" s="38">
        <v>364.26225364208221</v>
      </c>
      <c r="AB20" s="38">
        <v>371.54749871492385</v>
      </c>
      <c r="AC20" s="2">
        <v>2</v>
      </c>
      <c r="AD20" s="36" t="s">
        <v>330</v>
      </c>
    </row>
    <row r="21" spans="1:30" x14ac:dyDescent="0.2">
      <c r="A21" s="2" t="s">
        <v>25</v>
      </c>
      <c r="B21" s="37" t="s">
        <v>305</v>
      </c>
      <c r="C21" s="36" t="s">
        <v>213</v>
      </c>
      <c r="D21" s="2" t="s">
        <v>222</v>
      </c>
      <c r="E21" s="2">
        <v>118.6</v>
      </c>
      <c r="F21" s="2">
        <v>120</v>
      </c>
      <c r="G21" s="2">
        <v>23</v>
      </c>
      <c r="H21" s="2">
        <v>0.57649999856948853</v>
      </c>
      <c r="I21" s="223">
        <v>30711</v>
      </c>
      <c r="J21" s="2">
        <v>1</v>
      </c>
      <c r="K21" s="2">
        <v>17</v>
      </c>
      <c r="L21" s="2">
        <v>-210</v>
      </c>
      <c r="M21" s="2">
        <v>210</v>
      </c>
      <c r="N21" s="2">
        <v>220</v>
      </c>
      <c r="O21" s="2">
        <v>220</v>
      </c>
      <c r="P21" s="1" t="s">
        <v>304</v>
      </c>
      <c r="Q21" s="2">
        <v>150</v>
      </c>
      <c r="R21" s="2">
        <v>160</v>
      </c>
      <c r="S21" s="2">
        <v>165</v>
      </c>
      <c r="T21" s="2">
        <v>165</v>
      </c>
      <c r="U21" s="2">
        <v>385</v>
      </c>
      <c r="V21" s="2">
        <v>240</v>
      </c>
      <c r="W21" s="2">
        <v>-260</v>
      </c>
      <c r="X21" s="2">
        <v>-260</v>
      </c>
      <c r="Y21" s="2">
        <v>240</v>
      </c>
      <c r="Z21" s="2">
        <v>625</v>
      </c>
      <c r="AA21" s="38">
        <v>360.31249910593033</v>
      </c>
      <c r="AB21" s="38">
        <v>360.31249910593033</v>
      </c>
      <c r="AC21" s="2">
        <v>2</v>
      </c>
      <c r="AD21" s="36" t="s">
        <v>331</v>
      </c>
    </row>
    <row r="22" spans="1:30" x14ac:dyDescent="0.2">
      <c r="A22" s="2" t="s">
        <v>25</v>
      </c>
      <c r="B22" s="37" t="s">
        <v>294</v>
      </c>
      <c r="C22" s="36" t="s">
        <v>183</v>
      </c>
      <c r="D22" s="2" t="s">
        <v>222</v>
      </c>
      <c r="E22" s="2">
        <v>73.95</v>
      </c>
      <c r="F22" s="2">
        <v>74</v>
      </c>
      <c r="G22" s="2">
        <v>2</v>
      </c>
      <c r="H22" s="2">
        <v>0.71969997882843018</v>
      </c>
      <c r="I22" s="223">
        <v>26930</v>
      </c>
      <c r="J22" s="2">
        <v>1.0429999999999999</v>
      </c>
      <c r="K22" s="2">
        <v>12</v>
      </c>
      <c r="L22" s="2">
        <v>-160</v>
      </c>
      <c r="M22" s="2">
        <v>160</v>
      </c>
      <c r="N22" s="2">
        <v>-165</v>
      </c>
      <c r="O22" s="2">
        <v>160</v>
      </c>
      <c r="P22" s="1" t="s">
        <v>295</v>
      </c>
      <c r="Q22" s="2">
        <v>105</v>
      </c>
      <c r="R22" s="2">
        <v>-112.5</v>
      </c>
      <c r="S22" s="2">
        <v>-112.5</v>
      </c>
      <c r="T22" s="2">
        <v>105</v>
      </c>
      <c r="U22" s="2">
        <v>265</v>
      </c>
      <c r="V22" s="2">
        <v>200</v>
      </c>
      <c r="W22" s="2">
        <v>220</v>
      </c>
      <c r="X22" s="2">
        <v>-227.5</v>
      </c>
      <c r="Y22" s="2">
        <v>220</v>
      </c>
      <c r="Z22" s="2">
        <v>485</v>
      </c>
      <c r="AA22" s="38">
        <v>349.05448973178864</v>
      </c>
      <c r="AB22" s="38">
        <v>364.0638327902555</v>
      </c>
      <c r="AC22" s="2">
        <v>2</v>
      </c>
      <c r="AD22" s="36" t="s">
        <v>332</v>
      </c>
    </row>
    <row r="23" spans="1:30" x14ac:dyDescent="0.2">
      <c r="A23" s="2" t="s">
        <v>25</v>
      </c>
      <c r="B23" s="37" t="s">
        <v>311</v>
      </c>
      <c r="C23" s="36" t="s">
        <v>183</v>
      </c>
      <c r="D23" s="2" t="s">
        <v>222</v>
      </c>
      <c r="E23" s="2">
        <v>81.7</v>
      </c>
      <c r="F23" s="2">
        <v>83</v>
      </c>
      <c r="G23" s="2">
        <v>32</v>
      </c>
      <c r="H23" s="2">
        <v>0.67390000820159912</v>
      </c>
      <c r="I23" s="223">
        <v>29977</v>
      </c>
      <c r="J23" s="2">
        <v>1</v>
      </c>
      <c r="K23" s="2">
        <v>16</v>
      </c>
      <c r="L23" s="2">
        <v>150</v>
      </c>
      <c r="M23" s="2">
        <v>-160</v>
      </c>
      <c r="N23" s="2">
        <v>-160</v>
      </c>
      <c r="O23" s="2">
        <v>150</v>
      </c>
      <c r="P23" s="1" t="s">
        <v>312</v>
      </c>
      <c r="Q23" s="2">
        <v>100</v>
      </c>
      <c r="R23" s="2">
        <v>110</v>
      </c>
      <c r="S23" s="2">
        <v>-115</v>
      </c>
      <c r="T23" s="2">
        <v>110</v>
      </c>
      <c r="U23" s="2">
        <v>260</v>
      </c>
      <c r="V23" s="2">
        <v>230</v>
      </c>
      <c r="W23" s="2">
        <v>245</v>
      </c>
      <c r="X23" s="2">
        <v>255</v>
      </c>
      <c r="Y23" s="2">
        <v>255</v>
      </c>
      <c r="Z23" s="2">
        <v>515</v>
      </c>
      <c r="AA23" s="38">
        <v>347.05850422382355</v>
      </c>
      <c r="AB23" s="38">
        <v>347.05850422382355</v>
      </c>
      <c r="AC23" s="2">
        <v>2</v>
      </c>
      <c r="AD23" s="36" t="s">
        <v>333</v>
      </c>
    </row>
    <row r="24" spans="1:30" x14ac:dyDescent="0.2">
      <c r="A24" s="2" t="s">
        <v>25</v>
      </c>
      <c r="B24" s="37" t="s">
        <v>298</v>
      </c>
      <c r="C24" s="36" t="s">
        <v>213</v>
      </c>
      <c r="D24" s="2" t="s">
        <v>222</v>
      </c>
      <c r="E24" s="2">
        <v>92.5</v>
      </c>
      <c r="F24" s="2">
        <v>93</v>
      </c>
      <c r="G24" s="2">
        <v>5</v>
      </c>
      <c r="H24" s="2">
        <v>0.62980002164840698</v>
      </c>
      <c r="I24" s="223">
        <v>34095</v>
      </c>
      <c r="J24" s="2">
        <v>1</v>
      </c>
      <c r="K24" s="2">
        <v>13</v>
      </c>
      <c r="L24" s="2">
        <v>180</v>
      </c>
      <c r="M24" s="2">
        <v>190</v>
      </c>
      <c r="N24" s="2">
        <v>200</v>
      </c>
      <c r="O24" s="2">
        <v>200</v>
      </c>
      <c r="P24" s="1" t="s">
        <v>299</v>
      </c>
      <c r="Q24" s="2">
        <v>-115</v>
      </c>
      <c r="R24" s="2">
        <v>120</v>
      </c>
      <c r="S24" s="2">
        <v>-125</v>
      </c>
      <c r="T24" s="2">
        <v>120</v>
      </c>
      <c r="U24" s="2">
        <v>320</v>
      </c>
      <c r="V24" s="2">
        <v>220</v>
      </c>
      <c r="W24" s="2">
        <v>225</v>
      </c>
      <c r="X24" s="2">
        <v>230</v>
      </c>
      <c r="Y24" s="2">
        <v>230</v>
      </c>
      <c r="Z24" s="2">
        <v>550</v>
      </c>
      <c r="AA24" s="38">
        <v>346.39001190662384</v>
      </c>
      <c r="AB24" s="38">
        <v>346.39001190662384</v>
      </c>
      <c r="AC24" s="2">
        <v>2</v>
      </c>
      <c r="AD24" s="36" t="s">
        <v>334</v>
      </c>
    </row>
    <row r="25" spans="1:30" x14ac:dyDescent="0.2">
      <c r="A25" s="2" t="s">
        <v>25</v>
      </c>
      <c r="B25" s="37" t="s">
        <v>257</v>
      </c>
      <c r="C25" s="36" t="s">
        <v>183</v>
      </c>
      <c r="D25" s="2" t="s">
        <v>222</v>
      </c>
      <c r="E25" s="2">
        <v>88.65</v>
      </c>
      <c r="F25" s="2">
        <v>93</v>
      </c>
      <c r="G25" s="2">
        <v>20</v>
      </c>
      <c r="H25" s="2">
        <v>0.64340001344680786</v>
      </c>
      <c r="I25" s="223">
        <v>30208</v>
      </c>
      <c r="J25" s="2">
        <v>1</v>
      </c>
      <c r="K25" s="2">
        <v>14</v>
      </c>
      <c r="L25" s="2">
        <v>160</v>
      </c>
      <c r="M25" s="2">
        <v>170</v>
      </c>
      <c r="N25" s="2">
        <v>180</v>
      </c>
      <c r="O25" s="2">
        <v>180</v>
      </c>
      <c r="P25" s="1" t="s">
        <v>304</v>
      </c>
      <c r="Q25" s="2">
        <v>120</v>
      </c>
      <c r="R25" s="2">
        <v>127.5</v>
      </c>
      <c r="S25" s="2">
        <v>135</v>
      </c>
      <c r="T25" s="2">
        <v>135</v>
      </c>
      <c r="U25" s="2">
        <v>315</v>
      </c>
      <c r="V25" s="2">
        <v>185</v>
      </c>
      <c r="W25" s="2">
        <v>215</v>
      </c>
      <c r="X25" s="2">
        <v>-230</v>
      </c>
      <c r="Y25" s="2">
        <v>215</v>
      </c>
      <c r="Z25" s="2">
        <v>530</v>
      </c>
      <c r="AA25" s="38">
        <v>341.00200712680817</v>
      </c>
      <c r="AB25" s="38">
        <v>341.00200712680817</v>
      </c>
      <c r="AC25" s="2">
        <v>2</v>
      </c>
      <c r="AD25" s="36" t="s">
        <v>335</v>
      </c>
    </row>
    <row r="26" spans="1:30" x14ac:dyDescent="0.2">
      <c r="A26" s="2" t="s">
        <v>25</v>
      </c>
      <c r="B26" s="37" t="s">
        <v>300</v>
      </c>
      <c r="C26" s="36" t="s">
        <v>183</v>
      </c>
      <c r="D26" s="2" t="s">
        <v>222</v>
      </c>
      <c r="E26" s="2">
        <v>75.599999999999994</v>
      </c>
      <c r="F26" s="2">
        <v>83</v>
      </c>
      <c r="G26" s="2">
        <v>7</v>
      </c>
      <c r="H26" s="2">
        <v>0.70859998464584351</v>
      </c>
      <c r="I26" s="223">
        <v>31369</v>
      </c>
      <c r="J26" s="2">
        <v>1</v>
      </c>
      <c r="K26" s="2">
        <v>13</v>
      </c>
      <c r="L26" s="2">
        <v>147.5</v>
      </c>
      <c r="M26" s="2">
        <v>157.5</v>
      </c>
      <c r="N26" s="2">
        <v>162.5</v>
      </c>
      <c r="O26" s="2">
        <v>162.5</v>
      </c>
      <c r="P26" s="1" t="s">
        <v>270</v>
      </c>
      <c r="Q26" s="2">
        <v>95</v>
      </c>
      <c r="R26" s="2">
        <v>100</v>
      </c>
      <c r="S26" s="2">
        <v>105</v>
      </c>
      <c r="T26" s="2">
        <v>105</v>
      </c>
      <c r="U26" s="2">
        <v>267.5</v>
      </c>
      <c r="V26" s="2">
        <v>195</v>
      </c>
      <c r="W26" s="2">
        <v>-210</v>
      </c>
      <c r="X26" s="2">
        <v>210</v>
      </c>
      <c r="Y26" s="2">
        <v>210</v>
      </c>
      <c r="Z26" s="2">
        <v>477.5</v>
      </c>
      <c r="AA26" s="38">
        <v>338.35649266839027</v>
      </c>
      <c r="AB26" s="38">
        <v>338.35649266839027</v>
      </c>
      <c r="AC26" s="2">
        <v>2</v>
      </c>
      <c r="AD26" s="36" t="s">
        <v>336</v>
      </c>
    </row>
    <row r="27" spans="1:30" x14ac:dyDescent="0.2">
      <c r="A27" s="2" t="s">
        <v>25</v>
      </c>
      <c r="B27" s="37" t="s">
        <v>310</v>
      </c>
      <c r="C27" s="36" t="s">
        <v>259</v>
      </c>
      <c r="D27" s="2" t="s">
        <v>222</v>
      </c>
      <c r="E27" s="2">
        <v>96.05</v>
      </c>
      <c r="F27" s="2">
        <v>105</v>
      </c>
      <c r="G27" s="2">
        <v>31</v>
      </c>
      <c r="H27" s="2">
        <v>0.61900001764297485</v>
      </c>
      <c r="I27" s="223">
        <v>34821</v>
      </c>
      <c r="J27" s="2">
        <v>1.01</v>
      </c>
      <c r="K27" s="2">
        <v>15</v>
      </c>
      <c r="L27" s="2">
        <v>145</v>
      </c>
      <c r="M27" s="2">
        <v>155</v>
      </c>
      <c r="N27" s="2">
        <v>170</v>
      </c>
      <c r="O27" s="2">
        <v>170</v>
      </c>
      <c r="P27" s="1" t="s">
        <v>292</v>
      </c>
      <c r="Q27" s="2">
        <v>120</v>
      </c>
      <c r="R27" s="2">
        <v>130</v>
      </c>
      <c r="S27" s="2">
        <v>140</v>
      </c>
      <c r="T27" s="2">
        <v>140</v>
      </c>
      <c r="U27" s="2">
        <v>310</v>
      </c>
      <c r="V27" s="2">
        <v>190</v>
      </c>
      <c r="W27" s="2">
        <v>210</v>
      </c>
      <c r="X27" s="2">
        <v>230</v>
      </c>
      <c r="Y27" s="2">
        <v>230</v>
      </c>
      <c r="Z27" s="2">
        <v>540</v>
      </c>
      <c r="AA27" s="38">
        <v>334.26000952720642</v>
      </c>
      <c r="AB27" s="38">
        <v>337.6026096224785</v>
      </c>
      <c r="AC27" s="2">
        <v>2</v>
      </c>
      <c r="AD27" s="36" t="s">
        <v>337</v>
      </c>
    </row>
    <row r="28" spans="1:30" x14ac:dyDescent="0.2">
      <c r="A28" s="2" t="s">
        <v>24</v>
      </c>
      <c r="B28" s="37" t="s">
        <v>293</v>
      </c>
      <c r="C28" s="36" t="s">
        <v>259</v>
      </c>
      <c r="D28" s="2" t="s">
        <v>222</v>
      </c>
      <c r="E28" s="2">
        <v>81.7</v>
      </c>
      <c r="F28" s="2">
        <v>83</v>
      </c>
      <c r="G28" s="2">
        <v>21</v>
      </c>
      <c r="H28" s="2">
        <v>0.67390000820159912</v>
      </c>
      <c r="I28" s="223">
        <v>36305</v>
      </c>
      <c r="J28" s="2">
        <v>1.06</v>
      </c>
      <c r="K28" s="2">
        <v>12</v>
      </c>
      <c r="L28" s="2">
        <v>110</v>
      </c>
      <c r="M28" s="2">
        <v>115</v>
      </c>
      <c r="N28" s="2">
        <v>125</v>
      </c>
      <c r="O28" s="2">
        <v>125</v>
      </c>
      <c r="P28" s="1" t="s">
        <v>292</v>
      </c>
      <c r="Q28" s="2">
        <v>100</v>
      </c>
      <c r="R28" s="2">
        <v>105</v>
      </c>
      <c r="S28" s="2">
        <v>110</v>
      </c>
      <c r="T28" s="2">
        <v>110</v>
      </c>
      <c r="U28" s="2">
        <v>235</v>
      </c>
      <c r="V28" s="2">
        <v>150</v>
      </c>
      <c r="W28" s="2">
        <v>180</v>
      </c>
      <c r="X28" s="2">
        <v>200</v>
      </c>
      <c r="Y28" s="2">
        <v>200</v>
      </c>
      <c r="Z28" s="2">
        <v>435</v>
      </c>
      <c r="AA28" s="38">
        <v>293.14650356769562</v>
      </c>
      <c r="AB28" s="38">
        <v>310.73529378175738</v>
      </c>
      <c r="AC28" s="2">
        <v>2</v>
      </c>
      <c r="AD28" s="36" t="s">
        <v>338</v>
      </c>
    </row>
    <row r="29" spans="1:30" x14ac:dyDescent="0.2">
      <c r="A29" s="2" t="s">
        <v>24</v>
      </c>
      <c r="B29" s="37" t="s">
        <v>291</v>
      </c>
      <c r="C29" s="36" t="s">
        <v>259</v>
      </c>
      <c r="D29" s="2" t="s">
        <v>222</v>
      </c>
      <c r="E29" s="2">
        <v>86.45</v>
      </c>
      <c r="F29" s="2">
        <v>93</v>
      </c>
      <c r="G29" s="2">
        <v>19</v>
      </c>
      <c r="H29" s="2">
        <v>0.65210002660751343</v>
      </c>
      <c r="I29" s="223">
        <v>36849</v>
      </c>
      <c r="J29" s="2">
        <v>1.08</v>
      </c>
      <c r="K29" s="2">
        <v>14</v>
      </c>
      <c r="L29" s="2">
        <v>90</v>
      </c>
      <c r="M29" s="2">
        <v>-100</v>
      </c>
      <c r="N29" s="2">
        <v>100</v>
      </c>
      <c r="O29" s="2">
        <v>100</v>
      </c>
      <c r="P29" s="1" t="s">
        <v>292</v>
      </c>
      <c r="Q29" s="2">
        <v>60</v>
      </c>
      <c r="R29" s="2">
        <v>70</v>
      </c>
      <c r="S29" s="2">
        <v>75</v>
      </c>
      <c r="T29" s="2">
        <v>75</v>
      </c>
      <c r="U29" s="2">
        <v>175</v>
      </c>
      <c r="V29" s="2">
        <v>100</v>
      </c>
      <c r="W29" s="2">
        <v>120</v>
      </c>
      <c r="X29" s="2">
        <v>140</v>
      </c>
      <c r="Y29" s="2">
        <v>140</v>
      </c>
      <c r="Z29" s="2">
        <v>315</v>
      </c>
      <c r="AA29" s="38">
        <v>205.41150838136673</v>
      </c>
      <c r="AB29" s="38">
        <v>221.84442905187609</v>
      </c>
      <c r="AC29" s="2">
        <v>2</v>
      </c>
      <c r="AD29" s="36" t="s">
        <v>339</v>
      </c>
    </row>
    <row r="31" spans="1:30" s="189" customFormat="1" ht="25.5" x14ac:dyDescent="0.2">
      <c r="A31" s="190" t="s">
        <v>60</v>
      </c>
      <c r="B31" s="191" t="s">
        <v>340</v>
      </c>
      <c r="C31" s="192" t="s">
        <v>41</v>
      </c>
      <c r="D31" s="193" t="s">
        <v>2</v>
      </c>
      <c r="E31" s="193" t="str">
        <f>Lifting!$E$7</f>
        <v>Bwt (kg)</v>
      </c>
      <c r="F31" s="193" t="str">
        <f>IF(E31="Bwt (lb)","WtCls (lb)","WtCls (kg)")</f>
        <v>WtCls (kg)</v>
      </c>
      <c r="G31" s="193" t="s">
        <v>1</v>
      </c>
      <c r="H31" s="193" t="s">
        <v>5</v>
      </c>
      <c r="I31" s="222" t="s">
        <v>187</v>
      </c>
      <c r="J31" s="193" t="s">
        <v>4</v>
      </c>
      <c r="K31" s="193" t="s">
        <v>8</v>
      </c>
      <c r="L31" s="193" t="s">
        <v>9</v>
      </c>
      <c r="M31" s="193" t="s">
        <v>10</v>
      </c>
      <c r="N31" s="193" t="s">
        <v>11</v>
      </c>
      <c r="O31" s="193" t="s">
        <v>12</v>
      </c>
      <c r="P31" s="193" t="s">
        <v>13</v>
      </c>
      <c r="Q31" s="193" t="s">
        <v>14</v>
      </c>
      <c r="R31" s="193" t="s">
        <v>15</v>
      </c>
      <c r="S31" s="193" t="s">
        <v>16</v>
      </c>
      <c r="T31" s="193" t="s">
        <v>21</v>
      </c>
      <c r="U31" s="193" t="s">
        <v>17</v>
      </c>
      <c r="V31" s="193" t="s">
        <v>18</v>
      </c>
      <c r="W31" s="193" t="s">
        <v>19</v>
      </c>
      <c r="X31" s="193" t="s">
        <v>20</v>
      </c>
      <c r="Y31" s="193" t="s">
        <v>22</v>
      </c>
      <c r="Z31" s="194" t="s">
        <v>21</v>
      </c>
      <c r="AA31" s="194" t="s">
        <v>186</v>
      </c>
      <c r="AB31" s="194" t="s">
        <v>185</v>
      </c>
      <c r="AC31" s="193" t="s">
        <v>26</v>
      </c>
      <c r="AD31" s="193" t="s">
        <v>134</v>
      </c>
    </row>
    <row r="32" spans="1:30" x14ac:dyDescent="0.2">
      <c r="A32" s="2" t="s">
        <v>23</v>
      </c>
      <c r="B32" s="37" t="s">
        <v>268</v>
      </c>
      <c r="C32" s="36" t="s">
        <v>183</v>
      </c>
      <c r="D32" s="2" t="s">
        <v>223</v>
      </c>
      <c r="E32" s="2">
        <v>63.3</v>
      </c>
      <c r="F32" s="2">
        <v>72</v>
      </c>
      <c r="G32" s="2">
        <v>13</v>
      </c>
      <c r="H32" s="2">
        <v>1.070099949836731</v>
      </c>
      <c r="I32" s="223">
        <v>31989</v>
      </c>
      <c r="J32" s="2">
        <v>1</v>
      </c>
      <c r="P32" s="1" t="s">
        <v>269</v>
      </c>
      <c r="Q32" s="2">
        <v>80</v>
      </c>
      <c r="R32" s="2">
        <v>87.5</v>
      </c>
      <c r="S32" s="2">
        <v>92.5</v>
      </c>
      <c r="T32" s="2">
        <v>92.5</v>
      </c>
      <c r="Z32" s="2">
        <v>92.5</v>
      </c>
      <c r="AA32" s="38">
        <v>98.984245359897614</v>
      </c>
      <c r="AB32" s="38">
        <v>98.984245359897614</v>
      </c>
      <c r="AC32" s="2">
        <v>2</v>
      </c>
      <c r="AD32" s="36" t="s">
        <v>341</v>
      </c>
    </row>
    <row r="33" spans="1:30" x14ac:dyDescent="0.2">
      <c r="A33" s="2" t="s">
        <v>23</v>
      </c>
      <c r="B33" s="37" t="s">
        <v>264</v>
      </c>
      <c r="C33" s="36" t="s">
        <v>183</v>
      </c>
      <c r="D33" s="2" t="s">
        <v>223</v>
      </c>
      <c r="E33" s="2">
        <v>78.849999999999994</v>
      </c>
      <c r="F33" s="2">
        <v>84</v>
      </c>
      <c r="G33" s="2">
        <v>8</v>
      </c>
      <c r="H33" s="2">
        <v>0.92250001430511475</v>
      </c>
      <c r="I33" s="223">
        <v>34974</v>
      </c>
      <c r="J33" s="2">
        <v>1.01</v>
      </c>
      <c r="P33" s="1" t="s">
        <v>265</v>
      </c>
      <c r="Q33" s="2">
        <v>85</v>
      </c>
      <c r="R33" s="2">
        <v>90</v>
      </c>
      <c r="S33" s="2">
        <v>92.5</v>
      </c>
      <c r="T33" s="2">
        <v>92.5</v>
      </c>
      <c r="Z33" s="2">
        <v>92.5</v>
      </c>
      <c r="AA33" s="38">
        <v>85.331251323223114</v>
      </c>
      <c r="AB33" s="38">
        <v>86.184563836455339</v>
      </c>
      <c r="AC33" s="2">
        <v>2</v>
      </c>
      <c r="AD33" s="36" t="s">
        <v>342</v>
      </c>
    </row>
    <row r="34" spans="1:30" x14ac:dyDescent="0.2">
      <c r="A34" s="2" t="s">
        <v>23</v>
      </c>
      <c r="B34" s="37" t="s">
        <v>271</v>
      </c>
      <c r="C34" s="36" t="s">
        <v>183</v>
      </c>
      <c r="D34" s="2" t="s">
        <v>223</v>
      </c>
      <c r="E34" s="2">
        <v>83.85</v>
      </c>
      <c r="F34" s="2">
        <v>84</v>
      </c>
      <c r="G34" s="2">
        <v>27</v>
      </c>
      <c r="H34" s="2">
        <v>0.89249998331069946</v>
      </c>
      <c r="I34" s="223">
        <v>29773</v>
      </c>
      <c r="J34" s="2">
        <v>1</v>
      </c>
      <c r="P34" s="1" t="s">
        <v>272</v>
      </c>
      <c r="Q34" s="2">
        <v>85</v>
      </c>
      <c r="R34" s="2">
        <v>90</v>
      </c>
      <c r="S34" s="2">
        <v>95</v>
      </c>
      <c r="T34" s="2">
        <v>95</v>
      </c>
      <c r="Z34" s="2">
        <v>95</v>
      </c>
      <c r="AA34" s="38">
        <v>84.787498414516449</v>
      </c>
      <c r="AB34" s="38">
        <v>84.787498414516449</v>
      </c>
      <c r="AC34" s="2">
        <v>2</v>
      </c>
      <c r="AD34" s="36" t="s">
        <v>343</v>
      </c>
    </row>
    <row r="35" spans="1:30" x14ac:dyDescent="0.2">
      <c r="A35" s="2" t="s">
        <v>23</v>
      </c>
      <c r="B35" s="37" t="s">
        <v>266</v>
      </c>
      <c r="C35" s="36" t="s">
        <v>261</v>
      </c>
      <c r="D35" s="2" t="s">
        <v>223</v>
      </c>
      <c r="E35" s="2">
        <v>79.150000000000006</v>
      </c>
      <c r="F35" s="2">
        <v>84</v>
      </c>
      <c r="G35" s="2">
        <v>9</v>
      </c>
      <c r="H35" s="2">
        <v>0.92049998044967651</v>
      </c>
      <c r="I35" s="223">
        <v>33618</v>
      </c>
      <c r="J35" s="2">
        <v>1</v>
      </c>
      <c r="P35" s="1" t="s">
        <v>267</v>
      </c>
      <c r="Q35" s="2">
        <v>85</v>
      </c>
      <c r="R35" s="2">
        <v>90</v>
      </c>
      <c r="S35" s="2">
        <v>-92.5</v>
      </c>
      <c r="T35" s="2">
        <v>90</v>
      </c>
      <c r="Z35" s="2">
        <v>90</v>
      </c>
      <c r="AA35" s="38">
        <v>82.844998240470886</v>
      </c>
      <c r="AB35" s="38">
        <v>82.844998240470886</v>
      </c>
      <c r="AC35" s="2">
        <v>2</v>
      </c>
      <c r="AD35" s="36" t="s">
        <v>344</v>
      </c>
    </row>
    <row r="36" spans="1:30" x14ac:dyDescent="0.2">
      <c r="A36" s="2" t="s">
        <v>23</v>
      </c>
      <c r="B36" s="37" t="s">
        <v>254</v>
      </c>
      <c r="C36" s="36" t="s">
        <v>183</v>
      </c>
      <c r="D36" s="2" t="s">
        <v>223</v>
      </c>
      <c r="E36" s="2">
        <v>85.4</v>
      </c>
      <c r="F36" s="2" t="s">
        <v>167</v>
      </c>
      <c r="G36" s="2">
        <v>16</v>
      </c>
      <c r="H36" s="2">
        <v>0.88459998369216919</v>
      </c>
      <c r="I36" s="223">
        <v>31780</v>
      </c>
      <c r="J36" s="2">
        <v>1</v>
      </c>
      <c r="P36" s="1" t="s">
        <v>270</v>
      </c>
      <c r="Q36" s="2">
        <v>60</v>
      </c>
      <c r="R36" s="2">
        <v>65</v>
      </c>
      <c r="S36" s="2">
        <v>-70</v>
      </c>
      <c r="T36" s="2">
        <v>65</v>
      </c>
      <c r="Z36" s="2">
        <v>65</v>
      </c>
      <c r="AA36" s="38">
        <v>57.498998939990997</v>
      </c>
      <c r="AB36" s="38">
        <v>57.498998939990997</v>
      </c>
      <c r="AC36" s="2">
        <v>2</v>
      </c>
      <c r="AD36" s="36" t="s">
        <v>345</v>
      </c>
    </row>
    <row r="37" spans="1:30" x14ac:dyDescent="0.2">
      <c r="A37" s="2" t="s">
        <v>23</v>
      </c>
      <c r="B37" s="37" t="s">
        <v>273</v>
      </c>
      <c r="C37" s="36" t="s">
        <v>259</v>
      </c>
      <c r="D37" s="2" t="s">
        <v>223</v>
      </c>
      <c r="E37" s="2">
        <v>62.35</v>
      </c>
      <c r="F37" s="2">
        <v>63</v>
      </c>
      <c r="G37" s="2">
        <v>34</v>
      </c>
      <c r="H37" s="2">
        <v>1.0823999643325806</v>
      </c>
      <c r="I37" s="223">
        <v>25080</v>
      </c>
      <c r="J37" s="2">
        <v>1.113</v>
      </c>
      <c r="P37" s="1" t="s">
        <v>274</v>
      </c>
      <c r="Q37" s="2">
        <v>47.5</v>
      </c>
      <c r="R37" s="2">
        <v>50</v>
      </c>
      <c r="S37" s="2">
        <v>-52.5</v>
      </c>
      <c r="T37" s="2">
        <v>50</v>
      </c>
      <c r="Z37" s="2">
        <v>50</v>
      </c>
      <c r="AA37" s="38">
        <v>54.119998216629028</v>
      </c>
      <c r="AB37" s="38">
        <v>60.235558015108111</v>
      </c>
      <c r="AC37" s="2">
        <v>2</v>
      </c>
      <c r="AD37" s="36" t="s">
        <v>346</v>
      </c>
    </row>
    <row r="38" spans="1:30" x14ac:dyDescent="0.2">
      <c r="A38" s="2" t="s">
        <v>23</v>
      </c>
      <c r="B38" s="37" t="s">
        <v>275</v>
      </c>
      <c r="C38" s="36" t="s">
        <v>261</v>
      </c>
      <c r="D38" s="2" t="s">
        <v>222</v>
      </c>
      <c r="E38" s="2">
        <v>92.2</v>
      </c>
      <c r="F38" s="2">
        <v>93</v>
      </c>
      <c r="G38" s="2">
        <v>4</v>
      </c>
      <c r="H38" s="2">
        <v>0.63080000877380371</v>
      </c>
      <c r="I38" s="223">
        <v>34130</v>
      </c>
      <c r="J38" s="2">
        <v>1</v>
      </c>
      <c r="P38" s="1" t="s">
        <v>276</v>
      </c>
      <c r="Q38" s="2">
        <v>130</v>
      </c>
      <c r="R38" s="2">
        <v>135</v>
      </c>
      <c r="S38" s="2">
        <v>140</v>
      </c>
      <c r="T38" s="2">
        <v>140</v>
      </c>
      <c r="Z38" s="2">
        <v>140</v>
      </c>
      <c r="AA38" s="38">
        <v>88.31200122833252</v>
      </c>
      <c r="AB38" s="38">
        <v>88.31200122833252</v>
      </c>
      <c r="AC38" s="2">
        <v>2</v>
      </c>
      <c r="AD38" s="36" t="s">
        <v>347</v>
      </c>
    </row>
    <row r="39" spans="1:30" x14ac:dyDescent="0.2">
      <c r="A39" s="2" t="s">
        <v>23</v>
      </c>
      <c r="B39" s="37" t="s">
        <v>277</v>
      </c>
      <c r="C39" s="36" t="s">
        <v>183</v>
      </c>
      <c r="D39" s="2" t="s">
        <v>222</v>
      </c>
      <c r="E39" s="2">
        <v>79.7</v>
      </c>
      <c r="F39" s="2">
        <v>83</v>
      </c>
      <c r="G39" s="2">
        <v>29</v>
      </c>
      <c r="H39" s="2">
        <v>0.6843000054359436</v>
      </c>
      <c r="I39" s="223">
        <v>30579</v>
      </c>
      <c r="J39" s="2">
        <v>1</v>
      </c>
      <c r="P39" s="1" t="s">
        <v>278</v>
      </c>
      <c r="Q39" s="2">
        <v>115</v>
      </c>
      <c r="R39" s="2">
        <v>120</v>
      </c>
      <c r="S39" s="2">
        <v>125</v>
      </c>
      <c r="T39" s="2">
        <v>125</v>
      </c>
      <c r="Z39" s="2">
        <v>125</v>
      </c>
      <c r="AA39" s="38">
        <v>85.53750067949295</v>
      </c>
      <c r="AB39" s="38">
        <v>85.53750067949295</v>
      </c>
      <c r="AC39" s="2">
        <v>2</v>
      </c>
      <c r="AD39" s="36" t="s">
        <v>348</v>
      </c>
    </row>
  </sheetData>
  <mergeCells count="2">
    <mergeCell ref="C1:AD2"/>
    <mergeCell ref="A1:B2"/>
  </mergeCells>
  <phoneticPr fontId="14" type="noConversion"/>
  <conditionalFormatting sqref="Y3">
    <cfRule type="expression" dxfId="13" priority="72" stopIfTrue="1">
      <formula>AND(COLUMN(Y3)=#REF!)</formula>
    </cfRule>
  </conditionalFormatting>
  <conditionalFormatting sqref="Z4:Z30 Z32:Z64428">
    <cfRule type="expression" dxfId="12" priority="73" stopIfTrue="1">
      <formula>AND(AC4=1)</formula>
    </cfRule>
  </conditionalFormatting>
  <conditionalFormatting sqref="AA4:AA30 AA32:AA64428">
    <cfRule type="expression" dxfId="11" priority="74" stopIfTrue="1">
      <formula>AND($AC4=2)</formula>
    </cfRule>
  </conditionalFormatting>
  <conditionalFormatting sqref="AB4:AB30 AB32:AB64428">
    <cfRule type="expression" dxfId="10" priority="75" stopIfTrue="1">
      <formula>AND(AC4=3)</formula>
    </cfRule>
  </conditionalFormatting>
  <conditionalFormatting sqref="L1:X30 L32:X1048576">
    <cfRule type="cellIs" dxfId="9" priority="76" stopIfTrue="1" operator="lessThan">
      <formula>0</formula>
    </cfRule>
  </conditionalFormatting>
  <conditionalFormatting sqref="Y31">
    <cfRule type="expression" dxfId="8" priority="1" stopIfTrue="1">
      <formula>AND(COLUMN(Y31)=#REF!)</formula>
    </cfRule>
  </conditionalFormatting>
  <conditionalFormatting sqref="L31:X31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21" t="s">
        <v>177</v>
      </c>
      <c r="B3" s="422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22"/>
      <c r="B4" s="422"/>
      <c r="C4" s="423" t="s">
        <v>139</v>
      </c>
      <c r="D4" s="423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22"/>
      <c r="B5" s="422"/>
      <c r="C5" s="424" t="s">
        <v>170</v>
      </c>
      <c r="D5" s="424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22"/>
      <c r="B6" s="422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22"/>
      <c r="B7" s="422"/>
      <c r="C7" s="425" t="str">
        <f>CONCATENATE("WtCls ",RIGHT('Weigh-In'!E2,4))</f>
        <v>WtCls (kg)</v>
      </c>
      <c r="D7" s="425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22"/>
      <c r="B8" s="422"/>
      <c r="C8" s="424">
        <v>83</v>
      </c>
      <c r="D8" s="424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22"/>
      <c r="B9" s="422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22"/>
      <c r="B10" s="422"/>
      <c r="C10" s="423" t="s">
        <v>120</v>
      </c>
      <c r="D10" s="423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22"/>
      <c r="B11" s="422"/>
      <c r="C11" s="424" t="s">
        <v>127</v>
      </c>
      <c r="D11" s="424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2018-02-26T10:02:58Z</cp:lastPrinted>
  <dcterms:created xsi:type="dcterms:W3CDTF">2007-05-21T13:10:26Z</dcterms:created>
  <dcterms:modified xsi:type="dcterms:W3CDTF">2018-03-09T08:53:12Z</dcterms:modified>
</cp:coreProperties>
</file>