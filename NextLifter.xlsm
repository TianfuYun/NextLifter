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9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1" i="1" l="1"/>
  <c r="AO11" i="1"/>
  <c r="Y11" i="1"/>
  <c r="T11" i="1"/>
  <c r="O11" i="1"/>
  <c r="J11" i="1"/>
  <c r="BY10" i="1"/>
  <c r="AO10" i="1"/>
  <c r="Y10" i="1"/>
  <c r="T10" i="1"/>
  <c r="O10" i="1"/>
  <c r="J10" i="1"/>
  <c r="BY9" i="1"/>
  <c r="AO9" i="1"/>
  <c r="Y9" i="1"/>
  <c r="T9" i="1"/>
  <c r="O9" i="1"/>
  <c r="J9" i="1"/>
  <c r="AC10" i="1"/>
  <c r="BB9" i="1"/>
  <c r="BB10" i="1"/>
  <c r="AC11" i="1"/>
  <c r="AC9" i="1"/>
  <c r="BB11" i="1"/>
  <c r="U9" i="1" l="1"/>
  <c r="U11" i="1"/>
  <c r="U10" i="1"/>
  <c r="J8" i="1"/>
  <c r="AP9" i="1"/>
  <c r="AP10" i="1"/>
  <c r="AP11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B8" i="1"/>
  <c r="AP8" i="1"/>
  <c r="BA6" i="1"/>
  <c r="BE5" i="1"/>
  <c r="F11" i="5" l="1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9" i="1"/>
  <c r="H11" i="1"/>
  <c r="AQ11" i="1"/>
  <c r="AV1" i="1"/>
  <c r="AQ10" i="1"/>
  <c r="BE6" i="1"/>
  <c r="AQ9" i="1"/>
  <c r="AQ8" i="1"/>
  <c r="Z9" i="1" l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11" i="1"/>
  <c r="BD6" i="1"/>
  <c r="AY4" i="1"/>
  <c r="AH10" i="1"/>
  <c r="AY5" i="1"/>
  <c r="AH9" i="1"/>
  <c r="AD10" i="1" l="1"/>
  <c r="AA10" i="1"/>
  <c r="AB10" i="1" s="1"/>
  <c r="AJ10" i="1"/>
  <c r="AJ11" i="1"/>
  <c r="AJ9" i="1"/>
  <c r="AD11" i="1"/>
  <c r="AA11" i="1"/>
  <c r="AB11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P3" i="2"/>
  <c r="AI11" i="1"/>
  <c r="AK11" i="1"/>
  <c r="A4" i="1"/>
  <c r="AN10" i="1"/>
  <c r="F4" i="1"/>
  <c r="AN8" i="1"/>
  <c r="C2" i="1"/>
  <c r="AK10" i="1"/>
  <c r="AI9" i="1"/>
  <c r="AK9" i="1"/>
  <c r="AN11" i="1"/>
  <c r="AI10" i="1"/>
  <c r="AN9" i="1"/>
  <c r="A3" i="1"/>
  <c r="A2" i="1"/>
  <c r="AL9" i="1" l="1"/>
  <c r="AL11" i="1"/>
  <c r="AL10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0" i="1" s="1"/>
  <c r="BA9" i="1"/>
  <c r="BA11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<sst xmlns="http://schemas.openxmlformats.org/spreadsheetml/2006/main" count="482" uniqueCount="204">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</sst>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4" fillId="0" borderId="0" xfId="0" applyNumberFormat="1" applyFont="1" applyBorder="1" applyAlignment="1" applyProtection="1">
      <alignment horizontal="center"/>
      <protection locked="0"/>
    </xf>
    <xf numFmtId="0" fontId="24" fillId="0" borderId="1" xfId="0" applyNumberFormat="1" applyFont="1" applyBorder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" fillId="2" borderId="19" xfId="0" applyNumberFormat="1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0" fontId="33" fillId="0" borderId="0" xfId="0" applyFont="1" applyBorder="1"/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0" fillId="0" borderId="1" xfId="0" applyBorder="1" applyAlignment="1">
      <alignment horizontal="center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" fillId="0" borderId="35" xfId="0" applyFont="1" applyBorder="1" applyAlignment="1" applyProtection="1">
      <alignment horizontal="center" vertical="center" wrapText="1"/>
      <protection locked="0"/>
    </xf>
    <xf numFmtId="0" fontId="2" fillId="0" borderId="35" xfId="0" applyFont="1" applyBorder="1" applyAlignment="1">
      <alignment vertical="center" shrinkToFit="1"/>
    </xf>
    <xf numFmtId="0" fontId="2" fillId="0" borderId="35" xfId="0" applyFont="1" applyBorder="1" applyAlignment="1">
      <alignment horizontal="center" vertical="center" shrinkToFit="1"/>
    </xf>
    <xf numFmtId="0" fontId="2" fillId="0" borderId="35" xfId="0" applyFont="1" applyBorder="1" applyAlignment="1">
      <alignment horizontal="center" vertical="center" wrapText="1"/>
    </xf>
    <xf numFmtId="167" fontId="2" fillId="0" borderId="35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 shrinkToFit="1"/>
    </xf>
    <xf numFmtId="0" fontId="1" fillId="0" borderId="1" xfId="0" applyFont="1" applyBorder="1" applyAlignment="1">
      <alignment shrinkToFit="1"/>
    </xf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70" t="s">
        <v>198</v>
      </c>
      <c r="C3" s="271"/>
      <c r="D3" s="271"/>
      <c r="E3" s="271"/>
      <c r="F3" s="272"/>
      <c r="H3" s="256" t="s">
        <v>162</v>
      </c>
      <c r="I3" s="257"/>
      <c r="J3" s="258"/>
      <c r="K3" s="264" t="s">
        <v>163</v>
      </c>
      <c r="L3" s="265"/>
      <c r="M3" s="262" t="s">
        <v>177</v>
      </c>
      <c r="O3" s="240" t="s">
        <v>150</v>
      </c>
      <c r="P3" s="241"/>
      <c r="Q3" s="241"/>
      <c r="R3" s="242"/>
      <c r="W3" s="1" t="s">
        <v>62</v>
      </c>
    </row>
    <row r="4" spans="1:23" ht="13.5" customHeight="1" thickBot="1" x14ac:dyDescent="0.25">
      <c r="B4" s="273"/>
      <c r="C4" s="274"/>
      <c r="D4" s="274"/>
      <c r="E4" s="274"/>
      <c r="F4" s="275"/>
      <c r="H4" s="259"/>
      <c r="I4" s="260"/>
      <c r="J4" s="261"/>
      <c r="K4" s="266"/>
      <c r="L4" s="267"/>
      <c r="M4" s="263"/>
      <c r="O4" s="243"/>
      <c r="P4" s="244"/>
      <c r="Q4" s="244"/>
      <c r="R4" s="245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46" t="s">
        <v>152</v>
      </c>
      <c r="Q5" s="246"/>
      <c r="R5" s="247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223" t="s">
        <v>189</v>
      </c>
      <c r="Q6" s="223"/>
      <c r="R6" s="224"/>
      <c r="W6" s="1" t="s">
        <v>65</v>
      </c>
    </row>
    <row r="7" spans="1:23" x14ac:dyDescent="0.2">
      <c r="B7" s="270" t="s">
        <v>61</v>
      </c>
      <c r="C7" s="271"/>
      <c r="D7" s="271"/>
      <c r="E7" s="271"/>
      <c r="F7" s="272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37"/>
      <c r="Q7" s="223"/>
      <c r="R7" s="224"/>
      <c r="W7" s="1"/>
    </row>
    <row r="8" spans="1:23" ht="13.5" thickBot="1" x14ac:dyDescent="0.25">
      <c r="B8" s="273"/>
      <c r="C8" s="274"/>
      <c r="D8" s="274"/>
      <c r="E8" s="274"/>
      <c r="F8" s="275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37"/>
      <c r="Q8" s="223"/>
      <c r="R8" s="224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37"/>
      <c r="Q9" s="223"/>
      <c r="R9" s="224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37"/>
      <c r="Q10" s="223"/>
      <c r="R10" s="224"/>
    </row>
    <row r="11" spans="1:23" x14ac:dyDescent="0.2">
      <c r="B11" s="14" t="s">
        <v>73</v>
      </c>
      <c r="C11" s="276" t="s">
        <v>74</v>
      </c>
      <c r="D11" s="277"/>
      <c r="E11" s="278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89"/>
      <c r="P11" s="237"/>
      <c r="Q11" s="223"/>
      <c r="R11" s="224"/>
    </row>
    <row r="12" spans="1:23" x14ac:dyDescent="0.2">
      <c r="B12" s="61" t="s">
        <v>75</v>
      </c>
      <c r="C12" s="218" t="s">
        <v>76</v>
      </c>
      <c r="D12" s="219"/>
      <c r="E12" s="220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9"/>
      <c r="P12" s="237"/>
      <c r="Q12" s="223"/>
      <c r="R12" s="224"/>
    </row>
    <row r="13" spans="1:23" x14ac:dyDescent="0.2">
      <c r="B13" s="61" t="s">
        <v>143</v>
      </c>
      <c r="C13" s="218" t="s">
        <v>144</v>
      </c>
      <c r="D13" s="219"/>
      <c r="E13" s="220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37"/>
      <c r="Q13" s="223"/>
      <c r="R13" s="224"/>
    </row>
    <row r="14" spans="1:23" x14ac:dyDescent="0.2">
      <c r="B14" s="61" t="s">
        <v>48</v>
      </c>
      <c r="C14" s="218" t="s">
        <v>174</v>
      </c>
      <c r="D14" s="219"/>
      <c r="E14" s="220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9"/>
      <c r="P14" s="237"/>
      <c r="Q14" s="223"/>
      <c r="R14" s="224"/>
    </row>
    <row r="15" spans="1:23" x14ac:dyDescent="0.2">
      <c r="B15" s="61" t="s">
        <v>161</v>
      </c>
      <c r="C15" s="218" t="s">
        <v>175</v>
      </c>
      <c r="D15" s="219"/>
      <c r="E15" s="220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37"/>
      <c r="Q15" s="223"/>
      <c r="R15" s="224"/>
    </row>
    <row r="16" spans="1:23" x14ac:dyDescent="0.2">
      <c r="B16" s="61"/>
      <c r="C16" s="218"/>
      <c r="D16" s="219"/>
      <c r="E16" s="220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9"/>
      <c r="P16" s="237"/>
      <c r="Q16" s="223"/>
      <c r="R16" s="224"/>
    </row>
    <row r="17" spans="2:19" x14ac:dyDescent="0.2">
      <c r="B17" s="61"/>
      <c r="C17" s="218"/>
      <c r="D17" s="219"/>
      <c r="E17" s="220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37"/>
      <c r="Q17" s="223"/>
      <c r="R17" s="224"/>
    </row>
    <row r="18" spans="2:19" x14ac:dyDescent="0.2">
      <c r="B18" s="61"/>
      <c r="C18" s="218"/>
      <c r="D18" s="219"/>
      <c r="E18" s="220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37"/>
      <c r="Q18" s="223"/>
      <c r="R18" s="224"/>
    </row>
    <row r="19" spans="2:19" x14ac:dyDescent="0.2">
      <c r="B19" s="61"/>
      <c r="C19" s="218"/>
      <c r="D19" s="219"/>
      <c r="E19" s="220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37"/>
      <c r="Q19" s="223"/>
      <c r="R19" s="224"/>
    </row>
    <row r="20" spans="2:19" x14ac:dyDescent="0.2">
      <c r="B20" s="61"/>
      <c r="C20" s="218"/>
      <c r="D20" s="219"/>
      <c r="E20" s="220"/>
      <c r="F20" s="62"/>
      <c r="H20" s="268" t="s">
        <v>176</v>
      </c>
      <c r="I20" s="269"/>
      <c r="J20" s="90">
        <v>55</v>
      </c>
      <c r="K20" s="238" t="s">
        <v>176</v>
      </c>
      <c r="L20" s="239"/>
      <c r="M20" s="91">
        <v>25</v>
      </c>
      <c r="O20" s="11"/>
      <c r="P20" s="223"/>
      <c r="Q20" s="223"/>
      <c r="R20" s="224"/>
    </row>
    <row r="21" spans="2:19" x14ac:dyDescent="0.2">
      <c r="B21" s="61"/>
      <c r="C21" s="218"/>
      <c r="D21" s="219"/>
      <c r="E21" s="220"/>
      <c r="F21" s="62"/>
      <c r="H21" s="248">
        <f>H9*I9+H10*I10+H11*I11+H12*I12+H13*I13+H14*I14+H15*I15+H16*I16+H17*I17+H18*I18+H19*I19+55</f>
        <v>1080</v>
      </c>
      <c r="I21" s="252" t="s">
        <v>77</v>
      </c>
      <c r="J21" s="253"/>
      <c r="K21" s="250">
        <f>K9*L9+K10*L10+K11*L11+K12*L12+K13*L13+K14*L14+K15*L15+K16*L16+K17*L17+K18*L18+K19*L19+25</f>
        <v>485</v>
      </c>
      <c r="L21" s="252" t="s">
        <v>78</v>
      </c>
      <c r="M21" s="253"/>
      <c r="O21" s="11"/>
      <c r="P21" s="223"/>
      <c r="Q21" s="223"/>
      <c r="R21" s="224"/>
    </row>
    <row r="22" spans="2:19" ht="13.5" thickBot="1" x14ac:dyDescent="0.25">
      <c r="B22" s="61"/>
      <c r="C22" s="218"/>
      <c r="D22" s="219"/>
      <c r="E22" s="220"/>
      <c r="F22" s="62"/>
      <c r="H22" s="249"/>
      <c r="I22" s="254"/>
      <c r="J22" s="255"/>
      <c r="K22" s="251"/>
      <c r="L22" s="254"/>
      <c r="M22" s="255"/>
      <c r="O22" s="11"/>
      <c r="P22" s="223"/>
      <c r="Q22" s="223"/>
      <c r="R22" s="224"/>
    </row>
    <row r="23" spans="2:19" ht="13.5" thickBot="1" x14ac:dyDescent="0.25">
      <c r="B23" s="61"/>
      <c r="C23" s="218"/>
      <c r="D23" s="219"/>
      <c r="E23" s="220"/>
      <c r="F23" s="62"/>
      <c r="K23" s="8"/>
      <c r="O23" s="11"/>
      <c r="P23" s="223"/>
      <c r="Q23" s="223"/>
      <c r="R23" s="224"/>
    </row>
    <row r="24" spans="2:19" x14ac:dyDescent="0.2">
      <c r="B24" s="61"/>
      <c r="C24" s="218"/>
      <c r="D24" s="219"/>
      <c r="E24" s="220"/>
      <c r="F24" s="62"/>
      <c r="K24" s="225" t="s">
        <v>79</v>
      </c>
      <c r="L24" s="226"/>
      <c r="M24" s="227"/>
      <c r="O24" s="11"/>
      <c r="P24" s="223"/>
      <c r="Q24" s="223"/>
      <c r="R24" s="224"/>
    </row>
    <row r="25" spans="2:19" ht="13.5" thickBot="1" x14ac:dyDescent="0.25">
      <c r="B25" s="61"/>
      <c r="C25" s="218"/>
      <c r="D25" s="219"/>
      <c r="E25" s="220"/>
      <c r="F25" s="62"/>
      <c r="I25" s="82"/>
      <c r="J25" s="82"/>
      <c r="K25" s="228"/>
      <c r="L25" s="229"/>
      <c r="M25" s="230"/>
      <c r="N25" s="18"/>
      <c r="O25" s="11"/>
      <c r="P25" s="223"/>
      <c r="Q25" s="223"/>
      <c r="R25" s="224"/>
      <c r="S25" s="18"/>
    </row>
    <row r="26" spans="2:19" x14ac:dyDescent="0.2">
      <c r="B26" s="61"/>
      <c r="C26" s="218"/>
      <c r="D26" s="219"/>
      <c r="E26" s="220"/>
      <c r="F26" s="62"/>
      <c r="G26" s="18"/>
      <c r="H26" s="82"/>
      <c r="I26" s="82"/>
      <c r="J26" s="82"/>
      <c r="K26" s="231" t="s">
        <v>187</v>
      </c>
      <c r="L26" s="232"/>
      <c r="M26" s="233"/>
      <c r="N26" s="18"/>
      <c r="O26" s="11"/>
      <c r="P26" s="223"/>
      <c r="Q26" s="223"/>
      <c r="R26" s="224"/>
      <c r="S26" s="18"/>
    </row>
    <row r="27" spans="2:19" ht="12.75" customHeight="1" thickBot="1" x14ac:dyDescent="0.25">
      <c r="B27" s="61"/>
      <c r="C27" s="218"/>
      <c r="D27" s="219"/>
      <c r="E27" s="220"/>
      <c r="F27" s="62"/>
      <c r="G27" s="19"/>
      <c r="I27" s="82"/>
      <c r="J27" s="82"/>
      <c r="K27" s="234"/>
      <c r="L27" s="235"/>
      <c r="M27" s="236"/>
      <c r="N27" s="18"/>
      <c r="O27" s="11"/>
      <c r="P27" s="223"/>
      <c r="Q27" s="223"/>
      <c r="R27" s="224"/>
      <c r="S27" s="18"/>
    </row>
    <row r="28" spans="2:19" ht="12.75" customHeight="1" x14ac:dyDescent="0.2">
      <c r="B28" s="61"/>
      <c r="C28" s="218"/>
      <c r="D28" s="219"/>
      <c r="E28" s="220"/>
      <c r="F28" s="62"/>
      <c r="G28" s="19"/>
      <c r="H28" s="82"/>
      <c r="I28" s="82"/>
      <c r="J28" s="82"/>
      <c r="N28" s="18"/>
      <c r="O28" s="11"/>
      <c r="P28" s="223"/>
      <c r="Q28" s="223"/>
      <c r="R28" s="224"/>
      <c r="S28" s="18"/>
    </row>
    <row r="29" spans="2:19" ht="13.5" customHeight="1" thickBot="1" x14ac:dyDescent="0.25">
      <c r="B29" s="61"/>
      <c r="C29" s="218"/>
      <c r="D29" s="219"/>
      <c r="E29" s="220"/>
      <c r="F29" s="62"/>
      <c r="G29" s="19"/>
      <c r="N29" s="18"/>
      <c r="O29" s="20"/>
      <c r="P29" s="221"/>
      <c r="Q29" s="221"/>
      <c r="R29" s="222"/>
      <c r="S29" s="18"/>
    </row>
    <row r="30" spans="2:19" x14ac:dyDescent="0.2">
      <c r="B30" s="61"/>
      <c r="C30" s="218"/>
      <c r="D30" s="219"/>
      <c r="E30" s="220"/>
      <c r="F30" s="62"/>
      <c r="K30" s="8"/>
    </row>
    <row r="31" spans="2:19" x14ac:dyDescent="0.2">
      <c r="B31" s="61"/>
      <c r="C31" s="218"/>
      <c r="D31" s="219"/>
      <c r="E31" s="220"/>
      <c r="F31" s="62"/>
      <c r="I31" s="82"/>
      <c r="J31" s="82"/>
      <c r="K31" s="8"/>
    </row>
    <row r="32" spans="2:19" x14ac:dyDescent="0.2">
      <c r="B32" s="61"/>
      <c r="C32" s="218"/>
      <c r="D32" s="219"/>
      <c r="E32" s="220"/>
      <c r="F32" s="62"/>
      <c r="H32" s="82"/>
      <c r="I32" s="82"/>
      <c r="J32" s="82"/>
      <c r="K32" s="8"/>
    </row>
    <row r="33" spans="2:11" x14ac:dyDescent="0.2">
      <c r="B33" s="61"/>
      <c r="C33" s="218"/>
      <c r="D33" s="219"/>
      <c r="E33" s="220"/>
      <c r="F33" s="62"/>
      <c r="K33" s="8"/>
    </row>
    <row r="34" spans="2:11" x14ac:dyDescent="0.2">
      <c r="B34" s="61"/>
      <c r="C34" s="218"/>
      <c r="D34" s="219"/>
      <c r="E34" s="220"/>
      <c r="F34" s="62"/>
    </row>
    <row r="35" spans="2:11" x14ac:dyDescent="0.2">
      <c r="B35" s="61"/>
      <c r="C35" s="218"/>
      <c r="D35" s="219"/>
      <c r="E35" s="220"/>
      <c r="F35" s="62"/>
    </row>
    <row r="36" spans="2:11" x14ac:dyDescent="0.2">
      <c r="B36" s="61"/>
      <c r="C36" s="218"/>
      <c r="D36" s="219"/>
      <c r="E36" s="220"/>
      <c r="F36" s="62"/>
      <c r="K36" s="8"/>
    </row>
    <row r="37" spans="2:11" x14ac:dyDescent="0.2">
      <c r="B37" s="61"/>
      <c r="C37" s="218"/>
      <c r="D37" s="219"/>
      <c r="E37" s="220"/>
      <c r="F37" s="62"/>
    </row>
    <row r="38" spans="2:11" x14ac:dyDescent="0.2">
      <c r="B38" s="61"/>
      <c r="C38" s="218"/>
      <c r="D38" s="219"/>
      <c r="E38" s="220"/>
      <c r="F38" s="62"/>
    </row>
    <row r="39" spans="2:11" x14ac:dyDescent="0.2">
      <c r="B39" s="61"/>
      <c r="C39" s="218"/>
      <c r="D39" s="219"/>
      <c r="E39" s="220"/>
      <c r="F39" s="62"/>
    </row>
    <row r="40" spans="2:11" x14ac:dyDescent="0.2">
      <c r="B40" s="61"/>
      <c r="C40" s="218"/>
      <c r="D40" s="219"/>
      <c r="E40" s="220"/>
      <c r="F40" s="62"/>
    </row>
    <row r="41" spans="2:11" x14ac:dyDescent="0.2">
      <c r="B41" s="61"/>
      <c r="C41" s="218"/>
      <c r="D41" s="219"/>
      <c r="E41" s="220"/>
      <c r="F41" s="62"/>
    </row>
    <row r="42" spans="2:11" x14ac:dyDescent="0.2">
      <c r="B42" s="61"/>
      <c r="C42" s="218"/>
      <c r="D42" s="219"/>
      <c r="E42" s="220"/>
      <c r="F42" s="62"/>
    </row>
    <row r="43" spans="2:11" x14ac:dyDescent="0.2">
      <c r="B43" s="61"/>
      <c r="C43" s="218"/>
      <c r="D43" s="219"/>
      <c r="E43" s="220"/>
      <c r="F43" s="62"/>
    </row>
    <row r="44" spans="2:11" x14ac:dyDescent="0.2">
      <c r="B44" s="61"/>
      <c r="C44" s="218"/>
      <c r="D44" s="219"/>
      <c r="E44" s="220"/>
      <c r="F44" s="62"/>
    </row>
    <row r="45" spans="2:11" x14ac:dyDescent="0.2">
      <c r="B45" s="61"/>
      <c r="C45" s="218"/>
      <c r="D45" s="219"/>
      <c r="E45" s="220"/>
      <c r="F45" s="62"/>
    </row>
    <row r="46" spans="2:11" x14ac:dyDescent="0.2">
      <c r="B46" s="61"/>
      <c r="C46" s="218"/>
      <c r="D46" s="219"/>
      <c r="E46" s="220"/>
      <c r="F46" s="62"/>
    </row>
    <row r="47" spans="2:11" x14ac:dyDescent="0.2">
      <c r="B47" s="61"/>
      <c r="C47" s="218"/>
      <c r="D47" s="219"/>
      <c r="E47" s="220"/>
      <c r="F47" s="62"/>
    </row>
    <row r="48" spans="2:11" x14ac:dyDescent="0.2">
      <c r="B48" s="61"/>
      <c r="C48" s="218"/>
      <c r="D48" s="219"/>
      <c r="E48" s="220"/>
      <c r="F48" s="62"/>
    </row>
    <row r="49" spans="2:6" x14ac:dyDescent="0.2">
      <c r="B49" s="61"/>
      <c r="C49" s="218"/>
      <c r="D49" s="219"/>
      <c r="E49" s="220"/>
      <c r="F49" s="62"/>
    </row>
    <row r="50" spans="2:6" x14ac:dyDescent="0.2">
      <c r="B50" s="61"/>
      <c r="C50" s="218"/>
      <c r="D50" s="219"/>
      <c r="E50" s="220"/>
      <c r="F50" s="62"/>
    </row>
    <row r="51" spans="2:6" x14ac:dyDescent="0.2">
      <c r="B51" s="61"/>
      <c r="C51" s="218"/>
      <c r="D51" s="219"/>
      <c r="E51" s="220"/>
      <c r="F51" s="62"/>
    </row>
    <row r="52" spans="2:6" x14ac:dyDescent="0.2">
      <c r="B52" s="61"/>
      <c r="C52" s="218"/>
      <c r="D52" s="219"/>
      <c r="E52" s="220"/>
      <c r="F52" s="62"/>
    </row>
    <row r="53" spans="2:6" x14ac:dyDescent="0.2">
      <c r="B53" s="61"/>
      <c r="C53" s="218"/>
      <c r="D53" s="219"/>
      <c r="E53" s="220"/>
      <c r="F53" s="62"/>
    </row>
    <row r="54" spans="2:6" x14ac:dyDescent="0.2">
      <c r="B54" s="61"/>
      <c r="C54" s="218"/>
      <c r="D54" s="219"/>
      <c r="E54" s="220"/>
      <c r="F54" s="62"/>
    </row>
    <row r="55" spans="2:6" x14ac:dyDescent="0.2">
      <c r="B55" s="61"/>
      <c r="C55" s="218"/>
      <c r="D55" s="219"/>
      <c r="E55" s="220"/>
      <c r="F55" s="62"/>
    </row>
    <row r="56" spans="2:6" x14ac:dyDescent="0.2">
      <c r="B56" s="61"/>
      <c r="C56" s="218"/>
      <c r="D56" s="219"/>
      <c r="E56" s="220"/>
      <c r="F56" s="62"/>
    </row>
    <row r="57" spans="2:6" x14ac:dyDescent="0.2">
      <c r="B57" s="61"/>
      <c r="C57" s="218"/>
      <c r="D57" s="219"/>
      <c r="E57" s="220"/>
      <c r="F57" s="62"/>
    </row>
    <row r="58" spans="2:6" x14ac:dyDescent="0.2">
      <c r="B58" s="61"/>
      <c r="C58" s="218"/>
      <c r="D58" s="219"/>
      <c r="E58" s="220"/>
      <c r="F58" s="62"/>
    </row>
    <row r="59" spans="2:6" x14ac:dyDescent="0.2">
      <c r="B59" s="61"/>
      <c r="C59" s="218"/>
      <c r="D59" s="219"/>
      <c r="E59" s="220"/>
      <c r="F59" s="62"/>
    </row>
    <row r="60" spans="2:6" x14ac:dyDescent="0.2">
      <c r="B60" s="61"/>
      <c r="C60" s="218"/>
      <c r="D60" s="219"/>
      <c r="E60" s="220"/>
      <c r="F60" s="62"/>
    </row>
    <row r="61" spans="2:6" x14ac:dyDescent="0.2">
      <c r="B61" s="61"/>
      <c r="C61" s="218"/>
      <c r="D61" s="219"/>
      <c r="E61" s="220"/>
      <c r="F61" s="62"/>
    </row>
    <row r="62" spans="2:6" x14ac:dyDescent="0.2">
      <c r="B62" s="61"/>
      <c r="C62" s="218"/>
      <c r="D62" s="219"/>
      <c r="E62" s="220"/>
      <c r="F62" s="62"/>
    </row>
    <row r="63" spans="2:6" x14ac:dyDescent="0.2">
      <c r="B63" s="61"/>
      <c r="C63" s="218"/>
      <c r="D63" s="219"/>
      <c r="E63" s="220"/>
      <c r="F63" s="62"/>
    </row>
    <row r="64" spans="2:6" x14ac:dyDescent="0.2">
      <c r="B64" s="61"/>
      <c r="C64" s="218"/>
      <c r="D64" s="219"/>
      <c r="E64" s="220"/>
      <c r="F64" s="62"/>
    </row>
    <row r="65" spans="2:6" x14ac:dyDescent="0.2">
      <c r="B65" s="61"/>
      <c r="C65" s="218"/>
      <c r="D65" s="219"/>
      <c r="E65" s="220"/>
      <c r="F65" s="62"/>
    </row>
    <row r="66" spans="2:6" x14ac:dyDescent="0.2">
      <c r="B66" s="61"/>
      <c r="C66" s="218"/>
      <c r="D66" s="219"/>
      <c r="E66" s="220"/>
      <c r="F66" s="62"/>
    </row>
    <row r="67" spans="2:6" x14ac:dyDescent="0.2">
      <c r="B67" s="61"/>
      <c r="C67" s="218"/>
      <c r="D67" s="219"/>
      <c r="E67" s="220"/>
      <c r="F67" s="62"/>
    </row>
    <row r="68" spans="2:6" x14ac:dyDescent="0.2">
      <c r="B68" s="61"/>
      <c r="C68" s="218"/>
      <c r="D68" s="219"/>
      <c r="E68" s="220"/>
      <c r="F68" s="62"/>
    </row>
    <row r="69" spans="2:6" x14ac:dyDescent="0.2">
      <c r="B69" s="61"/>
      <c r="C69" s="218"/>
      <c r="D69" s="219"/>
      <c r="E69" s="220"/>
      <c r="F69" s="62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94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94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3/25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C4" sqref="C4:E4"/>
    </sheetView>
  </sheetViews>
  <sheetFormatPr defaultColWidth="9.140625" defaultRowHeight="12.75" x14ac:dyDescent="0.2"/>
  <cols>
    <col min="1" max="1" width="4.28515625" style="142" customWidth="1"/>
    <col min="2" max="2" width="17.7109375" style="206" customWidth="1"/>
    <col min="3" max="3" width="9.7109375" style="132" customWidth="1"/>
    <col min="4" max="4" width="6.5703125" style="142" customWidth="1"/>
    <col min="5" max="5" width="6.28515625" style="142" customWidth="1"/>
    <col min="6" max="6" width="6.7109375" style="132" customWidth="1"/>
    <col min="7" max="7" width="6" style="142" customWidth="1"/>
    <col min="8" max="8" width="6.28515625" style="132" hidden="1" customWidth="1"/>
    <col min="9" max="9" width="7" style="207" hidden="1" customWidth="1"/>
    <col min="10" max="10" width="6.28515625" style="132" hidden="1" customWidth="1"/>
    <col min="11" max="11" width="5.28515625" style="142" customWidth="1"/>
    <col min="12" max="14" width="7.5703125" style="208" customWidth="1"/>
    <col min="15" max="15" width="7.5703125" style="142" hidden="1" customWidth="1"/>
    <col min="16" max="16" width="5.28515625" style="209" customWidth="1"/>
    <col min="17" max="19" width="7.5703125" style="142" customWidth="1"/>
    <col min="20" max="20" width="7.5703125" style="142" hidden="1" customWidth="1"/>
    <col min="21" max="21" width="6.5703125" style="142" customWidth="1"/>
    <col min="22" max="24" width="6.85546875" style="142" customWidth="1"/>
    <col min="25" max="25" width="7.140625" style="142" hidden="1" customWidth="1"/>
    <col min="26" max="26" width="7.5703125" style="142" customWidth="1"/>
    <col min="27" max="27" width="10.28515625" style="142" customWidth="1"/>
    <col min="28" max="28" width="10.28515625" style="142" hidden="1" customWidth="1"/>
    <col min="29" max="29" width="5.7109375" style="142" hidden="1" customWidth="1"/>
    <col min="30" max="30" width="13.42578125" style="142" hidden="1" customWidth="1"/>
    <col min="31" max="31" width="9.140625" style="142" hidden="1" customWidth="1"/>
    <col min="32" max="33" width="9.140625" style="132" hidden="1" customWidth="1"/>
    <col min="34" max="34" width="18.5703125" style="210" hidden="1" customWidth="1"/>
    <col min="35" max="35" width="6" style="142" hidden="1" customWidth="1"/>
    <col min="36" max="36" width="6.42578125" style="142" hidden="1" customWidth="1"/>
    <col min="37" max="37" width="9" style="142" hidden="1" customWidth="1"/>
    <col min="38" max="38" width="7" style="142" hidden="1" customWidth="1"/>
    <col min="39" max="39" width="9.140625" style="132" hidden="1" customWidth="1"/>
    <col min="40" max="43" width="5.85546875" style="198" hidden="1" customWidth="1"/>
    <col min="44" max="47" width="9.140625" style="132" hidden="1" customWidth="1"/>
    <col min="48" max="48" width="20" style="199" hidden="1" customWidth="1"/>
    <col min="49" max="49" width="6.7109375" style="132" hidden="1" customWidth="1"/>
    <col min="50" max="63" width="9.140625" style="132" hidden="1" customWidth="1"/>
    <col min="64" max="66" width="6.85546875" style="132" hidden="1" customWidth="1"/>
    <col min="67" max="67" width="9.140625" style="201" hidden="1" customWidth="1"/>
    <col min="68" max="68" width="9.140625" style="132" hidden="1" customWidth="1"/>
    <col min="69" max="71" width="6.85546875" style="132" hidden="1" customWidth="1"/>
    <col min="72" max="72" width="9.140625" style="201" hidden="1" customWidth="1"/>
    <col min="73" max="73" width="9.140625" style="132" hidden="1" customWidth="1"/>
    <col min="74" max="76" width="6.85546875" style="132" hidden="1" customWidth="1"/>
    <col min="77" max="78" width="9.140625" style="201" hidden="1" customWidth="1"/>
    <col min="79" max="79" width="9.140625" style="132" hidden="1" customWidth="1"/>
    <col min="80" max="95" width="9.140625" style="132" customWidth="1"/>
    <col min="96" max="16384" width="9.140625" style="132"/>
  </cols>
  <sheetData>
    <row r="1" spans="1:125" ht="50.25" customHeight="1" x14ac:dyDescent="0.2">
      <c r="A1" s="288" t="s">
        <v>201</v>
      </c>
      <c r="B1" s="289"/>
      <c r="C1" s="289"/>
      <c r="D1" s="289"/>
      <c r="E1" s="289"/>
      <c r="F1" s="289"/>
      <c r="G1" s="289"/>
      <c r="H1" s="118"/>
      <c r="I1" s="119"/>
      <c r="J1" s="118"/>
      <c r="K1" s="120"/>
      <c r="L1" s="121"/>
      <c r="M1" s="121"/>
      <c r="N1" s="121"/>
      <c r="O1" s="120"/>
      <c r="P1" s="122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18"/>
      <c r="AG1" s="118"/>
      <c r="AH1" s="123"/>
      <c r="AI1" s="120"/>
      <c r="AJ1" s="120"/>
      <c r="AK1" s="120"/>
      <c r="AL1" s="120"/>
      <c r="AM1" s="118"/>
      <c r="AN1" s="124"/>
      <c r="AO1" s="124"/>
      <c r="AP1" s="124"/>
      <c r="AQ1" s="124"/>
      <c r="AR1" s="118"/>
      <c r="AS1" s="125" t="str">
        <f>CONCATENATE("Lists!E2:E",IF(Lists!E1=1,11,IF(OR(Lists!E1=4,Lists!E1=3,Lists!E1=2),5,8)))</f>
        <v>Lists!E2:E11</v>
      </c>
      <c r="AT1" s="118"/>
      <c r="AU1" s="118"/>
      <c r="AV1" s="126">
        <f ca="1">COUNTIF(INDIRECT("AU1:AU200"),1)</f>
        <v>3</v>
      </c>
      <c r="AW1" s="127"/>
      <c r="AX1" s="118"/>
      <c r="AY1" s="118"/>
      <c r="AZ1" s="128"/>
      <c r="BA1" s="129" t="s">
        <v>23</v>
      </c>
      <c r="BB1" s="129" t="s">
        <v>24</v>
      </c>
      <c r="BC1" s="129" t="s">
        <v>25</v>
      </c>
      <c r="BD1" s="129" t="s">
        <v>43</v>
      </c>
      <c r="BE1" s="129" t="s">
        <v>44</v>
      </c>
      <c r="BF1" s="129" t="s">
        <v>45</v>
      </c>
      <c r="BG1" s="129" t="s">
        <v>46</v>
      </c>
      <c r="BH1" s="129" t="s">
        <v>47</v>
      </c>
      <c r="BI1" s="130"/>
      <c r="BJ1" s="118"/>
      <c r="BK1" s="118"/>
      <c r="BL1" s="118">
        <v>1</v>
      </c>
      <c r="BM1" s="118"/>
      <c r="BN1" s="118"/>
      <c r="BO1" s="131"/>
      <c r="BP1" s="118"/>
      <c r="BQ1" s="118"/>
      <c r="BR1" s="118"/>
      <c r="BS1" s="118"/>
      <c r="BT1" s="131"/>
      <c r="BU1" s="118"/>
      <c r="BV1" s="118"/>
      <c r="BW1" s="118"/>
      <c r="BX1" s="118"/>
      <c r="BY1" s="131"/>
      <c r="BZ1" s="131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</row>
    <row r="2" spans="1:125" ht="25.5" customHeight="1" x14ac:dyDescent="0.2">
      <c r="A2" s="284" t="str">
        <f ca="1">CONCATENATE(INDIRECT(ADDRESS(AY5,6)),IF(F7="WtCls (lb)"," lb cls"," kg cls"))</f>
        <v>63 kg cls</v>
      </c>
      <c r="B2" s="285"/>
      <c r="C2" s="291">
        <f ca="1">INDIRECT(AY4)</f>
        <v>120</v>
      </c>
      <c r="D2" s="292"/>
      <c r="E2" s="295" t="str">
        <f>Setup!M3</f>
        <v>Kg</v>
      </c>
      <c r="F2" s="297">
        <f ca="1">ROUND(IF(E2="kg",C2*2.2046,C2/2.2046),1)</f>
        <v>264.60000000000002</v>
      </c>
      <c r="G2" s="298"/>
      <c r="H2" s="118"/>
      <c r="I2" s="119"/>
      <c r="J2" s="118"/>
      <c r="K2" s="120"/>
      <c r="L2" s="121"/>
      <c r="M2" s="121"/>
      <c r="N2" s="121"/>
      <c r="O2" s="120"/>
      <c r="P2" s="122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18"/>
      <c r="AG2" s="118"/>
      <c r="AH2" s="123"/>
      <c r="AI2" s="120"/>
      <c r="AJ2" s="120"/>
      <c r="AK2" s="120"/>
      <c r="AL2" s="120"/>
      <c r="AM2" s="118"/>
      <c r="AN2" s="124"/>
      <c r="AO2" s="124"/>
      <c r="AP2" s="124"/>
      <c r="AQ2" s="124"/>
      <c r="AR2" s="118"/>
      <c r="AS2" s="120" t="str">
        <f ca="1">CONCATENATE("B9:B",BA6)</f>
        <v>B9:B11</v>
      </c>
      <c r="AT2" s="133" t="s">
        <v>129</v>
      </c>
      <c r="AU2" s="120" t="s">
        <v>110</v>
      </c>
      <c r="AV2" s="134"/>
      <c r="AW2" s="127"/>
      <c r="AX2" s="118"/>
      <c r="AY2" s="118"/>
      <c r="AZ2" s="118"/>
      <c r="BA2" s="129">
        <f>IF(BA1=RIGHT($A$7,1),0,BH2+1)</f>
        <v>0</v>
      </c>
      <c r="BB2" s="129">
        <f t="shared" ref="BB2:BH2" si="0">IF(BB1=RIGHT($A$7,1),0,BA2+1)</f>
        <v>1</v>
      </c>
      <c r="BC2" s="129">
        <f t="shared" si="0"/>
        <v>2</v>
      </c>
      <c r="BD2" s="129">
        <f t="shared" si="0"/>
        <v>3</v>
      </c>
      <c r="BE2" s="129">
        <f t="shared" si="0"/>
        <v>4</v>
      </c>
      <c r="BF2" s="129">
        <f t="shared" si="0"/>
        <v>5</v>
      </c>
      <c r="BG2" s="129">
        <f t="shared" si="0"/>
        <v>6</v>
      </c>
      <c r="BH2" s="129">
        <f t="shared" si="0"/>
        <v>7</v>
      </c>
      <c r="BI2" s="135"/>
      <c r="BJ2" s="118"/>
      <c r="BK2" s="118"/>
      <c r="BL2" s="118">
        <v>1</v>
      </c>
      <c r="BM2" s="118"/>
      <c r="BN2" s="118"/>
      <c r="BO2" s="131"/>
      <c r="BP2" s="118"/>
      <c r="BQ2" s="118"/>
      <c r="BR2" s="118"/>
      <c r="BS2" s="118"/>
      <c r="BT2" s="131"/>
      <c r="BU2" s="118"/>
      <c r="BV2" s="118"/>
      <c r="BW2" s="118"/>
      <c r="BX2" s="118"/>
      <c r="BY2" s="131"/>
      <c r="BZ2" s="131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</row>
    <row r="3" spans="1:125" ht="25.5" customHeight="1" x14ac:dyDescent="0.2">
      <c r="A3" s="281" t="str">
        <f ca="1">INDIRECT(CONCATENATE("Setup!C",MATCH(INDIRECT(ADDRESS(AY5,4)),Setup!B:B,0)))</f>
        <v>Open Women</v>
      </c>
      <c r="B3" s="281"/>
      <c r="C3" s="293"/>
      <c r="D3" s="294"/>
      <c r="E3" s="296"/>
      <c r="F3" s="299" t="str">
        <f>IF(E2="Kg","Pounds", "Kilograms")</f>
        <v>Pounds</v>
      </c>
      <c r="G3" s="300"/>
      <c r="H3" s="118"/>
      <c r="I3" s="119"/>
      <c r="J3" s="118"/>
      <c r="K3" s="120"/>
      <c r="L3" s="121"/>
      <c r="M3" s="121"/>
      <c r="N3" s="121"/>
      <c r="O3" s="120"/>
      <c r="P3" s="122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18"/>
      <c r="AG3" s="118"/>
      <c r="AH3" s="123"/>
      <c r="AI3" s="120"/>
      <c r="AJ3" s="120"/>
      <c r="AK3" s="120"/>
      <c r="AL3" s="120"/>
      <c r="AM3" s="118"/>
      <c r="AN3" s="124"/>
      <c r="AO3" s="124"/>
      <c r="AP3" s="124"/>
      <c r="AQ3" s="124"/>
      <c r="AR3" s="118"/>
      <c r="AS3" s="125" t="str">
        <f>CONCATENATE("Setup!B12:B",COUNTA(Setup!B:B)+8)</f>
        <v>Setup!B12:B15</v>
      </c>
      <c r="AT3" s="133" t="s">
        <v>12</v>
      </c>
      <c r="AU3" s="120" t="s">
        <v>118</v>
      </c>
      <c r="AV3" s="136" t="s">
        <v>113</v>
      </c>
      <c r="AW3" s="137"/>
      <c r="AX3" s="137"/>
      <c r="AY3" s="138" t="s">
        <v>112</v>
      </c>
      <c r="AZ3" s="118"/>
      <c r="BA3" s="139" t="s">
        <v>50</v>
      </c>
      <c r="BB3" s="125" t="s">
        <v>7</v>
      </c>
      <c r="BC3" s="118"/>
      <c r="BD3" s="138" t="s">
        <v>55</v>
      </c>
      <c r="BE3" s="138" t="s">
        <v>51</v>
      </c>
      <c r="BF3" s="138" t="s">
        <v>54</v>
      </c>
      <c r="BG3" s="138" t="s">
        <v>149</v>
      </c>
      <c r="BH3" s="118"/>
      <c r="BI3" s="118"/>
      <c r="BJ3" s="118"/>
      <c r="BK3" s="118"/>
      <c r="BL3" s="118">
        <v>1</v>
      </c>
      <c r="BM3" s="118"/>
      <c r="BN3" s="118"/>
      <c r="BO3" s="131"/>
      <c r="BP3" s="118"/>
      <c r="BQ3" s="118"/>
      <c r="BR3" s="118"/>
      <c r="BS3" s="118"/>
      <c r="BT3" s="131"/>
      <c r="BU3" s="118"/>
      <c r="BV3" s="118"/>
      <c r="BW3" s="118"/>
      <c r="BX3" s="118"/>
      <c r="BY3" s="131"/>
      <c r="BZ3" s="131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  <c r="DQ3" s="118"/>
      <c r="DR3" s="118"/>
      <c r="DS3" s="118"/>
      <c r="DT3" s="118"/>
      <c r="DU3" s="118"/>
    </row>
    <row r="4" spans="1:125" ht="25.5" customHeight="1" x14ac:dyDescent="0.2">
      <c r="A4" s="282" t="str">
        <f ca="1">OFFSET(Setup!P1,MATCH(INDIRECT(ADDRESS(AY5,3)),Setup!O:O,0)-1,0)</f>
        <v>Göteborg KK</v>
      </c>
      <c r="B4" s="283"/>
      <c r="C4" s="286" t="s">
        <v>33</v>
      </c>
      <c r="D4" s="287"/>
      <c r="E4" s="287"/>
      <c r="F4" s="290" t="str">
        <f ca="1">CONCATENATE(IF(BD4&lt;20,"Rack = ","Total = "),INDIRECT(ADDRESS(AY5,IF(LEFT(C4,1)="S",11,IF(LEFT(C4,1)="B",16,26)))))</f>
        <v>Rack = 13</v>
      </c>
      <c r="G4" s="290"/>
      <c r="H4" s="118"/>
      <c r="I4" s="119"/>
      <c r="J4" s="118"/>
      <c r="K4" s="120"/>
      <c r="L4" s="121"/>
      <c r="M4" s="121"/>
      <c r="N4" s="121"/>
      <c r="O4" s="120"/>
      <c r="P4" s="122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18"/>
      <c r="AG4" s="118"/>
      <c r="AH4" s="123"/>
      <c r="AI4" s="120"/>
      <c r="AJ4" s="120"/>
      <c r="AK4" s="120"/>
      <c r="AL4" s="120"/>
      <c r="AM4" s="118"/>
      <c r="AN4" s="124"/>
      <c r="AO4" s="124"/>
      <c r="AP4" s="124"/>
      <c r="AQ4" s="124"/>
      <c r="AR4" s="118"/>
      <c r="AS4" s="125" t="str">
        <f>CONCATENATE("Setup!O6:O",COUNTA(Setup!O:O)+3)</f>
        <v>Setup!O6:O6</v>
      </c>
      <c r="AT4" s="133" t="s">
        <v>21</v>
      </c>
      <c r="AU4" s="120" t="s">
        <v>119</v>
      </c>
      <c r="AV4" s="136" t="s">
        <v>114</v>
      </c>
      <c r="AW4" s="118"/>
      <c r="AX4" s="118"/>
      <c r="AY4" s="120" t="str">
        <f ca="1">ADDRESS(MATCH(A1,INDIRECT(AS2),0)+8,BD4)</f>
        <v>$M$9</v>
      </c>
      <c r="AZ4" s="118"/>
      <c r="BA4" s="120" t="str">
        <f ca="1">CONCATENATE("B",$BA$5,":","B",BA6)</f>
        <v>B9:B11</v>
      </c>
      <c r="BB4" s="139">
        <v>13</v>
      </c>
      <c r="BC4" s="140" t="s">
        <v>57</v>
      </c>
      <c r="BD4" s="120">
        <f ca="1">OFFSET(Lists!C1,MATCH(C4,Attempts,0),0)</f>
        <v>13</v>
      </c>
      <c r="BE4" s="120" t="s">
        <v>23</v>
      </c>
      <c r="BF4" s="125" t="str">
        <f>CONCATENATE("$A$",BF5,":$A$",BF6)</f>
        <v>$A$9:$A$11</v>
      </c>
      <c r="BG4" s="120">
        <f>IF(C4="Squat 3",17,22)</f>
        <v>22</v>
      </c>
      <c r="BH4" s="118"/>
      <c r="BI4" s="118"/>
      <c r="BJ4" s="118"/>
      <c r="BK4" s="118"/>
      <c r="BL4" s="118">
        <v>1</v>
      </c>
      <c r="BM4" s="118"/>
      <c r="BN4" s="118"/>
      <c r="BO4" s="131"/>
      <c r="BP4" s="118"/>
      <c r="BQ4" s="118"/>
      <c r="BR4" s="118"/>
      <c r="BS4" s="118"/>
      <c r="BT4" s="131"/>
      <c r="BU4" s="118"/>
      <c r="BV4" s="118"/>
      <c r="BW4" s="118"/>
      <c r="BX4" s="118"/>
      <c r="BY4" s="131"/>
      <c r="BZ4" s="131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  <c r="DQ4" s="118"/>
      <c r="DR4" s="118"/>
      <c r="DS4" s="118"/>
      <c r="DT4" s="118"/>
      <c r="DU4" s="118"/>
    </row>
    <row r="5" spans="1:125" ht="25.5" customHeight="1" x14ac:dyDescent="0.2">
      <c r="A5" s="279" t="s">
        <v>164</v>
      </c>
      <c r="B5" s="280"/>
      <c r="C5" s="141"/>
      <c r="E5" s="143"/>
      <c r="F5" s="144" t="s">
        <v>6</v>
      </c>
      <c r="G5" s="145" t="s">
        <v>166</v>
      </c>
      <c r="H5" s="118"/>
      <c r="I5" s="119"/>
      <c r="J5" s="118"/>
      <c r="K5" s="120"/>
      <c r="L5" s="121"/>
      <c r="M5" s="121"/>
      <c r="N5" s="121"/>
      <c r="O5" s="120"/>
      <c r="P5" s="122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18"/>
      <c r="AG5" s="118"/>
      <c r="AH5" s="123"/>
      <c r="AI5" s="120"/>
      <c r="AJ5" s="120"/>
      <c r="AK5" s="120"/>
      <c r="AL5" s="120"/>
      <c r="AM5" s="118">
        <f ca="1">INDIRECT(ADDRESS(AY5,36))</f>
        <v>1511</v>
      </c>
      <c r="AN5" s="124"/>
      <c r="AO5" s="124"/>
      <c r="AP5" s="124"/>
      <c r="AQ5" s="124"/>
      <c r="AR5" s="118"/>
      <c r="AS5" s="118"/>
      <c r="AT5" s="133" t="s">
        <v>22</v>
      </c>
      <c r="AU5" s="120" t="s">
        <v>120</v>
      </c>
      <c r="AV5" s="146"/>
      <c r="AW5" s="139" t="s">
        <v>42</v>
      </c>
      <c r="AX5" s="120">
        <v>275</v>
      </c>
      <c r="AY5" s="120">
        <f ca="1">MATCH(A1,INDIRECT(AS2),0)+8</f>
        <v>9</v>
      </c>
      <c r="AZ5" s="120" t="s">
        <v>23</v>
      </c>
      <c r="BA5" s="120">
        <v>9</v>
      </c>
      <c r="BB5" s="139">
        <v>9</v>
      </c>
      <c r="BC5" s="140" t="s">
        <v>58</v>
      </c>
      <c r="BD5" s="120">
        <f ca="1">IF(BD4&lt;20,IF(BD4&lt;15,15,20),25)</f>
        <v>15</v>
      </c>
      <c r="BE5" s="120">
        <f ca="1">MATCH($BE$4,INDIRECT(BF4),0)+8</f>
        <v>9</v>
      </c>
      <c r="BF5" s="120">
        <v>9</v>
      </c>
      <c r="BG5" s="120">
        <f>BB6+1</f>
        <v>12</v>
      </c>
      <c r="BH5" s="118"/>
      <c r="BI5" s="118"/>
      <c r="BJ5" s="118"/>
      <c r="BK5" s="118"/>
      <c r="BL5" s="118">
        <v>1</v>
      </c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47"/>
      <c r="CA5" s="148">
        <f ca="1">NOW()-TODAY()</f>
        <v>0.8676918981509516</v>
      </c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118"/>
      <c r="DS5" s="118"/>
      <c r="DT5" s="118"/>
      <c r="DU5" s="118"/>
    </row>
    <row r="6" spans="1:125" s="141" customFormat="1" ht="25.5" hidden="1" customHeight="1" x14ac:dyDescent="0.2">
      <c r="A6" s="149"/>
      <c r="B6" s="150"/>
      <c r="C6" s="151"/>
      <c r="D6" s="152"/>
      <c r="E6" s="152"/>
      <c r="F6" s="153"/>
      <c r="G6" s="154"/>
      <c r="H6" s="155"/>
      <c r="I6" s="156"/>
      <c r="J6" s="155"/>
      <c r="K6" s="157"/>
      <c r="L6" s="158"/>
      <c r="M6" s="158"/>
      <c r="N6" s="158"/>
      <c r="O6" s="157"/>
      <c r="P6" s="159"/>
      <c r="Q6" s="157"/>
      <c r="R6" s="157"/>
      <c r="S6" s="157"/>
      <c r="T6" s="157"/>
      <c r="U6" s="157"/>
      <c r="V6" s="157"/>
      <c r="W6" s="160"/>
      <c r="X6" s="161"/>
      <c r="Y6" s="162"/>
      <c r="Z6" s="157"/>
      <c r="AA6" s="157"/>
      <c r="AB6" s="157"/>
      <c r="AC6" s="157"/>
      <c r="AD6" s="157"/>
      <c r="AE6" s="155"/>
      <c r="AF6" s="155"/>
      <c r="AG6" s="155"/>
      <c r="AH6" s="163"/>
      <c r="AI6" s="157"/>
      <c r="AJ6" s="157"/>
      <c r="AK6" s="157"/>
      <c r="AL6" s="157"/>
      <c r="AM6" s="155"/>
      <c r="AN6" s="164"/>
      <c r="AO6" s="164"/>
      <c r="AP6" s="164"/>
      <c r="AQ6" s="164"/>
      <c r="AR6" s="155"/>
      <c r="AS6" s="155"/>
      <c r="AT6" s="165" t="s">
        <v>133</v>
      </c>
      <c r="AU6" s="166" t="s">
        <v>121</v>
      </c>
      <c r="AV6" s="167" t="str">
        <f>CONCATENATE("AV9:AV",BF6)</f>
        <v>AV9:AV11</v>
      </c>
      <c r="AW6" s="168" t="s">
        <v>2</v>
      </c>
      <c r="AX6" s="157" t="s">
        <v>48</v>
      </c>
      <c r="AY6" s="155"/>
      <c r="AZ6" s="166"/>
      <c r="BA6" s="166">
        <f ca="1">COUNTIF(INDIRECT(BF4),AZ5)+8</f>
        <v>11</v>
      </c>
      <c r="BB6" s="168">
        <v>11</v>
      </c>
      <c r="BC6" s="169" t="s">
        <v>59</v>
      </c>
      <c r="BD6" s="166">
        <f ca="1">MATCH(A1,INDIRECT(AS2),0)+8</f>
        <v>9</v>
      </c>
      <c r="BE6" s="157">
        <f ca="1">COUNTIF(INDIRECT(BF4),BE4)+BE5-1</f>
        <v>11</v>
      </c>
      <c r="BF6" s="166">
        <f>COUNTA($BL:$BL)</f>
        <v>11</v>
      </c>
      <c r="BG6" s="166">
        <f ca="1">COUNTIF(A:A,INDIRECT(ADDRESS(BG5,1)))+BG5-1</f>
        <v>11</v>
      </c>
      <c r="BH6" s="155"/>
      <c r="BI6" s="155"/>
      <c r="BJ6" s="155"/>
      <c r="BK6" s="155"/>
      <c r="BL6" s="155">
        <v>1</v>
      </c>
      <c r="BM6" s="155"/>
      <c r="BN6" s="155"/>
      <c r="BO6" s="170"/>
      <c r="BP6" s="155"/>
      <c r="BQ6" s="155"/>
      <c r="BR6" s="155"/>
      <c r="BS6" s="155"/>
      <c r="BT6" s="170"/>
      <c r="BU6" s="155"/>
      <c r="BV6" s="155"/>
      <c r="BW6" s="155"/>
      <c r="BX6" s="155"/>
      <c r="BY6" s="170"/>
      <c r="BZ6" s="170"/>
      <c r="CA6" s="155"/>
      <c r="CB6" s="155"/>
      <c r="CC6" s="155"/>
      <c r="CD6" s="155"/>
      <c r="CE6" s="155"/>
      <c r="CF6" s="155"/>
      <c r="CG6" s="155"/>
      <c r="CH6" s="155"/>
      <c r="CI6" s="155"/>
      <c r="CJ6" s="155"/>
      <c r="CK6" s="155"/>
      <c r="CL6" s="155"/>
      <c r="CM6" s="155"/>
      <c r="CN6" s="155"/>
      <c r="CO6" s="155"/>
      <c r="CP6" s="155"/>
      <c r="CQ6" s="155"/>
      <c r="CR6" s="155"/>
      <c r="CS6" s="155"/>
      <c r="CT6" s="155"/>
      <c r="CU6" s="155"/>
      <c r="CV6" s="155"/>
      <c r="CW6" s="155"/>
      <c r="CX6" s="155"/>
      <c r="CY6" s="155"/>
      <c r="CZ6" s="155"/>
      <c r="DA6" s="155"/>
      <c r="DB6" s="155"/>
      <c r="DC6" s="155"/>
      <c r="DD6" s="155"/>
      <c r="DE6" s="155"/>
      <c r="DF6" s="155"/>
      <c r="DG6" s="155"/>
      <c r="DH6" s="155"/>
      <c r="DI6" s="155"/>
      <c r="DJ6" s="155"/>
      <c r="DK6" s="155"/>
      <c r="DL6" s="155"/>
      <c r="DM6" s="155"/>
      <c r="DN6" s="155"/>
      <c r="DO6" s="155"/>
      <c r="DP6" s="155"/>
      <c r="DQ6" s="155"/>
      <c r="DR6" s="155"/>
      <c r="DS6" s="155"/>
      <c r="DT6" s="155"/>
      <c r="DU6" s="155"/>
    </row>
    <row r="7" spans="1:125" s="174" customFormat="1" ht="27" customHeight="1" x14ac:dyDescent="0.2">
      <c r="A7" s="171" t="s">
        <v>190</v>
      </c>
      <c r="B7" s="172" t="s">
        <v>0</v>
      </c>
      <c r="C7" s="173" t="s">
        <v>41</v>
      </c>
      <c r="D7" s="173" t="s">
        <v>2</v>
      </c>
      <c r="E7" s="173" t="str">
        <f>'Weigh-In'!E2</f>
        <v>Bwt (kg)</v>
      </c>
      <c r="F7" s="173" t="str">
        <f>IF(E7="Bwt (lb)","WtCls (lb)","WtCls (kg)")</f>
        <v>WtCls (kg)</v>
      </c>
      <c r="G7" s="173" t="s">
        <v>1</v>
      </c>
      <c r="H7" s="174" t="s">
        <v>5</v>
      </c>
      <c r="I7" s="175" t="s">
        <v>195</v>
      </c>
      <c r="J7" s="173" t="s">
        <v>4</v>
      </c>
      <c r="K7" s="173" t="s">
        <v>8</v>
      </c>
      <c r="L7" s="173" t="s">
        <v>9</v>
      </c>
      <c r="M7" s="173" t="s">
        <v>10</v>
      </c>
      <c r="N7" s="173" t="s">
        <v>11</v>
      </c>
      <c r="O7" s="173" t="s">
        <v>12</v>
      </c>
      <c r="P7" s="176" t="s">
        <v>13</v>
      </c>
      <c r="Q7" s="173" t="s">
        <v>14</v>
      </c>
      <c r="R7" s="173" t="s">
        <v>15</v>
      </c>
      <c r="S7" s="173" t="s">
        <v>16</v>
      </c>
      <c r="T7" s="173" t="s">
        <v>21</v>
      </c>
      <c r="U7" s="173" t="s">
        <v>17</v>
      </c>
      <c r="V7" s="173" t="s">
        <v>18</v>
      </c>
      <c r="W7" s="177" t="s">
        <v>19</v>
      </c>
      <c r="X7" s="173" t="s">
        <v>20</v>
      </c>
      <c r="Y7" s="178" t="s">
        <v>22</v>
      </c>
      <c r="Z7" s="171" t="s">
        <v>129</v>
      </c>
      <c r="AA7" s="173" t="s">
        <v>194</v>
      </c>
      <c r="AB7" s="173" t="s">
        <v>193</v>
      </c>
      <c r="AC7" s="173" t="s">
        <v>26</v>
      </c>
      <c r="AD7" s="179" t="s">
        <v>135</v>
      </c>
      <c r="AE7" s="173" t="s">
        <v>27</v>
      </c>
      <c r="AG7" s="174">
        <v>1</v>
      </c>
      <c r="AH7" s="180" t="s">
        <v>115</v>
      </c>
      <c r="AI7" s="173" t="s">
        <v>116</v>
      </c>
      <c r="AJ7" s="173" t="s">
        <v>154</v>
      </c>
      <c r="AK7" s="173" t="s">
        <v>155</v>
      </c>
      <c r="AL7" s="173" t="s">
        <v>142</v>
      </c>
      <c r="AN7" s="181" t="s">
        <v>156</v>
      </c>
      <c r="AO7" s="181" t="s">
        <v>157</v>
      </c>
      <c r="AP7" s="181" t="s">
        <v>158</v>
      </c>
      <c r="AQ7" s="181" t="s">
        <v>159</v>
      </c>
      <c r="AU7" s="181" t="str">
        <f ca="1">OFFSET(AU1,MATCH(Z7,AT2:AT6,0),0)</f>
        <v>PL</v>
      </c>
      <c r="AW7" s="181"/>
      <c r="AX7" s="182"/>
      <c r="AY7" s="182"/>
      <c r="AZ7" s="182"/>
      <c r="BA7" s="183" t="s">
        <v>153</v>
      </c>
      <c r="BB7" s="173" t="s">
        <v>53</v>
      </c>
      <c r="BL7" s="173" t="s">
        <v>9</v>
      </c>
      <c r="BM7" s="173" t="s">
        <v>10</v>
      </c>
      <c r="BN7" s="173" t="s">
        <v>11</v>
      </c>
      <c r="BO7" s="184" t="s">
        <v>28</v>
      </c>
      <c r="BP7" s="173" t="s">
        <v>13</v>
      </c>
      <c r="BQ7" s="173" t="s">
        <v>14</v>
      </c>
      <c r="BR7" s="173" t="s">
        <v>15</v>
      </c>
      <c r="BS7" s="173" t="s">
        <v>16</v>
      </c>
      <c r="BT7" s="184" t="s">
        <v>29</v>
      </c>
      <c r="BU7" s="173" t="s">
        <v>17</v>
      </c>
      <c r="BV7" s="173" t="s">
        <v>18</v>
      </c>
      <c r="BW7" s="173" t="s">
        <v>19</v>
      </c>
      <c r="BX7" s="173" t="s">
        <v>20</v>
      </c>
      <c r="BY7" s="184" t="s">
        <v>30</v>
      </c>
      <c r="BZ7" s="184" t="s">
        <v>160</v>
      </c>
      <c r="CA7" s="174" t="s">
        <v>167</v>
      </c>
    </row>
    <row r="8" spans="1:125" ht="19.5" hidden="1" customHeight="1" x14ac:dyDescent="0.2">
      <c r="A8" s="185"/>
      <c r="B8" s="186" t="s">
        <v>111</v>
      </c>
      <c r="C8" s="186"/>
      <c r="D8" s="187"/>
      <c r="E8" s="187">
        <v>0</v>
      </c>
      <c r="F8" s="187" t="e">
        <f>IF(LEFT(D8,1)="M",VLOOKUP(IF($E$7="Bwt (kg)",E8,E8/2.2046),Lists!$B$16:$D$24,IF(ISERROR(FIND("J",D8)),3,2)),VLOOKUP(IF($E$7="Bwt (kg)",E8,E8/2.2046),Lists!$B$26:$D$33,IF(ISERROR(FIND("J",D8)),3,2)))</f>
        <v>#N/A</v>
      </c>
      <c r="G8" s="187">
        <v>0</v>
      </c>
      <c r="H8" s="188">
        <f>IF(AND(VALUE(E8)&gt;0,OR(LEFT(D8,1)="M",LEFT(D8,1)="F")),IF(LEFT(D8,1)="M",Wilks_Men(IF(RIGHT($F$7,4)="(lb)",E8/2.2046,E8)),Wilks_Women(IF(RIGHT($F$7,4)="(lb)",E8/2.2046,E8))),0)</f>
        <v>0</v>
      </c>
      <c r="I8" s="189">
        <v>0</v>
      </c>
      <c r="J8" s="142">
        <f ca="1">IF(I8,VLOOKUP(INT((NOW()-DATE(LEFT(I8,2),MID(I8,3,2),RIGHT(I8,2)))/365.25),DATA!$A$2:$B$53,2,TRUE),0)</f>
        <v>0</v>
      </c>
      <c r="K8" s="187"/>
      <c r="L8" s="190">
        <v>0</v>
      </c>
      <c r="M8" s="190"/>
      <c r="N8" s="190"/>
      <c r="O8" s="191">
        <f t="shared" ref="O8" si="1">IF(MAX(BL8:BN8)&gt;0,MAX(ABS(L8)*BL8,ABS(M8)*BM8,ABS(N8)*BN8),0)</f>
        <v>0</v>
      </c>
      <c r="P8" s="192"/>
      <c r="Q8" s="185">
        <v>0</v>
      </c>
      <c r="R8" s="185"/>
      <c r="S8" s="185"/>
      <c r="T8" s="191">
        <f t="shared" ref="T8" si="2">IF(MAX(BQ8:BS8)&gt;0,MAX(ABS(Q8)*BQ8,ABS(R8)*BR8,ABS(S8)*BS8),0)</f>
        <v>0</v>
      </c>
      <c r="U8" s="191">
        <f t="shared" ref="U8" si="3">IF(OR(O8=0,T8=0),0,O8+T8)</f>
        <v>0</v>
      </c>
      <c r="V8" s="185">
        <v>0</v>
      </c>
      <c r="W8" s="193"/>
      <c r="X8" s="185"/>
      <c r="Y8" s="194">
        <f t="shared" ref="Y8" si="4">IF(MAX(BV8:BX8)&gt;0,MAX(ABS(V8)*BV8,ABS(W8)*BW8,ABS(X8)*BX8),0)</f>
        <v>0</v>
      </c>
      <c r="Z8" s="191">
        <f t="shared" ref="Z8" ca="1" si="5">AU8*IF($AU$7="SQ",O8,IF($AU$7="BP",T8,IF($AU$7="DL",Y8,IF($AU$7="PP",IF(OR(T8=0,Y8=0),0,T8+Y8),IF(OR($U8=0,$Y8=0),0,$O8+$T8+$Y8)))))</f>
        <v>0</v>
      </c>
      <c r="AA8" s="195">
        <f t="shared" ref="AA8" ca="1" si="6">IF($E$2="Lb",Z8*H8/2.2046,Z8*H8)</f>
        <v>0</v>
      </c>
      <c r="AB8" s="195">
        <f t="shared" ref="AB8" ca="1" si="7">IF(AND(I8&gt;23,I8&lt;40),0,AA8*J8)</f>
        <v>0</v>
      </c>
      <c r="AC8" s="185" t="e">
        <f ca="1">OFFSET(Setup!$F$1,MATCH(D8,INDIRECT("Setup!B1:B100"),0)-1,0)</f>
        <v>#N/A</v>
      </c>
      <c r="AD8" s="196" t="str">
        <f t="shared" ref="AD8" ca="1" si="8">IF(OR(Z8=0,AU8=0,AH8=0),"",CONCATENATE(AL8,"-",D8,IF(AC8&gt;1,"","-"),IF(AC8&gt;1,"",F8),"-",$AU$7))</f>
        <v/>
      </c>
      <c r="AE8" s="187"/>
      <c r="AH8" s="197">
        <f ca="1">AU8*(IF(OR(D8="",E8=""),0,MATCH(D8,INDIRECT("Setup!B1:B100"),0)*100000000+IF(AC8=1,(MATCH(F8,Lists!$I$16:$I$32,0)),0)*1000000+IF(Z8=0,0,IF(AC8=1,AN8*1000,IF(AC8=2,AA8,AB8))+IF(AC8=1,AP8+AQ8/1000,0))))</f>
        <v>0</v>
      </c>
      <c r="AI8" s="142">
        <f t="shared" ref="AI8" ca="1" si="9">RANK(AH8,INDIRECT("AH1:AH200"),0)</f>
        <v>4</v>
      </c>
      <c r="AJ8" s="142">
        <f t="shared" ref="AJ8" ca="1" si="10">INT(AH8/1000000)</f>
        <v>0</v>
      </c>
      <c r="AK8" s="142">
        <f ca="1">RANK(AJ8,INDIRECT("AJ1:AJ200"),0)</f>
        <v>4</v>
      </c>
      <c r="AL8" s="142">
        <f t="shared" ref="AL8" ca="1" si="11">AI8-AK8+1</f>
        <v>1</v>
      </c>
      <c r="AN8" s="198">
        <f t="shared" ref="AN8" ca="1" si="12">RANK(Z8,INDIRECT("Z1:Z200"),-1)</f>
        <v>1</v>
      </c>
      <c r="AO8" s="198">
        <f t="shared" ref="AO8" si="13">E8</f>
        <v>0</v>
      </c>
      <c r="AP8" s="198">
        <f t="shared" ref="AP8" ca="1" si="14">RANK(AO8,INDIRECT("AO1:AO200"))</f>
        <v>4</v>
      </c>
      <c r="AQ8" s="198">
        <f t="shared" ref="AQ8" ca="1" si="15">RANK(BZ8,INDIRECT("BZ:BZ"),-1)</f>
        <v>1</v>
      </c>
      <c r="AU8" s="198">
        <f t="shared" ref="AU8" ca="1" si="16">IF(ISERROR(FIND($AU$7,AE8)),0,1)</f>
        <v>0</v>
      </c>
      <c r="AW8" s="198"/>
      <c r="AX8" s="200"/>
      <c r="AY8" s="200"/>
      <c r="AZ8" s="200"/>
      <c r="BA8" s="142" t="e">
        <f t="shared" ref="BA8" si="17">HLOOKUP($A8,$BA$1:$BH$2,2,FALSE)</f>
        <v>#N/A</v>
      </c>
      <c r="BB8" s="132" t="str">
        <f t="shared" ref="BB8" ca="1" si="18">IF(OR(INDIRECT(ADDRESS(ROW(BB8),$BB$4))="",INDIRECT(ADDRESS(ROW(BB8),$BB$4))=0),"",ABS(INDIRECT(ADDRESS(ROW(BB8),$BB$4)))+0.0001*INDIRECT(ADDRESS(ROW(BB8),7)))</f>
        <v/>
      </c>
      <c r="BL8" s="132">
        <v>0</v>
      </c>
      <c r="BM8" s="132">
        <v>0</v>
      </c>
      <c r="BN8" s="132">
        <v>0</v>
      </c>
      <c r="BQ8" s="132">
        <v>0</v>
      </c>
      <c r="BR8" s="132">
        <v>0</v>
      </c>
      <c r="BS8" s="132">
        <v>0</v>
      </c>
      <c r="BV8" s="132">
        <v>0</v>
      </c>
      <c r="BW8" s="132">
        <v>0</v>
      </c>
      <c r="BX8" s="132">
        <v>0</v>
      </c>
      <c r="BY8" s="201">
        <f>IF(BX8=1,3,IF(BW8=1,2,IF(BV8=1,1,0)))</f>
        <v>0</v>
      </c>
      <c r="BZ8" s="201">
        <f t="shared" ref="BZ8" ca="1" si="19">IF($AU$7="SQ",BO8,IF($AU$7="BP",BT8,BY8))</f>
        <v>0</v>
      </c>
    </row>
    <row r="9" spans="1:125" ht="19.5" customHeight="1" x14ac:dyDescent="0.2">
      <c r="A9" s="185" t="s">
        <v>23</v>
      </c>
      <c r="B9" s="186" t="s">
        <v>201</v>
      </c>
      <c r="C9" s="186" t="s">
        <v>188</v>
      </c>
      <c r="D9" s="187" t="s">
        <v>161</v>
      </c>
      <c r="E9" s="187">
        <v>62</v>
      </c>
      <c r="F9" s="187">
        <f>IF(LEFT(D9,1)="M",VLOOKUP(IF($E$7="Bwt (kg)",E9,E9/2.2046),Lists!$B$16:$D$24,IF(ISERROR(FIND("J",D9)),3,2)),VLOOKUP(IF($E$7="Bwt (kg)",E9,E9/2.2046),Lists!$B$26:$D$33,IF(ISERROR(FIND("J",D9)),3,2)))</f>
        <v>63</v>
      </c>
      <c r="G9" s="187">
        <v>44</v>
      </c>
      <c r="H9" s="188">
        <f>IF(AND(VALUE(E9)&gt;0,OR(LEFT(D9,1)="M",LEFT(D9,1)="F")),IF(LEFT(D9,1)="M",Wilks_Men(IF(RIGHT($F$7,4)="(lb)",E9/2.2046,E9)),Wilks_Women(IF(RIGHT($F$7,4)="(lb)",E9/2.2046,E9))),0)</f>
        <v>1.0871000289916992</v>
      </c>
      <c r="I9" s="189">
        <v>990130</v>
      </c>
      <c r="J9" s="142">
        <f ca="1">IF(I9,VLOOKUP(INT((NOW()-DATE(LEFT(I9,2),MID(I9,3,2),RIGHT(I9,2)))/365.25),DATA!$A$2:$B$53,2,TRUE),0)</f>
        <v>1.06</v>
      </c>
      <c r="K9" s="187">
        <v>13</v>
      </c>
      <c r="L9" s="202">
        <v>115</v>
      </c>
      <c r="M9" s="203">
        <v>120</v>
      </c>
      <c r="N9" s="203"/>
      <c r="O9" s="191">
        <f>IF(MAX(BL9:BN9)&gt;0,MAX(ABS(L9)*BL9,ABS(M9)*BM9,ABS(N9)*BN9),0)</f>
        <v>115</v>
      </c>
      <c r="P9" s="192" t="s">
        <v>203</v>
      </c>
      <c r="Q9" s="185">
        <v>65</v>
      </c>
      <c r="R9" s="185"/>
      <c r="S9" s="185"/>
      <c r="T9" s="191">
        <f>IF(MAX(BQ9:BS9)&gt;0,MAX(ABS(Q9)*BQ9,ABS(R9)*BR9,ABS(S9)*BS9),0)</f>
        <v>0</v>
      </c>
      <c r="U9" s="191">
        <f>IF(OR(O9=0,T9=0),0,O9+T9)</f>
        <v>0</v>
      </c>
      <c r="V9" s="185">
        <v>145</v>
      </c>
      <c r="W9" s="193"/>
      <c r="X9" s="185"/>
      <c r="Y9" s="194">
        <f>IF(MAX(BV9:BX9)&gt;0,MAX(ABS(V9)*BV9,ABS(W9)*BW9,ABS(X9)*BX9),0)</f>
        <v>0</v>
      </c>
      <c r="Z9" s="191">
        <f ca="1">AU9*IF($AU$7="SQ",O9,IF($AU$7="BP",T9,IF($AU$7="DL",Y9,IF($AU$7="PP",IF(OR(T9=0,Y9=0),0,T9+Y9),IF(OR($U9=0,$Y9=0),0,$O9+$T9+$Y9)))))</f>
        <v>0</v>
      </c>
      <c r="AA9" s="195">
        <f ca="1">IF($E$2="Lb",Z9*H9/2.2046,Z9*H9)</f>
        <v>0</v>
      </c>
      <c r="AB9" s="195">
        <f ca="1">IF(AND(I9&gt;23,I9&lt;40),0,AA9*J9)</f>
        <v>0</v>
      </c>
      <c r="AC9" s="185">
        <f ca="1">OFFSET(Setup!$F$1,MATCH(D9,INDIRECT("Setup!B1:B100"),0)-1,0)</f>
        <v>1</v>
      </c>
      <c r="AD9" s="196" t="str">
        <f ca="1">IF(OR(Z9=0,AU9=0,AH9=0),"",CONCATENATE(AL9,"-",D9,IF(AC9&gt;1,"","-"),IF(AC9&gt;1,"",F9),"-",$AU$7))</f>
        <v/>
      </c>
      <c r="AE9" s="187" t="s">
        <v>110</v>
      </c>
      <c r="AH9" s="197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142">
        <f ca="1">RANK(AH9,INDIRECT("AH1:AH200"),0)</f>
        <v>1</v>
      </c>
      <c r="AJ9" s="142">
        <f ca="1">INT(AH9/1000000)</f>
        <v>1511</v>
      </c>
      <c r="AK9" s="142">
        <f ca="1">RANK(AJ9,INDIRECT("AJ1:AJ200"),0)</f>
        <v>1</v>
      </c>
      <c r="AL9" s="142">
        <f ca="1">AI9-AK9+1</f>
        <v>1</v>
      </c>
      <c r="AN9" s="198">
        <f ca="1">RANK(Z9,INDIRECT("Z1:Z200"),-1)</f>
        <v>1</v>
      </c>
      <c r="AO9" s="198">
        <f>E9</f>
        <v>62</v>
      </c>
      <c r="AP9" s="198">
        <f ca="1">RANK(AO9,INDIRECT("AO1:AO200"))</f>
        <v>3</v>
      </c>
      <c r="AQ9" s="198">
        <f ca="1">RANK(BZ9,INDIRECT("BZ:BZ"),-1)</f>
        <v>1</v>
      </c>
      <c r="AU9" s="198">
        <f ca="1">IF(ISERROR(FIND($AU$7,AE9)),0,1)</f>
        <v>1</v>
      </c>
      <c r="AW9" s="198"/>
      <c r="AX9" s="200"/>
      <c r="AY9" s="200"/>
      <c r="AZ9" s="200"/>
      <c r="BA9" s="142">
        <f>HLOOKUP($A9,$BA$1:$BH$2,2,FALSE)</f>
        <v>0</v>
      </c>
      <c r="BB9" s="132">
        <f ca="1">IF(OR(INDIRECT(ADDRESS(ROW(BB9),$BB$4))="",INDIRECT(ADDRESS(ROW(BB9),$BB$4))=0),"",ABS(INDIRECT(ADDRESS(ROW(BB9),$BB$4)))+0.0001*INDIRECT(ADDRESS(ROW(BB9),7)))</f>
        <v>120.0044</v>
      </c>
      <c r="BL9" s="132">
        <v>1</v>
      </c>
      <c r="BM9" s="132">
        <v>0</v>
      </c>
      <c r="BN9" s="132">
        <v>0</v>
      </c>
      <c r="BO9" s="201">
        <v>43018.449895833335</v>
      </c>
      <c r="BQ9" s="132">
        <v>0</v>
      </c>
      <c r="BR9" s="132">
        <v>0</v>
      </c>
      <c r="BS9" s="132">
        <v>0</v>
      </c>
      <c r="BV9" s="132">
        <v>0</v>
      </c>
      <c r="BW9" s="132">
        <v>0</v>
      </c>
      <c r="BX9" s="132">
        <v>0</v>
      </c>
      <c r="BY9" s="201">
        <f>IF(BX9=1,3,IF(BW9=1,2,IF(BV9=1,1,0)))</f>
        <v>0</v>
      </c>
      <c r="BZ9" s="201">
        <f ca="1">IF($AU$7="SQ",BO9,IF($AU$7="BP",BT9,BY9))</f>
        <v>0</v>
      </c>
      <c r="CA9" s="204">
        <v>0.45059027777777777</v>
      </c>
    </row>
    <row r="10" spans="1:125" ht="19.5" customHeight="1" x14ac:dyDescent="0.2">
      <c r="A10" s="185" t="s">
        <v>23</v>
      </c>
      <c r="B10" s="186" t="s">
        <v>199</v>
      </c>
      <c r="C10" s="186" t="s">
        <v>188</v>
      </c>
      <c r="D10" s="187" t="s">
        <v>48</v>
      </c>
      <c r="E10" s="187">
        <v>77</v>
      </c>
      <c r="F10" s="187">
        <f>IF(LEFT(D10,1)="M",VLOOKUP(IF($E$7="Bwt (kg)",E10,E10/2.2046),Lists!$B$16:$D$24,IF(ISERROR(FIND("J",D10)),3,2)),VLOOKUP(IF($E$7="Bwt (kg)",E10,E10/2.2046),Lists!$B$26:$D$33,IF(ISERROR(FIND("J",D10)),3,2)))</f>
        <v>83</v>
      </c>
      <c r="G10" s="187">
        <v>15</v>
      </c>
      <c r="H10" s="188">
        <f>IF(AND(VALUE(E10)&gt;0,OR(LEFT(D10,1)="M",LEFT(D10,1)="F")),IF(LEFT(D10,1)="M",Wilks_Men(IF(RIGHT($F$7,4)="(lb)",E10/2.2046,E10)),Wilks_Women(IF(RIGHT($F$7,4)="(lb)",E10/2.2046,E10))),0)</f>
        <v>0.69989997148513794</v>
      </c>
      <c r="I10" s="189">
        <v>910429</v>
      </c>
      <c r="J10" s="142">
        <f ca="1">IF(I10,VLOOKUP(INT((NOW()-DATE(LEFT(I10,2),MID(I10,3,2),RIGHT(I10,2)))/365.25),DATA!$A$2:$B$53,2,TRUE),0)</f>
        <v>1</v>
      </c>
      <c r="K10" s="187" t="s">
        <v>191</v>
      </c>
      <c r="L10" s="205">
        <v>-190</v>
      </c>
      <c r="M10" s="203">
        <v>200</v>
      </c>
      <c r="N10" s="203"/>
      <c r="O10" s="191">
        <f>IF(MAX(BL10:BN10)&gt;0,MAX(ABS(L10)*BL10,ABS(M10)*BM10,ABS(N10)*BN10),0)</f>
        <v>0</v>
      </c>
      <c r="P10" s="192" t="s">
        <v>192</v>
      </c>
      <c r="Q10" s="185">
        <v>135</v>
      </c>
      <c r="R10" s="185"/>
      <c r="S10" s="185"/>
      <c r="T10" s="191">
        <f>IF(MAX(BQ10:BS10)&gt;0,MAX(ABS(Q10)*BQ10,ABS(R10)*BR10,ABS(S10)*BS10),0)</f>
        <v>0</v>
      </c>
      <c r="U10" s="191">
        <f>IF(OR(O10=0,T10=0),0,O10+T10)</f>
        <v>0</v>
      </c>
      <c r="V10" s="185">
        <v>200</v>
      </c>
      <c r="W10" s="193"/>
      <c r="X10" s="185"/>
      <c r="Y10" s="194">
        <f>IF(MAX(BV10:BX10)&gt;0,MAX(ABS(V10)*BV10,ABS(W10)*BW10,ABS(X10)*BX10),0)</f>
        <v>0</v>
      </c>
      <c r="Z10" s="191">
        <f ca="1">AU10*IF($AU$7="SQ",O10,IF($AU$7="BP",T10,IF($AU$7="DL",Y10,IF($AU$7="PP",IF(OR(T10=0,Y10=0),0,T10+Y10),IF(OR($U10=0,$Y10=0),0,$O10+$T10+$Y10)))))</f>
        <v>0</v>
      </c>
      <c r="AA10" s="195">
        <f ca="1">IF($E$2="Lb",Z10*H10/2.2046,Z10*H10)</f>
        <v>0</v>
      </c>
      <c r="AB10" s="195">
        <f ca="1">IF(AND(I10&gt;23,I10&lt;40),0,AA10*J10)</f>
        <v>0</v>
      </c>
      <c r="AC10" s="185">
        <f ca="1">OFFSET(Setup!$F$1,MATCH(D10,INDIRECT("Setup!B1:B100"),0)-1,0)</f>
        <v>1</v>
      </c>
      <c r="AD10" s="196" t="str">
        <f ca="1">IF(OR(Z10=0,AU10=0,AH10=0),"",CONCATENATE(AL10,"-",D10,IF(AC10&gt;1,"","-"),IF(AC10&gt;1,"",F10),"-",$AU$7))</f>
        <v/>
      </c>
      <c r="AE10" s="187" t="s">
        <v>110</v>
      </c>
      <c r="AH10" s="197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42">
        <f ca="1">RANK(AH10,INDIRECT("AH1:AH200"),0)</f>
        <v>2</v>
      </c>
      <c r="AJ10" s="142">
        <f ca="1">INT(AH10/1000000)</f>
        <v>1407</v>
      </c>
      <c r="AK10" s="142">
        <f ca="1">RANK(AJ10,INDIRECT("AJ1:AJ200"),0)</f>
        <v>2</v>
      </c>
      <c r="AL10" s="142">
        <f ca="1">AI10-AK10+1</f>
        <v>1</v>
      </c>
      <c r="AN10" s="198">
        <f ca="1">RANK(Z10,INDIRECT("Z1:Z200"),-1)</f>
        <v>1</v>
      </c>
      <c r="AO10" s="198">
        <f>E10</f>
        <v>77</v>
      </c>
      <c r="AP10" s="198">
        <f ca="1">RANK(AO10,INDIRECT("AO1:AO200"))</f>
        <v>2</v>
      </c>
      <c r="AQ10" s="198">
        <f ca="1">RANK(BZ10,INDIRECT("BZ:BZ"),-1)</f>
        <v>1</v>
      </c>
      <c r="AU10" s="198">
        <f ca="1">IF(ISERROR(FIND($AU$7,AE10)),0,1)</f>
        <v>1</v>
      </c>
      <c r="AW10" s="198"/>
      <c r="AX10" s="200"/>
      <c r="AY10" s="200"/>
      <c r="AZ10" s="200"/>
      <c r="BA10" s="142">
        <f>HLOOKUP($A10,$BA$1:$BH$2,2,FALSE)</f>
        <v>0</v>
      </c>
      <c r="BB10" s="132">
        <f ca="1">IF(OR(INDIRECT(ADDRESS(ROW(BB10),$BB$4))="",INDIRECT(ADDRESS(ROW(BB10),$BB$4))=0),"",ABS(INDIRECT(ADDRESS(ROW(BB10),$BB$4)))+0.0001*INDIRECT(ADDRESS(ROW(BB10),7)))</f>
        <v>200.00149999999999</v>
      </c>
      <c r="BL10" s="132">
        <v>-1</v>
      </c>
      <c r="BM10" s="132">
        <v>0</v>
      </c>
      <c r="BN10" s="132">
        <v>0</v>
      </c>
      <c r="BO10" s="201">
        <v>43018.450682870367</v>
      </c>
      <c r="BQ10" s="132">
        <v>0</v>
      </c>
      <c r="BR10" s="132">
        <v>0</v>
      </c>
      <c r="BS10" s="132">
        <v>0</v>
      </c>
      <c r="BV10" s="132">
        <v>0</v>
      </c>
      <c r="BW10" s="132">
        <v>0</v>
      </c>
      <c r="BX10" s="132">
        <v>0</v>
      </c>
      <c r="BY10" s="201">
        <f>IF(BX10=1,3,IF(BW10=1,2,IF(BV10=1,1,0)))</f>
        <v>0</v>
      </c>
      <c r="BZ10" s="201">
        <f ca="1">IF($AU$7="SQ",BO10,IF($AU$7="BP",BT10,BY10))</f>
        <v>0</v>
      </c>
      <c r="CA10" s="204">
        <v>0.4513773148148148</v>
      </c>
    </row>
    <row r="11" spans="1:125" ht="19.5" customHeight="1" x14ac:dyDescent="0.2">
      <c r="A11" s="185" t="s">
        <v>23</v>
      </c>
      <c r="B11" s="186" t="s">
        <v>200</v>
      </c>
      <c r="C11" s="186" t="s">
        <v>188</v>
      </c>
      <c r="D11" s="187" t="s">
        <v>48</v>
      </c>
      <c r="E11" s="187">
        <v>92</v>
      </c>
      <c r="F11" s="187">
        <f>IF(LEFT(D11,1)="M",VLOOKUP(IF($E$7="Bwt (kg)",E11,E11/2.2046),Lists!$B$16:$D$24,IF(ISERROR(FIND("J",D11)),3,2)),VLOOKUP(IF($E$7="Bwt (kg)",E11,E11/2.2046),Lists!$B$26:$D$33,IF(ISERROR(FIND("J",D11)),3,2)))</f>
        <v>93</v>
      </c>
      <c r="G11" s="187">
        <v>32</v>
      </c>
      <c r="H11" s="188">
        <f>IF(AND(VALUE(E11)&gt;0,OR(LEFT(D11,1)="M",LEFT(D11,1)="F")),IF(LEFT(D11,1)="M",Wilks_Men(IF(RIGHT($F$7,4)="(lb)",E11/2.2046,E11)),Wilks_Women(IF(RIGHT($F$7,4)="(lb)",E11/2.2046,E11))),0)</f>
        <v>0.6315000057220459</v>
      </c>
      <c r="I11" s="189">
        <v>940605</v>
      </c>
      <c r="J11" s="142">
        <f ca="1">IF(I11,VLOOKUP(INT((NOW()-DATE(LEFT(I11,2),MID(I11,3,2),RIGHT(I11,2)))/365.25),DATA!$A$2:$B$53,2,TRUE),0)</f>
        <v>1</v>
      </c>
      <c r="K11" s="187">
        <v>13</v>
      </c>
      <c r="L11" s="202">
        <v>145</v>
      </c>
      <c r="M11" s="203">
        <v>150</v>
      </c>
      <c r="N11" s="203"/>
      <c r="O11" s="191">
        <f>IF(MAX(BL11:BN11)&gt;0,MAX(ABS(L11)*BL11,ABS(M11)*BM11,ABS(N11)*BN11),0)</f>
        <v>145</v>
      </c>
      <c r="P11" s="192" t="s">
        <v>202</v>
      </c>
      <c r="Q11" s="185">
        <v>145</v>
      </c>
      <c r="R11" s="185"/>
      <c r="S11" s="185"/>
      <c r="T11" s="191">
        <f>IF(MAX(BQ11:BS11)&gt;0,MAX(ABS(Q11)*BQ11,ABS(R11)*BR11,ABS(S11)*BS11),0)</f>
        <v>0</v>
      </c>
      <c r="U11" s="191">
        <f>IF(OR(O11=0,T11=0),0,O11+T11)</f>
        <v>0</v>
      </c>
      <c r="V11" s="185">
        <v>230</v>
      </c>
      <c r="W11" s="185"/>
      <c r="X11" s="185"/>
      <c r="Y11" s="191">
        <f>IF(MAX(BV11:BX11)&gt;0,MAX(ABS(V11)*BV11,ABS(W11)*BW11,ABS(X11)*BX11),0)</f>
        <v>0</v>
      </c>
      <c r="Z11" s="191">
        <f ca="1">AU11*IF($AU$7="SQ",O11,IF($AU$7="BP",T11,IF($AU$7="DL",Y11,IF($AU$7="PP",IF(OR(T11=0,Y11=0),0,T11+Y11),IF(OR($U11=0,$Y11=0),0,$O11+$T11+$Y11)))))</f>
        <v>0</v>
      </c>
      <c r="AA11" s="195">
        <f ca="1">IF($E$2="Lb",Z11*H11/2.2046,Z11*H11)</f>
        <v>0</v>
      </c>
      <c r="AB11" s="195">
        <f ca="1">IF(AND(I11&gt;23,I11&lt;40),0,AA11*J11)</f>
        <v>0</v>
      </c>
      <c r="AC11" s="185">
        <f ca="1">OFFSET(Setup!$F$1,MATCH(D11,INDIRECT("Setup!B1:B100"),0)-1,0)</f>
        <v>1</v>
      </c>
      <c r="AD11" s="196" t="str">
        <f ca="1">IF(OR(Z11=0,AU11=0,AH11=0),"",CONCATENATE(AL11,"-",D11,IF(AC11&gt;1,"","-"),IF(AC11&gt;1,"",F11),"-",$AU$7))</f>
        <v/>
      </c>
      <c r="AE11" s="187" t="s">
        <v>110</v>
      </c>
      <c r="AH11" s="197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42">
        <f ca="1">RANK(AH11,INDIRECT("AH1:AH200"),0)</f>
        <v>3</v>
      </c>
      <c r="AJ11" s="142">
        <f ca="1">INT(AH11/1000000)</f>
        <v>1404</v>
      </c>
      <c r="AK11" s="142">
        <f ca="1">RANK(AJ11,INDIRECT("AJ1:AJ200"),0)</f>
        <v>3</v>
      </c>
      <c r="AL11" s="142">
        <f ca="1">AI11-AK11+1</f>
        <v>1</v>
      </c>
      <c r="AN11" s="198">
        <f ca="1">RANK(Z11,INDIRECT("Z1:Z200"),-1)</f>
        <v>1</v>
      </c>
      <c r="AO11" s="198">
        <f>E11</f>
        <v>92</v>
      </c>
      <c r="AP11" s="198">
        <f ca="1">RANK(AO11,INDIRECT("AO1:AO200"))</f>
        <v>1</v>
      </c>
      <c r="AQ11" s="198">
        <f ca="1">RANK(BZ11,INDIRECT("BZ:BZ"),-1)</f>
        <v>1</v>
      </c>
      <c r="AU11" s="198">
        <f ca="1">IF(ISERROR(FIND($AU$7,AE11)),0,1)</f>
        <v>1</v>
      </c>
      <c r="AW11" s="198"/>
      <c r="AX11" s="200"/>
      <c r="AY11" s="200"/>
      <c r="AZ11" s="200"/>
      <c r="BA11" s="142">
        <f>HLOOKUP($A11,$BA$1:$BH$2,2,FALSE)</f>
        <v>0</v>
      </c>
      <c r="BB11" s="132">
        <f ca="1">IF(OR(INDIRECT(ADDRESS(ROW(BB11),$BB$4))="",INDIRECT(ADDRESS(ROW(BB11),$BB$4))=0),"",ABS(INDIRECT(ADDRESS(ROW(BB11),$BB$4)))+0.0001*INDIRECT(ADDRESS(ROW(BB11),7)))</f>
        <v>150.00319999999999</v>
      </c>
      <c r="BL11" s="132">
        <v>1</v>
      </c>
      <c r="BM11" s="132">
        <v>0</v>
      </c>
      <c r="BN11" s="132">
        <v>0</v>
      </c>
      <c r="BO11" s="201">
        <v>43018.432106481479</v>
      </c>
      <c r="BQ11" s="132">
        <v>0</v>
      </c>
      <c r="BR11" s="132">
        <v>0</v>
      </c>
      <c r="BS11" s="132">
        <v>0</v>
      </c>
      <c r="BV11" s="132">
        <v>0</v>
      </c>
      <c r="BW11" s="132">
        <v>0</v>
      </c>
      <c r="BX11" s="132">
        <v>0</v>
      </c>
      <c r="BY11" s="201">
        <f>IF(BX11=1,3,IF(BW11=1,2,IF(BV11=1,1,0)))</f>
        <v>0</v>
      </c>
      <c r="BZ11" s="201">
        <f ca="1">IF($AU$7="SQ",BO11,IF($AU$7="BP",BT11,BY11))</f>
        <v>0</v>
      </c>
      <c r="CA11" s="204">
        <v>0.45098379629629631</v>
      </c>
    </row>
    <row r="12" spans="1:125" x14ac:dyDescent="0.2">
      <c r="J12" s="142"/>
    </row>
  </sheetData>
  <sheetProtection sheet="1" objects="1" scenarios="1"/>
  <sortState ref="A9:XFD11">
    <sortCondition descending="1" ref="AU9"/>
    <sortCondition descending="1" ref="AH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8.7109375" style="115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114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117" t="s">
        <v>196</v>
      </c>
      <c r="H2" s="116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2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  <row r="13" spans="1:60" ht="15" x14ac:dyDescent="0.2">
      <c r="B13" s="108"/>
      <c r="N13" s="110"/>
      <c r="O13" s="110"/>
      <c r="P13" s="110"/>
      <c r="Q13" s="110"/>
      <c r="R13" s="111"/>
      <c r="S13" s="111"/>
      <c r="T13" s="111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03" t="s">
        <v>108</v>
      </c>
      <c r="F1" s="304"/>
      <c r="G1" s="303" t="s">
        <v>109</v>
      </c>
      <c r="H1" s="304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01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01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01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01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01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01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01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01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01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01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01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01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01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01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01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01"/>
      <c r="E18" s="302" t="s">
        <v>105</v>
      </c>
      <c r="F18" s="302"/>
      <c r="G18" s="302"/>
      <c r="H18" s="302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01"/>
      <c r="E19" s="302"/>
      <c r="F19" s="302"/>
      <c r="G19" s="302"/>
      <c r="H19" s="302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01"/>
      <c r="E20" s="302"/>
      <c r="F20" s="302"/>
      <c r="G20" s="302"/>
      <c r="H20" s="302"/>
    </row>
    <row r="21" spans="1:24" x14ac:dyDescent="0.2">
      <c r="A21" s="27">
        <v>48</v>
      </c>
      <c r="B21" s="27">
        <v>1.097</v>
      </c>
      <c r="C21" s="301"/>
    </row>
    <row r="22" spans="1:24" x14ac:dyDescent="0.2">
      <c r="A22" s="27">
        <v>49</v>
      </c>
      <c r="B22" s="27">
        <v>1.113</v>
      </c>
      <c r="C22" s="301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12">
        <f ca="1">TODAY()</f>
        <v>43034</v>
      </c>
      <c r="B1" s="312"/>
      <c r="C1" s="310" t="str">
        <f>Setup!B3</f>
        <v>GBG Cup</v>
      </c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0"/>
      <c r="Z1" s="310"/>
      <c r="AA1" s="310"/>
      <c r="AB1" s="310"/>
      <c r="AC1" s="310"/>
      <c r="AD1" s="310"/>
      <c r="AG1" s="29">
        <f ca="1">COUNTA(A:A)+8</f>
        <v>13</v>
      </c>
    </row>
    <row r="2" spans="1:33" s="29" customFormat="1" ht="12.75" customHeight="1" x14ac:dyDescent="0.2">
      <c r="A2" s="313"/>
      <c r="B2" s="313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</row>
    <row r="3" spans="1:33" s="211" customFormat="1" ht="25.5" x14ac:dyDescent="0.2">
      <c r="A3" s="213" t="s">
        <v>60</v>
      </c>
      <c r="B3" s="214" t="s">
        <v>0</v>
      </c>
      <c r="C3" s="215" t="s">
        <v>41</v>
      </c>
      <c r="D3" s="216" t="s">
        <v>2</v>
      </c>
      <c r="E3" s="216" t="str">
        <f>Lifting!$E$7</f>
        <v>Bwt (kg)</v>
      </c>
      <c r="F3" s="216" t="str">
        <f>IF(E3="Bwt (lb)","WtCls (lb)","WtCls (kg)")</f>
        <v>WtCls (kg)</v>
      </c>
      <c r="G3" s="216" t="s">
        <v>1</v>
      </c>
      <c r="H3" s="216" t="s">
        <v>5</v>
      </c>
      <c r="I3" s="216" t="s">
        <v>195</v>
      </c>
      <c r="J3" s="216" t="s">
        <v>4</v>
      </c>
      <c r="K3" s="216" t="s">
        <v>8</v>
      </c>
      <c r="L3" s="216" t="s">
        <v>9</v>
      </c>
      <c r="M3" s="216" t="s">
        <v>10</v>
      </c>
      <c r="N3" s="216" t="s">
        <v>11</v>
      </c>
      <c r="O3" s="216" t="s">
        <v>12</v>
      </c>
      <c r="P3" s="216" t="s">
        <v>13</v>
      </c>
      <c r="Q3" s="216" t="s">
        <v>14</v>
      </c>
      <c r="R3" s="216" t="s">
        <v>15</v>
      </c>
      <c r="S3" s="216" t="s">
        <v>16</v>
      </c>
      <c r="T3" s="216" t="s">
        <v>21</v>
      </c>
      <c r="U3" s="216" t="s">
        <v>17</v>
      </c>
      <c r="V3" s="216" t="s">
        <v>18</v>
      </c>
      <c r="W3" s="216" t="s">
        <v>19</v>
      </c>
      <c r="X3" s="216" t="s">
        <v>20</v>
      </c>
      <c r="Y3" s="216" t="s">
        <v>22</v>
      </c>
      <c r="Z3" s="217" t="s">
        <v>129</v>
      </c>
      <c r="AA3" s="217" t="s">
        <v>194</v>
      </c>
      <c r="AB3" s="217" t="s">
        <v>193</v>
      </c>
      <c r="AC3" s="216" t="s">
        <v>26</v>
      </c>
      <c r="AD3" s="216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8">
        <v>0</v>
      </c>
      <c r="AB4" s="38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200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197</v>
      </c>
    </row>
  </sheetData>
  <mergeCells count="2">
    <mergeCell ref="C1:AD2"/>
    <mergeCell ref="A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32">
    <cfRule type="expression" dxfId="18" priority="67" stopIfTrue="1">
      <formula>AND(AC4=1)</formula>
    </cfRule>
  </conditionalFormatting>
  <conditionalFormatting sqref="AA4:AA64632">
    <cfRule type="expression" dxfId="17" priority="68" stopIfTrue="1">
      <formula>AND($AC4=2)</formula>
    </cfRule>
  </conditionalFormatting>
  <conditionalFormatting sqref="AB4:AB64632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.85546875" style="2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12">
        <f ca="1">TODAY()</f>
        <v>43034</v>
      </c>
      <c r="B1" s="312"/>
      <c r="C1" s="310" t="str">
        <f>Setup!B3</f>
        <v>GBG Cup</v>
      </c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G1" s="29">
        <f ca="1">COUNTA(A:A)+4</f>
        <v>9</v>
      </c>
    </row>
    <row r="2" spans="1:77" s="29" customFormat="1" ht="12.75" customHeight="1" x14ac:dyDescent="0.2">
      <c r="A2" s="313"/>
      <c r="B2" s="313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  <c r="AE2" s="311"/>
    </row>
    <row r="3" spans="1:77" s="28" customFormat="1" ht="38.25" x14ac:dyDescent="0.2">
      <c r="A3" s="314" t="s">
        <v>60</v>
      </c>
      <c r="B3" s="315" t="s">
        <v>0</v>
      </c>
      <c r="C3" s="316" t="s">
        <v>41</v>
      </c>
      <c r="D3" s="317" t="s">
        <v>2</v>
      </c>
      <c r="E3" s="317" t="str">
        <f>'Weigh-In'!E2</f>
        <v>Bwt (kg)</v>
      </c>
      <c r="F3" s="317" t="str">
        <f>Lifting!F7</f>
        <v>WtCls (kg)</v>
      </c>
      <c r="G3" s="317" t="s">
        <v>1</v>
      </c>
      <c r="H3" s="317" t="s">
        <v>5</v>
      </c>
      <c r="I3" s="317" t="s">
        <v>195</v>
      </c>
      <c r="J3" s="317" t="s">
        <v>4</v>
      </c>
      <c r="K3" s="317" t="s">
        <v>8</v>
      </c>
      <c r="L3" s="317" t="s">
        <v>9</v>
      </c>
      <c r="M3" s="317" t="s">
        <v>10</v>
      </c>
      <c r="N3" s="317" t="s">
        <v>11</v>
      </c>
      <c r="O3" s="317" t="s">
        <v>12</v>
      </c>
      <c r="P3" s="317" t="s">
        <v>13</v>
      </c>
      <c r="Q3" s="317" t="s">
        <v>14</v>
      </c>
      <c r="R3" s="317" t="s">
        <v>15</v>
      </c>
      <c r="S3" s="317" t="s">
        <v>16</v>
      </c>
      <c r="T3" s="317" t="s">
        <v>21</v>
      </c>
      <c r="U3" s="317" t="s">
        <v>17</v>
      </c>
      <c r="V3" s="317" t="s">
        <v>18</v>
      </c>
      <c r="W3" s="317" t="s">
        <v>19</v>
      </c>
      <c r="X3" s="317" t="s">
        <v>20</v>
      </c>
      <c r="Y3" s="317" t="s">
        <v>22</v>
      </c>
      <c r="Z3" s="318" t="str">
        <f>Lifting!Z7</f>
        <v>PL Total</v>
      </c>
      <c r="AA3" s="318" t="s">
        <v>194</v>
      </c>
      <c r="AB3" s="318" t="s">
        <v>193</v>
      </c>
      <c r="AC3" s="317" t="s">
        <v>26</v>
      </c>
      <c r="AD3" s="319" t="s">
        <v>136</v>
      </c>
      <c r="AE3" s="31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212" t="s">
        <v>23</v>
      </c>
      <c r="B4" s="320" t="s">
        <v>201</v>
      </c>
      <c r="C4" s="36" t="s">
        <v>188</v>
      </c>
      <c r="D4" s="212" t="s">
        <v>161</v>
      </c>
      <c r="E4" s="212">
        <v>62</v>
      </c>
      <c r="F4" s="212">
        <v>63</v>
      </c>
      <c r="G4" s="212">
        <v>44</v>
      </c>
      <c r="H4" s="212">
        <v>1.0871000289916992</v>
      </c>
      <c r="I4" s="212">
        <v>990130</v>
      </c>
      <c r="J4" s="212">
        <v>1.06</v>
      </c>
      <c r="K4" s="212">
        <v>13</v>
      </c>
      <c r="L4" s="212">
        <v>115</v>
      </c>
      <c r="M4" s="212">
        <v>120</v>
      </c>
      <c r="N4" s="212"/>
      <c r="O4" s="212">
        <v>115</v>
      </c>
      <c r="P4" s="1" t="s">
        <v>203</v>
      </c>
      <c r="Q4" s="212">
        <v>65</v>
      </c>
      <c r="R4" s="212"/>
      <c r="S4" s="212"/>
      <c r="T4" s="212">
        <v>0</v>
      </c>
      <c r="U4" s="212">
        <v>0</v>
      </c>
      <c r="V4" s="212">
        <v>145</v>
      </c>
      <c r="W4" s="212"/>
      <c r="X4" s="212"/>
      <c r="Y4" s="212">
        <v>0</v>
      </c>
      <c r="Z4" s="212">
        <v>0</v>
      </c>
      <c r="AA4" s="38">
        <v>0</v>
      </c>
      <c r="AB4" s="38">
        <v>0</v>
      </c>
      <c r="AC4" s="212">
        <v>1</v>
      </c>
      <c r="AD4" s="36" t="s">
        <v>197</v>
      </c>
      <c r="AE4" s="36" t="s">
        <v>110</v>
      </c>
    </row>
    <row r="5" spans="1:77" ht="20.25" customHeight="1" x14ac:dyDescent="0.2">
      <c r="A5" s="212" t="s">
        <v>23</v>
      </c>
      <c r="B5" s="37" t="s">
        <v>200</v>
      </c>
      <c r="C5" s="36" t="s">
        <v>188</v>
      </c>
      <c r="D5" s="212" t="s">
        <v>48</v>
      </c>
      <c r="E5" s="212">
        <v>92</v>
      </c>
      <c r="F5" s="212">
        <v>93</v>
      </c>
      <c r="G5" s="212">
        <v>32</v>
      </c>
      <c r="H5" s="212">
        <v>0.6315000057220459</v>
      </c>
      <c r="I5" s="212">
        <v>940605</v>
      </c>
      <c r="J5" s="212">
        <v>1</v>
      </c>
      <c r="K5" s="212">
        <v>13</v>
      </c>
      <c r="L5" s="212">
        <v>145</v>
      </c>
      <c r="M5" s="212">
        <v>150</v>
      </c>
      <c r="N5" s="212"/>
      <c r="O5" s="212">
        <v>145</v>
      </c>
      <c r="P5" s="1" t="s">
        <v>202</v>
      </c>
      <c r="Q5" s="212">
        <v>145</v>
      </c>
      <c r="R5" s="212"/>
      <c r="S5" s="212"/>
      <c r="T5" s="212">
        <v>0</v>
      </c>
      <c r="U5" s="212">
        <v>0</v>
      </c>
      <c r="V5" s="212">
        <v>230</v>
      </c>
      <c r="W5" s="212"/>
      <c r="X5" s="212"/>
      <c r="Y5" s="212">
        <v>0</v>
      </c>
      <c r="Z5" s="212">
        <v>0</v>
      </c>
      <c r="AA5" s="38">
        <v>0</v>
      </c>
      <c r="AB5" s="38">
        <v>0</v>
      </c>
      <c r="AC5" s="212">
        <v>1</v>
      </c>
      <c r="AD5" s="36" t="s">
        <v>197</v>
      </c>
      <c r="AE5" s="36" t="s">
        <v>110</v>
      </c>
    </row>
    <row r="6" spans="1:77" ht="20.25" customHeight="1" x14ac:dyDescent="0.2">
      <c r="A6" s="212" t="s">
        <v>23</v>
      </c>
      <c r="B6" s="37" t="s">
        <v>199</v>
      </c>
      <c r="C6" s="36" t="s">
        <v>188</v>
      </c>
      <c r="D6" s="212" t="s">
        <v>48</v>
      </c>
      <c r="E6" s="212">
        <v>77</v>
      </c>
      <c r="F6" s="212">
        <v>83</v>
      </c>
      <c r="G6" s="212">
        <v>15</v>
      </c>
      <c r="H6" s="212">
        <v>0.69989997148513794</v>
      </c>
      <c r="I6" s="212">
        <v>910429</v>
      </c>
      <c r="J6" s="212">
        <v>1</v>
      </c>
      <c r="K6" s="212" t="s">
        <v>191</v>
      </c>
      <c r="L6" s="212">
        <v>-190</v>
      </c>
      <c r="M6" s="212">
        <v>190</v>
      </c>
      <c r="N6" s="212"/>
      <c r="O6" s="212">
        <v>0</v>
      </c>
      <c r="P6" s="1" t="s">
        <v>192</v>
      </c>
      <c r="Q6" s="212">
        <v>135</v>
      </c>
      <c r="R6" s="212"/>
      <c r="S6" s="212"/>
      <c r="T6" s="212">
        <v>0</v>
      </c>
      <c r="U6" s="212">
        <v>0</v>
      </c>
      <c r="V6" s="212">
        <v>200</v>
      </c>
      <c r="W6" s="212"/>
      <c r="X6" s="212"/>
      <c r="Y6" s="212">
        <v>0</v>
      </c>
      <c r="Z6" s="212">
        <v>0</v>
      </c>
      <c r="AA6" s="38">
        <v>0</v>
      </c>
      <c r="AB6" s="38">
        <v>0</v>
      </c>
      <c r="AC6" s="212">
        <v>1</v>
      </c>
      <c r="AD6" s="36" t="s">
        <v>197</v>
      </c>
      <c r="AE6" s="36" t="s">
        <v>110</v>
      </c>
    </row>
    <row r="7" spans="1:77" ht="20.25" customHeight="1" x14ac:dyDescent="0.2">
      <c r="A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Q7" s="212"/>
      <c r="R7" s="212"/>
      <c r="S7" s="212"/>
      <c r="T7" s="212"/>
      <c r="U7" s="212"/>
      <c r="V7" s="212"/>
      <c r="W7" s="212"/>
      <c r="X7" s="212"/>
      <c r="Y7" s="212"/>
      <c r="Z7" s="212"/>
      <c r="AC7" s="212"/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83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83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83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83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83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83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83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83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83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83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83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83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83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83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83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83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83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83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83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83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83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83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83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83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83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83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83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83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83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83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83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83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83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83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83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83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83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83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83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83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83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83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83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83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83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83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83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83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83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83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83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83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83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83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83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83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83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83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83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83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83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83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83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83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83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83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83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83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83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83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83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83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83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83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83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83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83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83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83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83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83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83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83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83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83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83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83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83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83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83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83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83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83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83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83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83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83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83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83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83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83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83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83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83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83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83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83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83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83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83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83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83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83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83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83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83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83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83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83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83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83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83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83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83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83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83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83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83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83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83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83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83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83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83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83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83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83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83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83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83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83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83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83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83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83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83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83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83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83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83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83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83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83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83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83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83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83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83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83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83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83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83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83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83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83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83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83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83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83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83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83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83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83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83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83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83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83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83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83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83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83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83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83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83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83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83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83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83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83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83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83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83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83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83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83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83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83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83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83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83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83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83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83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83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83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83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83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83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83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83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83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83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83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83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83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83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83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83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83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83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83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83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83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83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83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83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83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83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83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83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83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83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83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83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83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83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83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83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83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83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83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83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83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83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83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83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83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83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83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83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83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83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83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83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83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83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83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83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83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83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83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83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83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83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83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83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83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83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83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83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83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83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83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83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83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83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83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83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83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83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83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83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83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83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83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83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83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83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83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83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83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83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83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83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83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83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83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83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83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83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83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83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83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83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83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83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83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83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83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83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83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83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83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83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83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83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83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83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83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83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83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83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83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83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83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83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83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83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83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83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83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83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83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83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83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83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83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83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83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83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83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83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83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83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83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83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83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83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83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83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83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83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83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83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83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83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83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83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83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83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83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83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83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83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83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83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83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83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83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83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83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83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83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83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83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83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83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83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83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83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83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83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83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83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83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83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83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83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83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83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83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83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83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83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83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83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83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83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83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83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83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83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83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83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83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83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83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83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83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83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83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83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83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83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83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83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83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83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83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83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83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83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83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83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83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83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83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83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83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83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83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83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83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83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83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83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83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83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83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83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83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83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83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83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83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83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83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83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83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83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83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83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83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83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83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83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83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83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83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83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83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83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83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83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83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83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83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83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83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83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83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83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83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83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83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83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83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83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83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83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83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83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83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83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83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83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83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83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83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83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83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83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83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83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83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83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83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83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83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83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83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83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83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83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83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83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83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83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83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83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83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83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83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83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83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83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83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83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83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83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83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83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83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83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83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83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83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83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83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83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83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83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83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83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83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83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83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83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83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83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83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83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83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83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83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83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83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83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83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83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83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83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83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83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83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83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83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83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83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83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83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83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83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83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83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83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83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83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83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83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83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83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83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83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83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83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83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83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83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83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83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83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83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83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83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83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83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83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83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83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83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83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83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83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83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83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83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83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83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83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83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83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83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83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83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83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83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83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83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83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83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83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83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83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83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83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83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83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83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83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83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83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83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83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83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83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83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83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83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83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83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83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83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83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83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83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83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83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83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83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83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83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83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83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83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83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83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83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83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83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83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83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83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83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83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83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83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83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83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83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83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83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83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83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83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83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83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83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83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83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83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83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83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83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83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83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83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83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83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83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83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83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83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83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83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83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83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83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83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83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83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83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83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83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83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83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83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83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83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83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83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83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83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83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83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83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83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83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83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83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83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83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83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83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83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83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83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83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83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83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83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83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83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83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83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83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83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83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83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83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83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83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83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83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83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83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83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83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83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83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83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83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83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83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83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83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83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83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83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83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83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83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83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83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83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83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83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83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83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83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83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83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83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83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83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83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83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83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83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83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83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83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83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83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83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83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83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83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83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83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83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83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83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83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83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83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83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83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83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83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83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83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83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83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83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83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83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83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83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83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83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83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83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83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83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83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83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83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83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83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83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83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83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83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83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83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83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83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83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83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83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83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83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83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83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83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83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83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83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83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83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83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83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83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83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83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83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83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83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83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83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83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83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83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83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83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83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83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83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83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83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83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83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83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83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83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83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83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83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83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83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83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83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83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83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83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83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83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83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83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83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83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83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83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83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83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83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83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83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83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83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83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83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83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83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83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83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83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83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83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83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83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83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83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83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83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83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83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83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83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83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83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83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83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83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83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83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83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83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83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83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83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83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83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83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83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83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83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83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83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83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83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83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83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83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  <row r="933" spans="1:31" ht="20.25" customHeight="1" x14ac:dyDescent="0.2">
      <c r="A933" s="83"/>
      <c r="B933" s="84"/>
      <c r="C933" s="85"/>
      <c r="D933" s="83"/>
      <c r="E933" s="83"/>
      <c r="F933" s="83"/>
      <c r="G933" s="83"/>
      <c r="H933" s="83"/>
      <c r="I933" s="83"/>
      <c r="J933" s="83"/>
      <c r="K933" s="83"/>
      <c r="L933" s="87"/>
      <c r="M933" s="87"/>
      <c r="N933" s="87"/>
      <c r="O933" s="83"/>
      <c r="P933" s="86"/>
      <c r="Q933" s="87"/>
      <c r="R933" s="87"/>
      <c r="S933" s="87"/>
      <c r="T933" s="83"/>
      <c r="U933" s="83"/>
      <c r="V933" s="87"/>
      <c r="W933" s="87"/>
      <c r="X933" s="87"/>
      <c r="Y933" s="83"/>
      <c r="Z933" s="83"/>
      <c r="AA933" s="88"/>
      <c r="AB933" s="88"/>
      <c r="AC933" s="83"/>
      <c r="AD933" s="85"/>
      <c r="AE933" s="85"/>
    </row>
    <row r="934" spans="1:31" ht="20.25" customHeight="1" x14ac:dyDescent="0.2">
      <c r="A934" s="83"/>
      <c r="B934" s="84"/>
      <c r="C934" s="85"/>
      <c r="D934" s="83"/>
      <c r="E934" s="83"/>
      <c r="F934" s="83"/>
      <c r="G934" s="83"/>
      <c r="H934" s="83"/>
      <c r="I934" s="83"/>
      <c r="J934" s="83"/>
      <c r="K934" s="83"/>
      <c r="L934" s="87"/>
      <c r="M934" s="87"/>
      <c r="N934" s="87"/>
      <c r="O934" s="83"/>
      <c r="P934" s="86"/>
      <c r="Q934" s="87"/>
      <c r="R934" s="87"/>
      <c r="S934" s="87"/>
      <c r="T934" s="83"/>
      <c r="U934" s="83"/>
      <c r="V934" s="87"/>
      <c r="W934" s="87"/>
      <c r="X934" s="87"/>
      <c r="Y934" s="83"/>
      <c r="Z934" s="83"/>
      <c r="AA934" s="88"/>
      <c r="AB934" s="88"/>
      <c r="AC934" s="83"/>
      <c r="AD934" s="85"/>
      <c r="AE934" s="85"/>
    </row>
    <row r="935" spans="1:31" ht="20.25" customHeight="1" x14ac:dyDescent="0.2">
      <c r="A935" s="83"/>
      <c r="B935" s="84"/>
      <c r="C935" s="85"/>
      <c r="D935" s="83"/>
      <c r="E935" s="83"/>
      <c r="F935" s="83"/>
      <c r="G935" s="83"/>
      <c r="H935" s="83"/>
      <c r="I935" s="83"/>
      <c r="J935" s="83"/>
      <c r="K935" s="83"/>
      <c r="L935" s="87"/>
      <c r="M935" s="87"/>
      <c r="N935" s="87"/>
      <c r="O935" s="83"/>
      <c r="P935" s="86"/>
      <c r="Q935" s="87"/>
      <c r="R935" s="87"/>
      <c r="S935" s="87"/>
      <c r="T935" s="83"/>
      <c r="U935" s="83"/>
      <c r="V935" s="87"/>
      <c r="W935" s="87"/>
      <c r="X935" s="87"/>
      <c r="Y935" s="83"/>
      <c r="Z935" s="83"/>
      <c r="AA935" s="88"/>
      <c r="AB935" s="88"/>
      <c r="AC935" s="83"/>
      <c r="AD935" s="85"/>
      <c r="AE935" s="85"/>
    </row>
    <row r="936" spans="1:31" ht="20.25" customHeight="1" x14ac:dyDescent="0.2">
      <c r="A936" s="83"/>
      <c r="B936" s="84"/>
      <c r="C936" s="85"/>
      <c r="D936" s="83"/>
      <c r="E936" s="83"/>
      <c r="F936" s="83"/>
      <c r="G936" s="83"/>
      <c r="H936" s="83"/>
      <c r="I936" s="83"/>
      <c r="J936" s="83"/>
      <c r="K936" s="83"/>
      <c r="L936" s="87"/>
      <c r="M936" s="87"/>
      <c r="N936" s="87"/>
      <c r="O936" s="83"/>
      <c r="P936" s="86"/>
      <c r="Q936" s="87"/>
      <c r="R936" s="87"/>
      <c r="S936" s="87"/>
      <c r="T936" s="83"/>
      <c r="U936" s="83"/>
      <c r="V936" s="87"/>
      <c r="W936" s="87"/>
      <c r="X936" s="87"/>
      <c r="Y936" s="83"/>
      <c r="Z936" s="83"/>
      <c r="AA936" s="88"/>
      <c r="AB936" s="88"/>
      <c r="AC936" s="83"/>
      <c r="AD936" s="85"/>
      <c r="AE936" s="85"/>
    </row>
    <row r="937" spans="1:31" ht="20.25" customHeight="1" x14ac:dyDescent="0.2">
      <c r="A937" s="83"/>
      <c r="B937" s="84"/>
      <c r="C937" s="85"/>
      <c r="D937" s="83"/>
      <c r="E937" s="83"/>
      <c r="F937" s="83"/>
      <c r="G937" s="83"/>
      <c r="H937" s="83"/>
      <c r="I937" s="83"/>
      <c r="J937" s="83"/>
      <c r="K937" s="83"/>
      <c r="L937" s="87"/>
      <c r="M937" s="87"/>
      <c r="N937" s="87"/>
      <c r="O937" s="83"/>
      <c r="P937" s="86"/>
      <c r="Q937" s="87"/>
      <c r="R937" s="87"/>
      <c r="S937" s="87"/>
      <c r="T937" s="83"/>
      <c r="U937" s="83"/>
      <c r="V937" s="87"/>
      <c r="W937" s="87"/>
      <c r="X937" s="87"/>
      <c r="Y937" s="83"/>
      <c r="Z937" s="83"/>
      <c r="AA937" s="88"/>
      <c r="AB937" s="88"/>
      <c r="AC937" s="83"/>
      <c r="AD937" s="85"/>
      <c r="AE937" s="85"/>
    </row>
    <row r="938" spans="1:31" ht="20.25" customHeight="1" x14ac:dyDescent="0.2">
      <c r="A938" s="83"/>
      <c r="B938" s="84"/>
      <c r="C938" s="85"/>
      <c r="D938" s="83"/>
      <c r="E938" s="83"/>
      <c r="F938" s="83"/>
      <c r="G938" s="83"/>
      <c r="H938" s="83"/>
      <c r="I938" s="83"/>
      <c r="J938" s="83"/>
      <c r="K938" s="83"/>
      <c r="L938" s="87"/>
      <c r="M938" s="87"/>
      <c r="N938" s="87"/>
      <c r="O938" s="83"/>
      <c r="P938" s="86"/>
      <c r="Q938" s="87"/>
      <c r="R938" s="87"/>
      <c r="S938" s="87"/>
      <c r="T938" s="83"/>
      <c r="U938" s="83"/>
      <c r="V938" s="87"/>
      <c r="W938" s="87"/>
      <c r="X938" s="87"/>
      <c r="Y938" s="83"/>
      <c r="Z938" s="83"/>
      <c r="AA938" s="88"/>
      <c r="AB938" s="88"/>
      <c r="AC938" s="83"/>
      <c r="AD938" s="85"/>
      <c r="AE938" s="85"/>
    </row>
  </sheetData>
  <mergeCells count="2">
    <mergeCell ref="C1:AE2"/>
    <mergeCell ref="A1:B2"/>
  </mergeCells>
  <phoneticPr fontId="13" type="noConversion"/>
  <conditionalFormatting sqref="A939:AE65493 C3:AE3 AI1:IV3 AF4:AF65493 AG4:IV1048576 T4:U938 O4:P938 Y4:AE938 C4:K938 A3:B938 C1 A1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5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05" t="s">
        <v>182</v>
      </c>
      <c r="B3" s="306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06"/>
      <c r="B4" s="306"/>
      <c r="C4" s="307" t="s">
        <v>141</v>
      </c>
      <c r="D4" s="307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06"/>
      <c r="B5" s="306"/>
      <c r="C5" s="308" t="s">
        <v>174</v>
      </c>
      <c r="D5" s="308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06"/>
      <c r="B6" s="306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06"/>
      <c r="B7" s="306"/>
      <c r="C7" s="309" t="str">
        <f>CONCATENATE("WtCls ",RIGHT('Weigh-In'!E2,4))</f>
        <v>WtCls (kg)</v>
      </c>
      <c r="D7" s="309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06"/>
      <c r="B8" s="306"/>
      <c r="C8" s="308">
        <v>83</v>
      </c>
      <c r="D8" s="308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06"/>
      <c r="B9" s="306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06"/>
      <c r="B10" s="306"/>
      <c r="C10" s="307" t="s">
        <v>122</v>
      </c>
      <c r="D10" s="307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06"/>
      <c r="B11" s="306"/>
      <c r="C11" s="308" t="s">
        <v>129</v>
      </c>
      <c r="D11" s="308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2017-10-26T18:48:09Z</cp:lastPrinted>
  <dcterms:created xsi:type="dcterms:W3CDTF">2007-05-21T13:10:26Z</dcterms:created>
  <dcterms:modified xsi:type="dcterms:W3CDTF">2017-10-26T18:49:28Z</dcterms:modified>
</cp:coreProperties>
</file>