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AC47" i="1"/>
  <c r="BB43" i="1"/>
  <c r="AC43" i="1"/>
  <c r="BB41" i="1"/>
  <c r="AC41" i="1"/>
  <c r="U33" i="1" l="1"/>
  <c r="U30" i="1"/>
  <c r="U37" i="1"/>
  <c r="U38" i="1"/>
  <c r="BB47" i="1"/>
  <c r="BB22" i="1"/>
  <c r="BB18" i="1"/>
  <c r="AC32" i="1"/>
  <c r="AC29" i="1"/>
  <c r="BB34" i="1"/>
  <c r="AC38" i="1"/>
  <c r="AC36" i="1"/>
  <c r="AC39" i="1"/>
  <c r="BB30" i="1"/>
  <c r="BB56" i="1"/>
  <c r="BB29" i="1"/>
  <c r="BB45" i="1"/>
  <c r="BB42" i="1"/>
  <c r="AC25" i="1"/>
  <c r="AC34" i="1"/>
  <c r="AC26" i="1"/>
  <c r="BB38" i="1"/>
  <c r="AC15" i="1"/>
  <c r="AC18" i="1"/>
  <c r="BB51" i="1"/>
  <c r="BB40" i="1"/>
  <c r="AC56" i="1"/>
  <c r="AC35" i="1"/>
  <c r="BB37" i="1"/>
  <c r="AC40" i="1"/>
  <c r="AC33" i="1"/>
  <c r="BB15" i="1"/>
  <c r="BB33" i="1"/>
  <c r="BB36" i="1"/>
  <c r="BB53" i="1"/>
  <c r="AC20" i="1"/>
  <c r="AC37" i="1"/>
  <c r="BB44" i="1"/>
  <c r="AC51" i="1"/>
  <c r="AC30" i="1"/>
  <c r="AC31" i="1"/>
  <c r="BB31" i="1"/>
  <c r="AC53" i="1"/>
  <c r="AC22" i="1"/>
  <c r="AC45" i="1"/>
  <c r="AC48" i="1"/>
  <c r="BB32" i="1"/>
  <c r="AC46" i="1"/>
  <c r="BB20" i="1"/>
  <c r="AC44" i="1"/>
  <c r="AC27" i="1"/>
  <c r="BB26" i="1"/>
  <c r="AC42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BB13" i="1"/>
  <c r="AC28" i="1"/>
  <c r="AC9" i="1"/>
  <c r="BB52" i="1"/>
  <c r="AC11" i="1"/>
  <c r="AC10" i="1"/>
  <c r="AC50" i="1"/>
  <c r="BB17" i="1"/>
  <c r="AC16" i="1"/>
  <c r="BB24" i="1"/>
  <c r="AC52" i="1"/>
  <c r="BB46" i="1"/>
  <c r="BB35" i="1"/>
  <c r="BB10" i="1"/>
  <c r="AC14" i="1"/>
  <c r="BB25" i="1"/>
  <c r="AC21" i="1"/>
  <c r="AC12" i="1"/>
  <c r="BB21" i="1"/>
  <c r="BB54" i="1"/>
  <c r="AC55" i="1"/>
  <c r="AC23" i="1"/>
  <c r="BB49" i="1"/>
  <c r="AC49" i="1"/>
  <c r="BB39" i="1"/>
  <c r="BB9" i="1"/>
  <c r="BB11" i="1"/>
  <c r="AC19" i="1"/>
  <c r="AC54" i="1"/>
  <c r="BB28" i="1"/>
  <c r="AC24" i="1"/>
  <c r="BB23" i="1"/>
  <c r="BB12" i="1"/>
  <c r="AC13" i="1"/>
  <c r="AC17" i="1"/>
  <c r="BB14" i="1"/>
  <c r="U26" i="1" l="1"/>
  <c r="U49" i="1"/>
  <c r="U23" i="1"/>
  <c r="U22" i="1"/>
  <c r="U52" i="1"/>
  <c r="U18" i="1"/>
  <c r="U54" i="1"/>
  <c r="U53" i="1"/>
  <c r="U55" i="1"/>
  <c r="U51" i="1"/>
  <c r="U19" i="1"/>
  <c r="U15" i="1"/>
  <c r="U12" i="1"/>
  <c r="U24" i="1"/>
  <c r="U25" i="1"/>
  <c r="U56" i="1"/>
  <c r="U50" i="1"/>
  <c r="U11" i="1"/>
  <c r="U16" i="1"/>
  <c r="J8" i="1"/>
  <c r="BB50" i="1"/>
  <c r="BB55" i="1"/>
  <c r="BB19" i="1"/>
  <c r="BB27" i="1"/>
  <c r="BB48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56" i="1"/>
  <c r="F55" i="1"/>
  <c r="F53" i="1"/>
  <c r="F24" i="1"/>
  <c r="F51" i="1"/>
  <c r="F54" i="1"/>
  <c r="F18" i="1"/>
  <c r="F12" i="1"/>
  <c r="F15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3" i="1"/>
  <c r="BZ51" i="1"/>
  <c r="AU22" i="1"/>
  <c r="BZ20" i="1"/>
  <c r="AU56" i="1"/>
  <c r="BZ53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37" i="1"/>
  <c r="H24" i="1"/>
  <c r="H27" i="1"/>
  <c r="H26" i="1"/>
  <c r="H39" i="1"/>
  <c r="H45" i="1"/>
  <c r="H25" i="1"/>
  <c r="H44" i="1"/>
  <c r="H12" i="1"/>
  <c r="H42" i="1"/>
  <c r="H23" i="1"/>
  <c r="H18" i="1"/>
  <c r="H30" i="1"/>
  <c r="H50" i="1"/>
  <c r="H31" i="1"/>
  <c r="H9" i="1"/>
  <c r="H10" i="1"/>
  <c r="H55" i="1"/>
  <c r="H17" i="1"/>
  <c r="H29" i="1"/>
  <c r="H22" i="1"/>
  <c r="H47" i="1"/>
  <c r="H11" i="1"/>
  <c r="H53" i="1"/>
  <c r="H35" i="1"/>
  <c r="H28" i="1"/>
  <c r="H15" i="1"/>
  <c r="H48" i="1"/>
  <c r="H21" i="1"/>
  <c r="H51" i="1"/>
  <c r="H54" i="1"/>
  <c r="H56" i="1"/>
  <c r="H49" i="1"/>
  <c r="H32" i="1"/>
  <c r="H19" i="1"/>
  <c r="H34" i="1"/>
  <c r="H41" i="1"/>
  <c r="H20" i="1"/>
  <c r="H52" i="1"/>
  <c r="H38" i="1"/>
  <c r="H40" i="1"/>
  <c r="H16" i="1"/>
  <c r="H13" i="1"/>
  <c r="H14" i="1"/>
  <c r="H33" i="1"/>
  <c r="H43" i="1"/>
  <c r="H46" i="1"/>
  <c r="H36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56" i="1"/>
  <c r="Z53" i="1"/>
  <c r="Z20" i="1"/>
  <c r="Z49" i="1"/>
  <c r="Z52" i="1"/>
  <c r="Z54" i="1"/>
  <c r="Z55" i="1"/>
  <c r="Z16" i="1"/>
  <c r="Z19" i="1"/>
  <c r="Z27" i="1"/>
  <c r="Z26" i="1"/>
  <c r="Z10" i="1"/>
  <c r="Z17" i="1"/>
  <c r="Z25" i="1"/>
  <c r="Z15" i="1"/>
  <c r="Z22" i="1"/>
  <c r="Z51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5" i="1"/>
  <c r="AA52" i="1"/>
  <c r="AA21" i="1"/>
  <c r="AA11" i="1"/>
  <c r="AA51" i="1"/>
  <c r="AA15" i="1"/>
  <c r="AA17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3" i="1"/>
  <c r="AA22" i="1"/>
  <c r="AA10" i="1"/>
  <c r="AA16" i="1"/>
  <c r="AA53" i="1"/>
  <c r="AA14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6" i="1"/>
  <c r="AB15" i="1"/>
  <c r="AB17" i="1"/>
  <c r="AB11" i="1"/>
  <c r="AB13" i="1"/>
  <c r="AB12" i="1"/>
  <c r="AB14" i="1"/>
  <c r="AB9" i="1"/>
  <c r="AB10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AP35" i="1"/>
  <c r="C41" i="10"/>
  <c r="AH14" i="1"/>
  <c r="AH53" i="1"/>
  <c r="E17" i="10"/>
  <c r="L35" i="10"/>
  <c r="M23" i="10"/>
  <c r="AP39" i="1"/>
  <c r="J15" i="10"/>
  <c r="M40" i="10"/>
  <c r="G16" i="10"/>
  <c r="B49" i="10"/>
  <c r="H14" i="10"/>
  <c r="D46" i="10"/>
  <c r="I28" i="10"/>
  <c r="H23" i="10"/>
  <c r="I20" i="10"/>
  <c r="AP17" i="1"/>
  <c r="D37" i="10"/>
  <c r="K17" i="10"/>
  <c r="F28" i="10"/>
  <c r="AN15" i="1"/>
  <c r="H11" i="10"/>
  <c r="I16" i="10"/>
  <c r="M25" i="10"/>
  <c r="L48" i="10"/>
  <c r="N25" i="10"/>
  <c r="D25" i="10"/>
  <c r="G32" i="10"/>
  <c r="AQ15" i="1"/>
  <c r="J32" i="10"/>
  <c r="D29" i="10"/>
  <c r="F40" i="10"/>
  <c r="M50" i="10"/>
  <c r="K30" i="10"/>
  <c r="O24" i="10"/>
  <c r="M24" i="10"/>
  <c r="C15" i="10"/>
  <c r="D15" i="10"/>
  <c r="H41" i="10"/>
  <c r="P27" i="10"/>
  <c r="H46" i="10"/>
  <c r="J12" i="10"/>
  <c r="AP49" i="1"/>
  <c r="B35" i="10"/>
  <c r="AP44" i="1"/>
  <c r="B38" i="10"/>
  <c r="P44" i="10"/>
  <c r="O48" i="10"/>
  <c r="B50" i="10"/>
  <c r="AN29" i="1"/>
  <c r="N28" i="10"/>
  <c r="E29" i="10"/>
  <c r="H43" i="10"/>
  <c r="B48" i="10"/>
  <c r="N48" i="10"/>
  <c r="O28" i="10"/>
  <c r="B40" i="10"/>
  <c r="AQ43" i="1"/>
  <c r="L21" i="10"/>
  <c r="P50" i="10"/>
  <c r="J23" i="10"/>
  <c r="I12" i="10"/>
  <c r="I37" i="10"/>
  <c r="H16" i="10"/>
  <c r="K42" i="10"/>
  <c r="I29" i="10"/>
  <c r="K43" i="10"/>
  <c r="P22" i="10"/>
  <c r="C32" i="10"/>
  <c r="F43" i="10"/>
  <c r="M28" i="10"/>
  <c r="B34" i="10"/>
  <c r="C14" i="10"/>
  <c r="O26" i="10"/>
  <c r="O46" i="10"/>
  <c r="C39" i="10"/>
  <c r="N34" i="10"/>
  <c r="J25" i="10"/>
  <c r="H37" i="10"/>
  <c r="D34" i="10"/>
  <c r="E26" i="10"/>
  <c r="O41" i="10"/>
  <c r="B29" i="10"/>
  <c r="D11" i="10"/>
  <c r="AP30" i="1"/>
  <c r="F49" i="10"/>
  <c r="C18" i="10"/>
  <c r="F44" i="10"/>
  <c r="G12" i="10"/>
  <c r="G11" i="10"/>
  <c r="L24" i="10"/>
  <c r="J13" i="10"/>
  <c r="N43" i="10"/>
  <c r="AN33" i="1"/>
  <c r="I44" i="10"/>
  <c r="AQ23" i="1"/>
  <c r="F26" i="10"/>
  <c r="AQ28" i="1"/>
  <c r="N37" i="10"/>
  <c r="AP29" i="1"/>
  <c r="C13" i="10"/>
  <c r="B47" i="10"/>
  <c r="B17" i="10"/>
  <c r="H45" i="10"/>
  <c r="P43" i="10"/>
  <c r="P33" i="10"/>
  <c r="I27" i="10"/>
  <c r="L25" i="10"/>
  <c r="K13" i="10"/>
  <c r="O35" i="10"/>
  <c r="H35" i="10"/>
  <c r="N23" i="10"/>
  <c r="AP25" i="1"/>
  <c r="F18" i="10"/>
  <c r="J26" i="10"/>
  <c r="C33" i="10"/>
  <c r="O12" i="10"/>
  <c r="E50" i="10"/>
  <c r="AN9" i="1"/>
  <c r="AQ22" i="1"/>
  <c r="H38" i="10"/>
  <c r="O45" i="10"/>
  <c r="L31" i="10"/>
  <c r="P36" i="10"/>
  <c r="AN38" i="1"/>
  <c r="B13" i="10"/>
  <c r="AP56" i="1"/>
  <c r="B18" i="10"/>
  <c r="AQ40" i="1"/>
  <c r="E13" i="10"/>
  <c r="K45" i="10"/>
  <c r="J39" i="10"/>
  <c r="E40" i="10"/>
  <c r="D44" i="10"/>
  <c r="E39" i="10"/>
  <c r="P15" i="10"/>
  <c r="J33" i="10"/>
  <c r="O43" i="10"/>
  <c r="J49" i="10"/>
  <c r="AH44" i="1"/>
  <c r="AN23" i="1"/>
  <c r="AQ11" i="1"/>
  <c r="AN47" i="1"/>
  <c r="B31" i="10"/>
  <c r="AH49" i="1"/>
  <c r="AV1" i="1"/>
  <c r="AP53" i="1"/>
  <c r="C50" i="10"/>
  <c r="B46" i="10"/>
  <c r="AP45" i="1"/>
  <c r="O29" i="10"/>
  <c r="P46" i="10"/>
  <c r="AQ10" i="1"/>
  <c r="P29" i="10"/>
  <c r="H34" i="10"/>
  <c r="H27" i="10"/>
  <c r="AQ36" i="1"/>
  <c r="P39" i="10"/>
  <c r="B12" i="10"/>
  <c r="AP41" i="1"/>
  <c r="I30" i="10"/>
  <c r="N27" i="10"/>
  <c r="J38" i="10"/>
  <c r="B14" i="10"/>
  <c r="L36" i="10"/>
  <c r="AN30" i="1"/>
  <c r="AP18" i="1"/>
  <c r="AQ37" i="1"/>
  <c r="AN16" i="1"/>
  <c r="G49" i="10"/>
  <c r="H21" i="10"/>
  <c r="AH50" i="1"/>
  <c r="AH9" i="1"/>
  <c r="E24" i="10"/>
  <c r="N17" i="10"/>
  <c r="M30" i="10"/>
  <c r="O27" i="10"/>
  <c r="AH48" i="1"/>
  <c r="F23" i="10"/>
  <c r="F47" i="10"/>
  <c r="AQ51" i="1"/>
  <c r="K34" i="10"/>
  <c r="D13" i="10"/>
  <c r="G26" i="10"/>
  <c r="AN21" i="1"/>
  <c r="P13" i="10"/>
  <c r="AP10" i="1"/>
  <c r="F21" i="10"/>
  <c r="C36" i="10"/>
  <c r="K32" i="10"/>
  <c r="G19" i="10"/>
  <c r="K19" i="10"/>
  <c r="N12" i="10"/>
  <c r="K41" i="10"/>
  <c r="C49" i="10"/>
  <c r="K31" i="10"/>
  <c r="H30" i="10"/>
  <c r="O31" i="10"/>
  <c r="C46" i="10"/>
  <c r="AN20" i="1"/>
  <c r="B37" i="10"/>
  <c r="O30" i="10"/>
  <c r="O47" i="10"/>
  <c r="AN12" i="1"/>
  <c r="E11" i="10"/>
  <c r="P48" i="10"/>
  <c r="L18" i="10"/>
  <c r="L42" i="10"/>
  <c r="G45" i="10"/>
  <c r="J21" i="10"/>
  <c r="M44" i="10"/>
  <c r="D45" i="10"/>
  <c r="AH41" i="1"/>
  <c r="N40" i="10"/>
  <c r="I35" i="10"/>
  <c r="K11" i="10"/>
  <c r="C16" i="10"/>
  <c r="B27" i="10"/>
  <c r="N31" i="10"/>
  <c r="AQ16" i="1"/>
  <c r="K14" i="10"/>
  <c r="AP38" i="1"/>
  <c r="M20" i="10"/>
  <c r="P45" i="10"/>
  <c r="K38" i="10"/>
  <c r="F25" i="10"/>
  <c r="F35" i="10"/>
  <c r="L19" i="10"/>
  <c r="AQ54" i="1"/>
  <c r="AP43" i="1"/>
  <c r="L13" i="10"/>
  <c r="AP40" i="1"/>
  <c r="N18" i="10"/>
  <c r="F46" i="10"/>
  <c r="N21" i="10"/>
  <c r="H26" i="10"/>
  <c r="P19" i="10"/>
  <c r="N13" i="10"/>
  <c r="C38" i="10"/>
  <c r="I25" i="10"/>
  <c r="B43" i="10"/>
  <c r="J35" i="10"/>
  <c r="G25" i="10"/>
  <c r="M36" i="10"/>
  <c r="AQ18" i="1"/>
  <c r="I31" i="10"/>
  <c r="D48" i="10"/>
  <c r="H36" i="10"/>
  <c r="I40" i="10"/>
  <c r="AN19" i="1"/>
  <c r="K50" i="10"/>
  <c r="B26" i="10"/>
  <c r="N36" i="10"/>
  <c r="M27" i="10"/>
  <c r="G15" i="10"/>
  <c r="F22" i="10"/>
  <c r="G13" i="10"/>
  <c r="J46" i="10"/>
  <c r="AQ17" i="1"/>
  <c r="AP8" i="1"/>
  <c r="O42" i="10"/>
  <c r="AQ48" i="1"/>
  <c r="AC8" i="1"/>
  <c r="M45" i="10"/>
  <c r="E44" i="10"/>
  <c r="G47" i="10"/>
  <c r="E14" i="10"/>
  <c r="F29" i="10"/>
  <c r="K25" i="10"/>
  <c r="AQ8" i="1"/>
  <c r="N41" i="10"/>
  <c r="P32" i="10"/>
  <c r="H12" i="10"/>
  <c r="AH16" i="1"/>
  <c r="D27" i="10"/>
  <c r="AN42" i="1"/>
  <c r="G17" i="10"/>
  <c r="AQ46" i="1"/>
  <c r="G21" i="10"/>
  <c r="J42" i="10"/>
  <c r="AP9" i="1"/>
  <c r="N39" i="10"/>
  <c r="E43" i="10"/>
  <c r="L11" i="10"/>
  <c r="M48" i="10"/>
  <c r="H47" i="10"/>
  <c r="E37" i="10"/>
  <c r="B24" i="10"/>
  <c r="F30" i="10"/>
  <c r="H40" i="10"/>
  <c r="C24" i="10"/>
  <c r="AQ42" i="1"/>
  <c r="L50" i="10"/>
  <c r="D24" i="10"/>
  <c r="P21" i="10"/>
  <c r="F31" i="10"/>
  <c r="P31" i="10"/>
  <c r="AQ21" i="1"/>
  <c r="AH25" i="1"/>
  <c r="H18" i="10"/>
  <c r="K48" i="10"/>
  <c r="N19" i="10"/>
  <c r="F50" i="10"/>
  <c r="L40" i="10"/>
  <c r="H15" i="10"/>
  <c r="AQ53" i="1"/>
  <c r="L17" i="10"/>
  <c r="G43" i="10"/>
  <c r="I45" i="10"/>
  <c r="J17" i="10"/>
  <c r="P17" i="10"/>
  <c r="K35" i="10"/>
  <c r="AP51" i="1"/>
  <c r="AH56" i="1"/>
  <c r="G46" i="10"/>
  <c r="E41" i="10"/>
  <c r="J18" i="10"/>
  <c r="P42" i="10"/>
  <c r="F14" i="10"/>
  <c r="AN50" i="1"/>
  <c r="M37" i="10"/>
  <c r="O19" i="10"/>
  <c r="D26" i="10"/>
  <c r="K44" i="10"/>
  <c r="I36" i="10"/>
  <c r="AN46" i="1"/>
  <c r="C23" i="10"/>
  <c r="M14" i="10"/>
  <c r="L12" i="10"/>
  <c r="H29" i="10"/>
  <c r="M12" i="10"/>
  <c r="AH46" i="1"/>
  <c r="L34" i="10"/>
  <c r="G39" i="10"/>
  <c r="AQ47" i="1"/>
  <c r="K39" i="10"/>
  <c r="G33" i="10"/>
  <c r="H42" i="10"/>
  <c r="L37" i="10"/>
  <c r="AN51" i="1"/>
  <c r="D23" i="10"/>
  <c r="AN45" i="1"/>
  <c r="N35" i="10"/>
  <c r="G20" i="10"/>
  <c r="AQ35" i="1"/>
  <c r="AP36" i="1"/>
  <c r="F36" i="10"/>
  <c r="AP24" i="1"/>
  <c r="M16" i="10"/>
  <c r="AQ49" i="1"/>
  <c r="AH29" i="1"/>
  <c r="J11" i="10"/>
  <c r="I49" i="10"/>
  <c r="H49" i="10"/>
  <c r="E22" i="10"/>
  <c r="AH11" i="1"/>
  <c r="I41" i="10"/>
  <c r="AP46" i="1"/>
  <c r="O22" i="10"/>
  <c r="D12" i="10"/>
  <c r="AN54" i="1"/>
  <c r="C12" i="10"/>
  <c r="M49" i="10"/>
  <c r="AN27" i="1"/>
  <c r="J47" i="10"/>
  <c r="I39" i="10"/>
  <c r="AP26" i="1"/>
  <c r="AP12" i="1"/>
  <c r="G18" i="10"/>
  <c r="AQ38" i="1"/>
  <c r="H33" i="10"/>
  <c r="N29" i="10"/>
  <c r="E25" i="10"/>
  <c r="AN39" i="1"/>
  <c r="AQ50" i="1"/>
  <c r="AH15" i="1"/>
  <c r="P28" i="10"/>
  <c r="AN22" i="1"/>
  <c r="K22" i="10"/>
  <c r="C47" i="10"/>
  <c r="AP34" i="1"/>
  <c r="I13" i="10"/>
  <c r="O40" i="10"/>
  <c r="F33" i="10"/>
  <c r="J48" i="10"/>
  <c r="M31" i="10"/>
  <c r="E33" i="10"/>
  <c r="N11" i="10"/>
  <c r="AP55" i="1"/>
  <c r="H19" i="10"/>
  <c r="E46" i="10"/>
  <c r="G48" i="10"/>
  <c r="I46" i="10"/>
  <c r="M34" i="10"/>
  <c r="M46" i="10"/>
  <c r="J36" i="10"/>
  <c r="I23" i="10"/>
  <c r="I33" i="10"/>
  <c r="C22" i="10"/>
  <c r="K49" i="10"/>
  <c r="B21" i="10"/>
  <c r="AQ45" i="1"/>
  <c r="C43" i="10"/>
  <c r="H48" i="10"/>
  <c r="C48" i="10"/>
  <c r="N24" i="10"/>
  <c r="P38" i="10"/>
  <c r="L46" i="10"/>
  <c r="K23" i="10"/>
  <c r="AP27" i="1"/>
  <c r="G41" i="10"/>
  <c r="O21" i="10"/>
  <c r="N32" i="10"/>
  <c r="G27" i="10"/>
  <c r="D30" i="10"/>
  <c r="C44" i="10"/>
  <c r="G42" i="10"/>
  <c r="N47" i="10"/>
  <c r="AQ20" i="1"/>
  <c r="G24" i="10"/>
  <c r="AQ39" i="1"/>
  <c r="C29" i="10"/>
  <c r="K37" i="10"/>
  <c r="AP22" i="1"/>
  <c r="P25" i="10"/>
  <c r="AP31" i="1"/>
  <c r="N20" i="10"/>
  <c r="F34" i="10"/>
  <c r="B19" i="10"/>
  <c r="H32" i="10"/>
  <c r="C17" i="10"/>
  <c r="L26" i="10"/>
  <c r="F11" i="10"/>
  <c r="E34" i="10"/>
  <c r="N50" i="10"/>
  <c r="B45" i="10"/>
  <c r="AQ12" i="1"/>
  <c r="AH31" i="1"/>
  <c r="D50" i="10"/>
  <c r="J50" i="10"/>
  <c r="AN49" i="1"/>
  <c r="H28" i="10"/>
  <c r="AN26" i="1"/>
  <c r="D42" i="10"/>
  <c r="AP33" i="1"/>
  <c r="M43" i="10"/>
  <c r="AP19" i="1"/>
  <c r="L47" i="10"/>
  <c r="L23" i="10"/>
  <c r="AQ27" i="1"/>
  <c r="AQ25" i="1"/>
  <c r="I11" i="10"/>
  <c r="AH40" i="1"/>
  <c r="AH20" i="1"/>
  <c r="M41" i="10"/>
  <c r="O36" i="10"/>
  <c r="E48" i="10"/>
  <c r="N16" i="10"/>
  <c r="G50" i="10"/>
  <c r="L33" i="10"/>
  <c r="C35" i="10"/>
  <c r="AP48" i="1"/>
  <c r="E42" i="10"/>
  <c r="M13" i="10"/>
  <c r="AQ14" i="1"/>
  <c r="O50" i="10"/>
  <c r="C45" i="10"/>
  <c r="B28" i="10"/>
  <c r="O20" i="10"/>
  <c r="AQ41" i="1"/>
  <c r="I48" i="10"/>
  <c r="P34" i="10"/>
  <c r="L30" i="10"/>
  <c r="K40" i="10"/>
  <c r="AN10" i="1"/>
  <c r="E28" i="10"/>
  <c r="L22" i="10"/>
  <c r="H25" i="10"/>
  <c r="E15" i="10"/>
  <c r="P18" i="10"/>
  <c r="AQ55" i="1"/>
  <c r="AN35" i="1"/>
  <c r="N45" i="10"/>
  <c r="AH32" i="1"/>
  <c r="J16" i="10"/>
  <c r="O11" i="10"/>
  <c r="I32" i="10"/>
  <c r="K15" i="10"/>
  <c r="AN48" i="1"/>
  <c r="B32" i="10"/>
  <c r="O39" i="10"/>
  <c r="AP14" i="1"/>
  <c r="AN17" i="1"/>
  <c r="F13" i="10"/>
  <c r="AH55" i="1"/>
  <c r="AN14" i="1"/>
  <c r="E21" i="10"/>
  <c r="G34" i="10"/>
  <c r="H17" i="10"/>
  <c r="I34" i="10"/>
  <c r="D35" i="10"/>
  <c r="O38" i="10"/>
  <c r="J19" i="10"/>
  <c r="D49" i="10"/>
  <c r="M39" i="10"/>
  <c r="AN32" i="1"/>
  <c r="K46" i="10"/>
  <c r="K36" i="10"/>
  <c r="AQ13" i="1"/>
  <c r="AH19" i="1"/>
  <c r="P37" i="10"/>
  <c r="K29" i="10"/>
  <c r="N14" i="10"/>
  <c r="AQ33" i="1"/>
  <c r="AP23" i="1"/>
  <c r="C27" i="10"/>
  <c r="AH13" i="1"/>
  <c r="K21" i="10"/>
  <c r="AN36" i="1"/>
  <c r="C30" i="10"/>
  <c r="L15" i="10"/>
  <c r="L32" i="10"/>
  <c r="K28" i="10"/>
  <c r="AH18" i="1"/>
  <c r="I47" i="10"/>
  <c r="L16" i="10"/>
  <c r="K16" i="10"/>
  <c r="M11" i="10"/>
  <c r="B16" i="10"/>
  <c r="F45" i="10"/>
  <c r="J24" i="10"/>
  <c r="AP42" i="1"/>
  <c r="P12" i="10"/>
  <c r="F27" i="10"/>
  <c r="AN18" i="1"/>
  <c r="F41" i="10"/>
  <c r="D36" i="10"/>
  <c r="M47" i="10"/>
  <c r="AN55" i="1"/>
  <c r="AP15" i="1"/>
  <c r="I42" i="10"/>
  <c r="N22" i="10"/>
  <c r="G40" i="10"/>
  <c r="D39" i="10"/>
  <c r="F39" i="10"/>
  <c r="H13" i="10"/>
  <c r="AH54" i="1"/>
  <c r="G38" i="10"/>
  <c r="AN43" i="1"/>
  <c r="AH39" i="1"/>
  <c r="B36" i="10"/>
  <c r="AP50" i="1"/>
  <c r="D14" i="10"/>
  <c r="I19" i="10"/>
  <c r="C37" i="10"/>
  <c r="O13" i="10"/>
  <c r="J22" i="10"/>
  <c r="AH10" i="1"/>
  <c r="J28" i="10"/>
  <c r="AN40" i="1"/>
  <c r="AH37" i="1"/>
  <c r="D28" i="10"/>
  <c r="C25" i="10"/>
  <c r="F48" i="10"/>
  <c r="C42" i="10"/>
  <c r="B22" i="10"/>
  <c r="G31" i="10"/>
  <c r="AH22" i="1"/>
  <c r="F15" i="10"/>
  <c r="L45" i="10"/>
  <c r="K18" i="10"/>
  <c r="B42" i="10"/>
  <c r="J40" i="10"/>
  <c r="F32" i="10"/>
  <c r="N46" i="10"/>
  <c r="AQ26" i="1"/>
  <c r="L29" i="10"/>
  <c r="K47" i="10"/>
  <c r="C40" i="10"/>
  <c r="M18" i="10"/>
  <c r="E19" i="10"/>
  <c r="F19" i="10"/>
  <c r="AN13" i="1"/>
  <c r="O25" i="10"/>
  <c r="N15" i="10"/>
  <c r="N42" i="10"/>
  <c r="K26" i="10"/>
  <c r="P16" i="10"/>
  <c r="M33" i="10"/>
  <c r="M32" i="10"/>
  <c r="C19" i="10"/>
  <c r="L49" i="10"/>
  <c r="D18" i="10"/>
  <c r="E20" i="10"/>
  <c r="P35" i="10"/>
  <c r="AN37" i="1"/>
  <c r="AQ44" i="1"/>
  <c r="AN56" i="1"/>
  <c r="AQ29" i="1"/>
  <c r="P11" i="10"/>
  <c r="AQ9" i="1"/>
  <c r="L28" i="10"/>
  <c r="K33" i="10"/>
  <c r="M15" i="10"/>
  <c r="D41" i="10"/>
  <c r="N33" i="10"/>
  <c r="B33" i="10"/>
  <c r="J34" i="10"/>
  <c r="M19" i="10"/>
  <c r="I43" i="10"/>
  <c r="G30" i="10"/>
  <c r="I50" i="10"/>
  <c r="F37" i="10"/>
  <c r="E47" i="10"/>
  <c r="O44" i="10"/>
  <c r="AP21" i="1"/>
  <c r="F17" i="10"/>
  <c r="J20" i="10"/>
  <c r="AP16" i="1"/>
  <c r="J37" i="10"/>
  <c r="AP52" i="1"/>
  <c r="AN11" i="1"/>
  <c r="P40" i="10"/>
  <c r="J45" i="10"/>
  <c r="H44" i="10"/>
  <c r="J44" i="10"/>
  <c r="P49" i="10"/>
  <c r="BA6" i="1"/>
  <c r="I22" i="10"/>
  <c r="H31" i="10"/>
  <c r="N30" i="10"/>
  <c r="G28" i="10"/>
  <c r="AH24" i="1"/>
  <c r="D47" i="10"/>
  <c r="P30" i="10"/>
  <c r="F16" i="10"/>
  <c r="E36" i="10"/>
  <c r="M21" i="10"/>
  <c r="I26" i="10"/>
  <c r="J43" i="10"/>
  <c r="E35" i="10"/>
  <c r="P24" i="10"/>
  <c r="B15" i="10"/>
  <c r="G22" i="10"/>
  <c r="B30" i="10"/>
  <c r="M22" i="10"/>
  <c r="B20" i="10"/>
  <c r="AP37" i="1"/>
  <c r="C20" i="10"/>
  <c r="I24" i="10"/>
  <c r="L27" i="10"/>
  <c r="L44" i="10"/>
  <c r="C26" i="10"/>
  <c r="AN31" i="1"/>
  <c r="O37" i="10"/>
  <c r="AH28" i="1"/>
  <c r="AP28" i="1"/>
  <c r="AQ32" i="1"/>
  <c r="J31" i="10"/>
  <c r="AH27" i="1"/>
  <c r="P47" i="10"/>
  <c r="AN25" i="1"/>
  <c r="AN52" i="1"/>
  <c r="O34" i="10"/>
  <c r="AH34" i="1"/>
  <c r="G44" i="10"/>
  <c r="AN44" i="1"/>
  <c r="L43" i="10"/>
  <c r="L41" i="10"/>
  <c r="O14" i="10"/>
  <c r="F38" i="10"/>
  <c r="P26" i="10"/>
  <c r="M42" i="10"/>
  <c r="E16" i="10"/>
  <c r="AH12" i="1"/>
  <c r="P23" i="10"/>
  <c r="F20" i="10"/>
  <c r="J27" i="10"/>
  <c r="AH23" i="1"/>
  <c r="B39" i="10"/>
  <c r="H39" i="10"/>
  <c r="D17" i="10"/>
  <c r="K20" i="10"/>
  <c r="K27" i="10"/>
  <c r="I38" i="10"/>
  <c r="K12" i="10"/>
  <c r="O49" i="10"/>
  <c r="J41" i="10"/>
  <c r="AQ19" i="1"/>
  <c r="I21" i="10"/>
  <c r="C28" i="10"/>
  <c r="E38" i="10"/>
  <c r="D16" i="10"/>
  <c r="AH38" i="1"/>
  <c r="H50" i="10"/>
  <c r="AH51" i="1"/>
  <c r="AP20" i="1"/>
  <c r="AN53" i="1"/>
  <c r="L14" i="10"/>
  <c r="AP11" i="1"/>
  <c r="M26" i="10"/>
  <c r="BB8" i="1"/>
  <c r="O18" i="10"/>
  <c r="G23" i="10"/>
  <c r="AH33" i="1"/>
  <c r="I17" i="10"/>
  <c r="AN28" i="1"/>
  <c r="O15" i="10"/>
  <c r="O33" i="10"/>
  <c r="N44" i="10"/>
  <c r="AN24" i="1"/>
  <c r="N26" i="10"/>
  <c r="M38" i="10"/>
  <c r="E49" i="10"/>
  <c r="C34" i="10"/>
  <c r="AH43" i="1"/>
  <c r="C31" i="10"/>
  <c r="H24" i="10"/>
  <c r="M35" i="10"/>
  <c r="G37" i="10"/>
  <c r="B11" i="10"/>
  <c r="B44" i="10"/>
  <c r="M29" i="10"/>
  <c r="P20" i="10"/>
  <c r="AQ52" i="1"/>
  <c r="D33" i="10"/>
  <c r="P14" i="10"/>
  <c r="M17" i="10"/>
  <c r="AQ56" i="1"/>
  <c r="AQ34" i="1"/>
  <c r="AH36" i="1"/>
  <c r="E32" i="10"/>
  <c r="D40" i="10"/>
  <c r="E18" i="10"/>
  <c r="AQ30" i="1"/>
  <c r="F12" i="10"/>
  <c r="O17" i="10"/>
  <c r="G36" i="10"/>
  <c r="D31" i="10"/>
  <c r="AQ31" i="1"/>
  <c r="G29" i="10"/>
  <c r="AH52" i="1"/>
  <c r="AN8" i="1"/>
  <c r="J30" i="10"/>
  <c r="E31" i="10"/>
  <c r="B23" i="10"/>
  <c r="N38" i="10"/>
  <c r="AP32" i="1"/>
  <c r="B41" i="10"/>
  <c r="E30" i="10"/>
  <c r="O32" i="10"/>
  <c r="AH42" i="1"/>
  <c r="G35" i="10"/>
  <c r="AQ24" i="1"/>
  <c r="AN34" i="1"/>
  <c r="D20" i="10"/>
  <c r="AH47" i="1"/>
  <c r="AH21" i="1"/>
  <c r="I14" i="10"/>
  <c r="H22" i="10"/>
  <c r="B25" i="10"/>
  <c r="N49" i="10"/>
  <c r="L39" i="10"/>
  <c r="K24" i="10"/>
  <c r="F24" i="10"/>
  <c r="D38" i="10"/>
  <c r="BE5" i="1"/>
  <c r="D22" i="10"/>
  <c r="O16" i="10"/>
  <c r="D21" i="10"/>
  <c r="D32" i="10"/>
  <c r="AH30" i="1"/>
  <c r="AH26" i="1"/>
  <c r="E27" i="10"/>
  <c r="AP13" i="1"/>
  <c r="D43" i="10"/>
  <c r="E12" i="10"/>
  <c r="O23" i="10"/>
  <c r="C11" i="10"/>
  <c r="J29" i="10"/>
  <c r="I18" i="10"/>
  <c r="F42" i="10"/>
  <c r="J14" i="10"/>
  <c r="AN41" i="1"/>
  <c r="AP54" i="1"/>
  <c r="AP47" i="1"/>
  <c r="E45" i="10"/>
  <c r="AH35" i="1"/>
  <c r="H20" i="10"/>
  <c r="L20" i="10"/>
  <c r="C21" i="10"/>
  <c r="AH17" i="1"/>
  <c r="D19" i="10"/>
  <c r="E23" i="10"/>
  <c r="AH45" i="1"/>
  <c r="L38" i="10"/>
  <c r="P41" i="10"/>
  <c r="I15" i="10"/>
  <c r="G14" i="10"/>
  <c r="AI8" i="1"/>
  <c r="AJ45" i="1" l="1"/>
  <c r="AJ17" i="1"/>
  <c r="AJ35" i="1"/>
  <c r="AJ26" i="1"/>
  <c r="AJ30" i="1"/>
  <c r="AJ21" i="1"/>
  <c r="AJ47" i="1"/>
  <c r="AJ42" i="1"/>
  <c r="AJ52" i="1"/>
  <c r="AJ36" i="1"/>
  <c r="AJ43" i="1"/>
  <c r="AJ33" i="1"/>
  <c r="AJ51" i="1"/>
  <c r="AJ38" i="1"/>
  <c r="AJ23" i="1"/>
  <c r="AJ12" i="1"/>
  <c r="AJ34" i="1"/>
  <c r="AJ27" i="1"/>
  <c r="AJ28" i="1"/>
  <c r="AJ24" i="1"/>
  <c r="AS2" i="1"/>
  <c r="BA4" i="1"/>
  <c r="AJ22" i="1"/>
  <c r="AJ37" i="1"/>
  <c r="AJ10" i="1"/>
  <c r="AJ39" i="1"/>
  <c r="AJ54" i="1"/>
  <c r="AJ18" i="1"/>
  <c r="AJ13" i="1"/>
  <c r="AJ19" i="1"/>
  <c r="AJ55" i="1"/>
  <c r="AJ32" i="1"/>
  <c r="AJ20" i="1"/>
  <c r="AD20" i="1"/>
  <c r="AJ40" i="1"/>
  <c r="AJ31" i="1"/>
  <c r="AJ15" i="1"/>
  <c r="AJ11" i="1"/>
  <c r="AJ29" i="1"/>
  <c r="AJ46" i="1"/>
  <c r="AJ56" i="1"/>
  <c r="AJ25" i="1"/>
  <c r="AJ16" i="1"/>
  <c r="AJ41" i="1"/>
  <c r="AJ48" i="1"/>
  <c r="AJ9" i="1"/>
  <c r="AJ50" i="1"/>
  <c r="AJ49" i="1"/>
  <c r="AJ44" i="1"/>
  <c r="AJ53" i="1"/>
  <c r="AJ14" i="1"/>
  <c r="H11" i="8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Q41" i="10"/>
  <c r="AK17" i="1"/>
  <c r="AK26" i="1"/>
  <c r="AI21" i="1"/>
  <c r="AK42" i="1"/>
  <c r="AK36" i="1"/>
  <c r="AI43" i="1"/>
  <c r="AK51" i="1"/>
  <c r="AK23" i="1"/>
  <c r="AI12" i="1"/>
  <c r="Q47" i="10"/>
  <c r="AI28" i="1"/>
  <c r="Q40" i="10"/>
  <c r="AI10" i="1"/>
  <c r="AI54" i="1"/>
  <c r="AK18" i="1"/>
  <c r="AK20" i="1"/>
  <c r="Q38" i="10"/>
  <c r="AK46" i="1"/>
  <c r="Q31" i="10"/>
  <c r="AK50" i="1"/>
  <c r="AK45" i="1"/>
  <c r="AK35" i="1"/>
  <c r="AK30" i="1"/>
  <c r="AK21" i="1"/>
  <c r="AI42" i="1"/>
  <c r="AI36" i="1"/>
  <c r="AK43" i="1"/>
  <c r="AI51" i="1"/>
  <c r="AI23" i="1"/>
  <c r="Q26" i="10"/>
  <c r="AI27" i="1"/>
  <c r="Q24" i="10"/>
  <c r="Q11" i="10"/>
  <c r="AI22" i="1"/>
  <c r="AK10" i="1"/>
  <c r="AK54" i="1"/>
  <c r="AK13" i="1"/>
  <c r="AI19" i="1"/>
  <c r="AI32" i="1"/>
  <c r="AI20" i="1"/>
  <c r="AK31" i="1"/>
  <c r="Q28" i="10"/>
  <c r="AI11" i="1"/>
  <c r="AI46" i="1"/>
  <c r="Q17" i="10"/>
  <c r="Q21" i="10"/>
  <c r="Q19" i="10"/>
  <c r="Q48" i="10"/>
  <c r="AI9" i="1"/>
  <c r="Q39" i="10"/>
  <c r="AK49" i="1"/>
  <c r="Q36" i="10"/>
  <c r="Q50" i="10"/>
  <c r="AI53" i="1"/>
  <c r="AI25" i="1"/>
  <c r="Q45" i="10"/>
  <c r="AK9" i="1"/>
  <c r="AK44" i="1"/>
  <c r="Q44" i="10"/>
  <c r="AI41" i="1"/>
  <c r="Q22" i="10"/>
  <c r="AI45" i="1"/>
  <c r="AI35" i="1"/>
  <c r="AI30" i="1"/>
  <c r="AI47" i="1"/>
  <c r="AK52" i="1"/>
  <c r="Q14" i="10"/>
  <c r="AI33" i="1"/>
  <c r="AK38" i="1"/>
  <c r="Q23" i="10"/>
  <c r="AK34" i="1"/>
  <c r="AK27" i="1"/>
  <c r="Q30" i="10"/>
  <c r="Q35" i="10"/>
  <c r="AK37" i="1"/>
  <c r="AK39" i="1"/>
  <c r="Q12" i="10"/>
  <c r="AI13" i="1"/>
  <c r="AK55" i="1"/>
  <c r="Q18" i="10"/>
  <c r="AI31" i="1"/>
  <c r="AI15" i="1"/>
  <c r="AI29" i="1"/>
  <c r="Q42" i="10"/>
  <c r="AI16" i="1"/>
  <c r="Q13" i="10"/>
  <c r="Q29" i="10"/>
  <c r="Q33" i="10"/>
  <c r="AK14" i="1"/>
  <c r="AI49" i="1"/>
  <c r="AK53" i="1"/>
  <c r="AI17" i="1"/>
  <c r="AI26" i="1"/>
  <c r="BE6" i="1"/>
  <c r="AK47" i="1"/>
  <c r="AI52" i="1"/>
  <c r="Q20" i="10"/>
  <c r="AK33" i="1"/>
  <c r="AI38" i="1"/>
  <c r="AK12" i="1"/>
  <c r="AI34" i="1"/>
  <c r="AK28" i="1"/>
  <c r="AI24" i="1"/>
  <c r="Q49" i="10"/>
  <c r="Q16" i="10"/>
  <c r="AI37" i="1"/>
  <c r="AI39" i="1"/>
  <c r="AI18" i="1"/>
  <c r="Q37" i="10"/>
  <c r="AI55" i="1"/>
  <c r="Q34" i="10"/>
  <c r="AI40" i="1"/>
  <c r="Q25" i="10"/>
  <c r="AK15" i="1"/>
  <c r="AK29" i="1"/>
  <c r="AK56" i="1"/>
  <c r="AK25" i="1"/>
  <c r="AK16" i="1"/>
  <c r="AK41" i="1"/>
  <c r="AK48" i="1"/>
  <c r="AI50" i="1"/>
  <c r="Q46" i="10"/>
  <c r="AI44" i="1"/>
  <c r="Q43" i="10"/>
  <c r="Q27" i="10"/>
  <c r="AI14" i="1"/>
  <c r="AK24" i="1"/>
  <c r="AK22" i="1"/>
  <c r="AK19" i="1"/>
  <c r="AK32" i="1"/>
  <c r="AK40" i="1"/>
  <c r="AK11" i="1"/>
  <c r="AI56" i="1"/>
  <c r="Q32" i="10"/>
  <c r="AI48" i="1"/>
  <c r="Q15" i="10"/>
  <c r="AL48" i="1" l="1"/>
  <c r="AD48" i="1" s="1"/>
  <c r="AL56" i="1"/>
  <c r="AD56" i="1" s="1"/>
  <c r="AL14" i="1"/>
  <c r="AD14" i="1" s="1"/>
  <c r="AL44" i="1"/>
  <c r="AD44" i="1" s="1"/>
  <c r="AL50" i="1"/>
  <c r="AD50" i="1" s="1"/>
  <c r="AL40" i="1"/>
  <c r="AD40" i="1" s="1"/>
  <c r="AL55" i="1"/>
  <c r="AD55" i="1" s="1"/>
  <c r="AL18" i="1"/>
  <c r="AD18" i="1" s="1"/>
  <c r="AL39" i="1"/>
  <c r="AD39" i="1" s="1"/>
  <c r="AL37" i="1"/>
  <c r="AD37" i="1" s="1"/>
  <c r="AL24" i="1"/>
  <c r="AD24" i="1" s="1"/>
  <c r="AL34" i="1"/>
  <c r="AD34" i="1" s="1"/>
  <c r="AL38" i="1"/>
  <c r="AD38" i="1" s="1"/>
  <c r="AL52" i="1"/>
  <c r="AD52" i="1" s="1"/>
  <c r="AL26" i="1"/>
  <c r="AD26" i="1" s="1"/>
  <c r="AL17" i="1"/>
  <c r="AD17" i="1" s="1"/>
  <c r="AL49" i="1"/>
  <c r="AD49" i="1" s="1"/>
  <c r="AL16" i="1"/>
  <c r="AD16" i="1" s="1"/>
  <c r="AL29" i="1"/>
  <c r="AD29" i="1" s="1"/>
  <c r="AL15" i="1"/>
  <c r="AD15" i="1" s="1"/>
  <c r="AL31" i="1"/>
  <c r="AD31" i="1" s="1"/>
  <c r="AL13" i="1"/>
  <c r="AD13" i="1" s="1"/>
  <c r="AL33" i="1"/>
  <c r="AD33" i="1" s="1"/>
  <c r="AL47" i="1"/>
  <c r="AD47" i="1" s="1"/>
  <c r="AL30" i="1"/>
  <c r="AD30" i="1" s="1"/>
  <c r="AL35" i="1"/>
  <c r="AD35" i="1" s="1"/>
  <c r="AL45" i="1"/>
  <c r="AD45" i="1" s="1"/>
  <c r="AL41" i="1"/>
  <c r="AD41" i="1" s="1"/>
  <c r="AL25" i="1"/>
  <c r="AD25" i="1" s="1"/>
  <c r="AL53" i="1"/>
  <c r="AD53" i="1" s="1"/>
  <c r="AL9" i="1"/>
  <c r="AD9" i="1" s="1"/>
  <c r="AL46" i="1"/>
  <c r="AD46" i="1" s="1"/>
  <c r="AL11" i="1"/>
  <c r="AD11" i="1" s="1"/>
  <c r="AL20" i="1"/>
  <c r="AL32" i="1"/>
  <c r="AD32" i="1" s="1"/>
  <c r="AL19" i="1"/>
  <c r="AD19" i="1" s="1"/>
  <c r="AL22" i="1"/>
  <c r="AD22" i="1" s="1"/>
  <c r="AL27" i="1"/>
  <c r="AD27" i="1" s="1"/>
  <c r="AL23" i="1"/>
  <c r="AD23" i="1" s="1"/>
  <c r="AL51" i="1"/>
  <c r="AD51" i="1" s="1"/>
  <c r="AL36" i="1"/>
  <c r="AD36" i="1" s="1"/>
  <c r="AL42" i="1"/>
  <c r="AD42" i="1" s="1"/>
  <c r="AL54" i="1"/>
  <c r="AD54" i="1" s="1"/>
  <c r="AL10" i="1"/>
  <c r="AD10" i="1" s="1"/>
  <c r="AL28" i="1"/>
  <c r="AD28" i="1" s="1"/>
  <c r="AL12" i="1"/>
  <c r="AD12" i="1" s="1"/>
  <c r="AL43" i="1"/>
  <c r="AD43" i="1" s="1"/>
  <c r="AL21" i="1"/>
  <c r="AD21" i="1" s="1"/>
  <c r="I11" i="8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BD6" i="1"/>
  <c r="AY4" i="1"/>
  <c r="AY5" i="1"/>
  <c r="BI2" i="1" l="1"/>
  <c r="BI3" i="1"/>
  <c r="BI4" i="1"/>
  <c r="I12" i="8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A36" i="2"/>
  <c r="A38" i="2"/>
  <c r="G4" i="1"/>
  <c r="A2" i="1"/>
  <c r="A3" i="1"/>
  <c r="A4" i="1"/>
  <c r="BG6" i="1" s="1"/>
  <c r="C2" i="1"/>
  <c r="B10" i="11" l="1"/>
  <c r="H2" i="10"/>
  <c r="I6" i="4"/>
  <c r="H6" i="10"/>
  <c r="B21" i="11"/>
  <c r="B38" i="2"/>
  <c r="A40" i="2"/>
  <c r="K37" i="2"/>
  <c r="U12" i="8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P3" i="2"/>
  <c r="K36" i="2"/>
  <c r="O39" i="2" l="1"/>
  <c r="R39" i="2" s="1"/>
  <c r="L32" i="11" s="1"/>
  <c r="Q7" i="2"/>
  <c r="R7" i="2" s="1"/>
  <c r="P18" i="2"/>
  <c r="Q21" i="2" s="1"/>
  <c r="R21" i="2" s="1"/>
  <c r="Q9" i="2"/>
  <c r="R9" i="2" s="1"/>
  <c r="Q13" i="2"/>
  <c r="R13" i="2" s="1"/>
  <c r="Q11" i="2"/>
  <c r="R11" i="2" s="1"/>
  <c r="Q6" i="2"/>
  <c r="R6" i="2" s="1"/>
  <c r="Q14" i="2"/>
  <c r="R14" i="2" s="1"/>
  <c r="Q12" i="2"/>
  <c r="R12" i="2" s="1"/>
  <c r="Q10" i="2"/>
  <c r="R10" i="2" s="1"/>
  <c r="Q8" i="2"/>
  <c r="R8" i="2" s="1"/>
  <c r="Q15" i="2"/>
  <c r="R15" i="2" s="1"/>
  <c r="J15" i="4"/>
  <c r="J16" i="4" s="1"/>
  <c r="J17" i="4" s="1"/>
  <c r="J11" i="4"/>
  <c r="J12" i="4" s="1"/>
  <c r="J13" i="4"/>
  <c r="J10" i="4"/>
  <c r="J14" i="4"/>
  <c r="L6" i="4"/>
  <c r="M9" i="4" s="1"/>
  <c r="M10" i="4" s="1"/>
  <c r="J9" i="4"/>
  <c r="J18" i="4"/>
  <c r="J19" i="4" s="1"/>
  <c r="V12" i="8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Q16" i="2"/>
  <c r="R16" i="2" s="1"/>
  <c r="Q22" i="2" l="1"/>
  <c r="J6" i="4"/>
  <c r="M11" i="4"/>
  <c r="M12" i="4" s="1"/>
  <c r="M13" i="4" s="1"/>
  <c r="M14" i="4" s="1"/>
  <c r="S15" i="8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Q3" i="2"/>
  <c r="M15" i="4" l="1"/>
  <c r="M16" i="4" s="1"/>
  <c r="M17" i="4" s="1"/>
  <c r="M18" i="4" s="1"/>
  <c r="M19" i="4" s="1"/>
  <c r="R22" i="2"/>
  <c r="Q23" i="2"/>
  <c r="B21" i="8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R23" i="2" l="1"/>
  <c r="Q24" i="2"/>
  <c r="M6" i="4"/>
  <c r="I16" i="8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Q25" i="2" l="1"/>
  <c r="R25" i="2" s="1"/>
  <c r="R24" i="2"/>
  <c r="K16" i="8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Q26" i="2" l="1"/>
  <c r="R26" i="2" s="1"/>
  <c r="Q27" i="2"/>
  <c r="Q28" i="2" s="1"/>
  <c r="R28" i="2" s="1"/>
  <c r="H20" i="8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Q29" i="2" l="1"/>
  <c r="Q30" i="2" s="1"/>
  <c r="R30" i="2" s="1"/>
  <c r="R27" i="2"/>
  <c r="F22" i="8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R29" i="2" l="1"/>
  <c r="Q31" i="2"/>
  <c r="R31" i="2" s="1"/>
  <c r="O38" i="2" s="1"/>
  <c r="R38" i="2" s="1"/>
  <c r="B32" i="11" s="1"/>
  <c r="K19" i="8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Q18" i="2" l="1"/>
  <c r="F24" i="8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D2" i="1" l="1"/>
  <c r="BA20" i="1"/>
  <c r="BA21" i="1"/>
  <c r="BA24" i="1"/>
  <c r="BA26" i="1"/>
  <c r="BA28" i="1"/>
  <c r="BA22" i="1"/>
  <c r="BA25" i="1"/>
  <c r="BA19" i="1"/>
  <c r="BA27" i="1"/>
  <c r="BA18" i="1"/>
  <c r="BA23" i="1"/>
  <c r="BA10" i="1"/>
  <c r="BA12" i="1"/>
  <c r="BA16" i="1"/>
  <c r="BA11" i="1"/>
  <c r="BA9" i="1"/>
  <c r="BA14" i="1"/>
  <c r="BA17" i="1"/>
  <c r="BA13" i="1"/>
  <c r="BA15" i="1"/>
  <c r="BA31" i="1" l="1"/>
  <c r="BA29" i="1"/>
  <c r="BA35" i="1"/>
  <c r="BA32" i="1"/>
  <c r="BA37" i="1"/>
  <c r="BE2" i="1"/>
  <c r="BA36" i="1"/>
  <c r="BA33" i="1"/>
  <c r="BA34" i="1"/>
  <c r="BA38" i="1"/>
  <c r="BA30" i="1"/>
  <c r="BA39" i="1" l="1"/>
  <c r="BA44" i="1"/>
  <c r="BA42" i="1"/>
  <c r="BF2" i="1"/>
  <c r="BG2" i="1" s="1"/>
  <c r="BH2" i="1" s="1"/>
  <c r="BA2" i="1" s="1"/>
  <c r="BA45" i="1"/>
  <c r="BA48" i="1"/>
  <c r="BA47" i="1"/>
  <c r="BA46" i="1"/>
  <c r="BA43" i="1"/>
  <c r="BA40" i="1"/>
  <c r="BA41" i="1"/>
  <c r="BA50" i="1" l="1"/>
  <c r="BA55" i="1"/>
  <c r="BA54" i="1"/>
  <c r="BA49" i="1"/>
  <c r="BA51" i="1"/>
  <c r="BA53" i="1"/>
  <c r="BA52" i="1"/>
  <c r="BA56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<sst xmlns="http://schemas.openxmlformats.org/spreadsheetml/2006/main" count="1093" uniqueCount="381">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</sst>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0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9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5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9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9" fillId="0" borderId="41" xfId="1" applyFont="1" applyFill="1" applyBorder="1" applyAlignment="1">
      <alignment vertical="center"/>
    </xf>
    <xf numFmtId="0" fontId="50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165" fontId="17" fillId="0" borderId="46" xfId="1" applyNumberFormat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165" fontId="16" fillId="0" borderId="46" xfId="1" applyNumberFormat="1" applyFont="1" applyBorder="1" applyAlignment="1">
      <alignment horizontal="center"/>
    </xf>
    <xf numFmtId="0" fontId="51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2" fillId="0" borderId="0" xfId="0" applyFont="1" applyAlignment="1"/>
    <xf numFmtId="0" fontId="28" fillId="0" borderId="0" xfId="0" applyFont="1" applyBorder="1" applyAlignment="1">
      <alignment vertical="top"/>
    </xf>
    <xf numFmtId="0" fontId="52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5" fillId="0" borderId="0" xfId="2" applyFont="1"/>
    <xf numFmtId="0" fontId="56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8" fillId="0" borderId="0" xfId="2" applyFont="1"/>
    <xf numFmtId="0" fontId="58" fillId="0" borderId="0" xfId="2" applyFont="1" applyBorder="1"/>
    <xf numFmtId="0" fontId="58" fillId="0" borderId="1" xfId="2" applyFont="1" applyBorder="1" applyAlignment="1">
      <alignment horizontal="left"/>
    </xf>
    <xf numFmtId="0" fontId="58" fillId="0" borderId="2" xfId="2" applyFont="1" applyBorder="1" applyAlignment="1">
      <alignment horizontal="left" vertical="center" wrapText="1"/>
    </xf>
    <xf numFmtId="0" fontId="58" fillId="0" borderId="1" xfId="2" applyFont="1" applyBorder="1" applyAlignment="1">
      <alignment horizontal="left" vertical="center" wrapText="1"/>
    </xf>
    <xf numFmtId="165" fontId="58" fillId="0" borderId="1" xfId="2" applyNumberFormat="1" applyFont="1" applyBorder="1" applyAlignment="1">
      <alignment horizontal="center"/>
    </xf>
    <xf numFmtId="165" fontId="58" fillId="0" borderId="3" xfId="2" applyNumberFormat="1" applyFont="1" applyBorder="1" applyAlignment="1">
      <alignment horizontal="center"/>
    </xf>
    <xf numFmtId="0" fontId="58" fillId="0" borderId="5" xfId="2" applyFont="1" applyBorder="1" applyAlignment="1">
      <alignment horizontal="left"/>
    </xf>
    <xf numFmtId="165" fontId="58" fillId="0" borderId="5" xfId="2" applyNumberFormat="1" applyFont="1" applyBorder="1" applyAlignment="1">
      <alignment horizontal="center"/>
    </xf>
    <xf numFmtId="0" fontId="58" fillId="0" borderId="0" xfId="2" applyFont="1" applyBorder="1" applyAlignment="1">
      <alignment horizontal="left"/>
    </xf>
    <xf numFmtId="165" fontId="58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0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0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5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left" vertical="center"/>
    </xf>
    <xf numFmtId="49" fontId="1" fillId="0" borderId="0" xfId="2" applyNumberFormat="1"/>
    <xf numFmtId="49" fontId="58" fillId="0" borderId="0" xfId="2" applyNumberFormat="1" applyFont="1"/>
    <xf numFmtId="49" fontId="58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8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29" fillId="0" borderId="2" xfId="0" applyFont="1" applyFill="1" applyBorder="1"/>
    <xf numFmtId="0" fontId="29" fillId="0" borderId="17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52" xfId="0" applyFont="1" applyFill="1" applyBorder="1" applyAlignment="1" applyProtection="1">
      <alignment horizontal="center" vertical="center" shrinkToFit="1"/>
      <protection locked="0"/>
    </xf>
    <xf numFmtId="0" fontId="37" fillId="7" borderId="19" xfId="0" applyFont="1" applyFill="1" applyBorder="1" applyAlignment="1" applyProtection="1">
      <alignment horizontal="center" vertical="center" shrinkToFit="1"/>
      <protection locked="0"/>
    </xf>
    <xf numFmtId="0" fontId="37" fillId="7" borderId="39" xfId="0" applyFont="1" applyFill="1" applyBorder="1" applyAlignment="1" applyProtection="1">
      <alignment horizontal="center" vertical="center" shrinkToFit="1"/>
      <protection locked="0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45" fillId="0" borderId="0" xfId="1" applyFont="1" applyBorder="1" applyAlignment="1">
      <alignment horizontal="left" vertical="center"/>
    </xf>
    <xf numFmtId="0" fontId="46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Fill="1" applyBorder="1" applyAlignment="1">
      <alignment horizontal="right" vertical="center"/>
    </xf>
    <xf numFmtId="0" fontId="48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4" fillId="13" borderId="0" xfId="0" applyFont="1" applyFill="1" applyAlignment="1">
      <alignment horizontal="right" vertical="center"/>
    </xf>
    <xf numFmtId="0" fontId="54" fillId="13" borderId="0" xfId="0" applyFont="1" applyFill="1" applyAlignment="1">
      <alignment horizontal="left" vertical="center"/>
    </xf>
    <xf numFmtId="0" fontId="49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7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  <xf numFmtId="0" fontId="59" fillId="16" borderId="1" xfId="2" applyFont="1" applyFill="1" applyBorder="1"/>
    <xf numFmtId="49" fontId="59" fillId="16" borderId="1" xfId="2" applyNumberFormat="1" applyFont="1" applyFill="1" applyBorder="1"/>
    <xf numFmtId="0" fontId="59" fillId="16" borderId="19" xfId="2" applyFont="1" applyFill="1" applyBorder="1"/>
    <xf numFmtId="0" fontId="59" fillId="16" borderId="35" xfId="2" applyFont="1" applyFill="1" applyBorder="1" applyAlignment="1">
      <alignment horizontal="center"/>
    </xf>
    <xf numFmtId="0" fontId="59" fillId="16" borderId="5" xfId="2" applyFont="1" applyFill="1" applyBorder="1" applyAlignment="1">
      <alignment horizontal="center"/>
    </xf>
    <xf numFmtId="0" fontId="59" fillId="16" borderId="1" xfId="2" applyFont="1" applyFill="1" applyBorder="1" applyAlignment="1">
      <alignment horizontal="center"/>
    </xf>
    <xf numFmtId="0" fontId="58" fillId="14" borderId="1" xfId="2" applyFont="1" applyFill="1" applyBorder="1" applyAlignment="1">
      <alignment horizontal="left"/>
    </xf>
    <xf numFmtId="2" fontId="58" fillId="14" borderId="1" xfId="2" applyNumberFormat="1" applyFont="1" applyFill="1" applyBorder="1" applyAlignment="1">
      <alignment horizontal="left"/>
    </xf>
    <xf numFmtId="0" fontId="58" fillId="14" borderId="2" xfId="2" applyFont="1" applyFill="1" applyBorder="1" applyAlignment="1">
      <alignment horizontal="left" vertical="center" wrapText="1"/>
    </xf>
    <xf numFmtId="0" fontId="58" fillId="14" borderId="1" xfId="2" applyFont="1" applyFill="1" applyBorder="1" applyAlignment="1">
      <alignment horizontal="left" vertical="center" wrapText="1"/>
    </xf>
    <xf numFmtId="165" fontId="58" fillId="14" borderId="1" xfId="2" applyNumberFormat="1" applyFont="1" applyFill="1" applyBorder="1" applyAlignment="1">
      <alignment horizontal="center"/>
    </xf>
    <xf numFmtId="165" fontId="58" fillId="14" borderId="3" xfId="2" applyNumberFormat="1" applyFont="1" applyFill="1" applyBorder="1" applyAlignment="1">
      <alignment horizontal="center"/>
    </xf>
    <xf numFmtId="0" fontId="59" fillId="16" borderId="2" xfId="2" applyFont="1" applyFill="1" applyBorder="1" applyAlignment="1">
      <alignment horizontal="center"/>
    </xf>
    <xf numFmtId="0" fontId="59" fillId="16" borderId="17" xfId="2" applyFont="1" applyFill="1" applyBorder="1" applyAlignment="1">
      <alignment horizontal="center"/>
    </xf>
    <xf numFmtId="0" fontId="59" fillId="16" borderId="3" xfId="2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</xdr:colOff>
      <xdr:row>4</xdr:row>
      <xdr:rowOff>1</xdr:rowOff>
    </xdr:from>
    <xdr:to>
      <xdr:col>3</xdr:col>
      <xdr:colOff>152400</xdr:colOff>
      <xdr:row>5</xdr:row>
      <xdr:rowOff>0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466852" y="1609726"/>
          <a:ext cx="800098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142875</xdr:colOff>
      <xdr:row>4</xdr:row>
      <xdr:rowOff>0</xdr:rowOff>
    </xdr:from>
    <xdr:to>
      <xdr:col>4</xdr:col>
      <xdr:colOff>419099</xdr:colOff>
      <xdr:row>4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257425" y="16097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1162050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00075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0:59</a:t>
          </a:r>
        </a:p>
      </xdr:txBody>
    </xdr:sp>
    <xdr:clientData/>
  </xdr:twoCellAnchor>
  <xdr:twoCellAnchor>
    <xdr:from>
      <xdr:col>12</xdr:col>
      <xdr:colOff>0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609726"/>
          <a:ext cx="504826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Full</a:t>
          </a:r>
        </a:p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screen</a:t>
          </a:r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C6359474-6AE1-4335-960B-0348C69B26A7}"/>
            </a:ext>
          </a:extLst>
        </xdr:cNvPr>
        <xdr:cNvSpPr/>
      </xdr:nvSpPr>
      <xdr:spPr bwMode="auto">
        <a:xfrm>
          <a:off x="4171950" y="1609725"/>
          <a:ext cx="5048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0:59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FD840BFA-0736-413D-B3B9-FBCB87D71F14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0:59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BCC44151-1435-49DD-AFF3-DF3954B54B76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0</xdr:rowOff>
    </xdr:from>
    <xdr:to>
      <xdr:col>2</xdr:col>
      <xdr:colOff>304800</xdr:colOff>
      <xdr:row>7</xdr:row>
      <xdr:rowOff>0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DC66AABB-D70B-4ACC-BDED-941B7A38C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0953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I6" sqref="I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42" t="s">
        <v>218</v>
      </c>
      <c r="C3" s="343"/>
      <c r="D3" s="343"/>
      <c r="E3" s="343"/>
      <c r="F3" s="344"/>
      <c r="H3" s="328" t="s">
        <v>158</v>
      </c>
      <c r="I3" s="329"/>
      <c r="J3" s="330"/>
      <c r="K3" s="336" t="s">
        <v>159</v>
      </c>
      <c r="L3" s="337"/>
      <c r="M3" s="334" t="s">
        <v>172</v>
      </c>
      <c r="O3" s="307" t="s">
        <v>147</v>
      </c>
      <c r="P3" s="308"/>
      <c r="Q3" s="308"/>
      <c r="R3" s="309"/>
      <c r="W3" s="1" t="s">
        <v>62</v>
      </c>
    </row>
    <row r="4" spans="1:23" ht="13.5" customHeight="1" thickBot="1" x14ac:dyDescent="0.25">
      <c r="B4" s="345"/>
      <c r="C4" s="346"/>
      <c r="D4" s="346"/>
      <c r="E4" s="346"/>
      <c r="F4" s="347"/>
      <c r="H4" s="331"/>
      <c r="I4" s="332"/>
      <c r="J4" s="333"/>
      <c r="K4" s="338"/>
      <c r="L4" s="339"/>
      <c r="M4" s="335"/>
      <c r="O4" s="310"/>
      <c r="P4" s="311"/>
      <c r="Q4" s="311"/>
      <c r="R4" s="31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13" t="s">
        <v>149</v>
      </c>
      <c r="Q5" s="313"/>
      <c r="R5" s="314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04" t="s">
        <v>225</v>
      </c>
      <c r="Q6" s="305"/>
      <c r="R6" s="306"/>
      <c r="W6" s="1" t="s">
        <v>65</v>
      </c>
    </row>
    <row r="7" spans="1:23" x14ac:dyDescent="0.2">
      <c r="B7" s="342" t="s">
        <v>61</v>
      </c>
      <c r="C7" s="343"/>
      <c r="D7" s="343"/>
      <c r="E7" s="343"/>
      <c r="F7" s="344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23" t="s">
        <v>215</v>
      </c>
      <c r="Q7" s="324"/>
      <c r="R7" s="325"/>
      <c r="W7" s="1"/>
    </row>
    <row r="8" spans="1:23" ht="13.5" thickBot="1" x14ac:dyDescent="0.25">
      <c r="B8" s="345"/>
      <c r="C8" s="346"/>
      <c r="D8" s="346"/>
      <c r="E8" s="346"/>
      <c r="F8" s="347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23" t="s">
        <v>226</v>
      </c>
      <c r="Q8" s="324"/>
      <c r="R8" s="325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23" t="s">
        <v>216</v>
      </c>
      <c r="Q9" s="324"/>
      <c r="R9" s="325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23" t="s">
        <v>184</v>
      </c>
      <c r="Q10" s="324"/>
      <c r="R10" s="325"/>
    </row>
    <row r="11" spans="1:23" x14ac:dyDescent="0.2">
      <c r="B11" s="14" t="s">
        <v>73</v>
      </c>
      <c r="C11" s="348" t="s">
        <v>74</v>
      </c>
      <c r="D11" s="349"/>
      <c r="E11" s="350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23" t="s">
        <v>217</v>
      </c>
      <c r="Q11" s="324"/>
      <c r="R11" s="325"/>
    </row>
    <row r="12" spans="1:23" x14ac:dyDescent="0.2">
      <c r="B12" s="61" t="s">
        <v>223</v>
      </c>
      <c r="C12" s="284" t="s">
        <v>75</v>
      </c>
      <c r="D12" s="285"/>
      <c r="E12" s="286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323" t="s">
        <v>220</v>
      </c>
      <c r="Q12" s="324"/>
      <c r="R12" s="325"/>
    </row>
    <row r="13" spans="1:23" x14ac:dyDescent="0.2">
      <c r="B13" s="61" t="s">
        <v>224</v>
      </c>
      <c r="C13" s="284" t="s">
        <v>141</v>
      </c>
      <c r="D13" s="285"/>
      <c r="E13" s="286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1"/>
      <c r="P13" s="326"/>
      <c r="Q13" s="326"/>
      <c r="R13" s="327"/>
    </row>
    <row r="14" spans="1:23" x14ac:dyDescent="0.2">
      <c r="B14" s="61" t="s">
        <v>221</v>
      </c>
      <c r="C14" s="284" t="s">
        <v>222</v>
      </c>
      <c r="D14" s="285"/>
      <c r="E14" s="286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323"/>
      <c r="Q14" s="324"/>
      <c r="R14" s="325"/>
    </row>
    <row r="15" spans="1:23" x14ac:dyDescent="0.2">
      <c r="B15" s="61"/>
      <c r="C15" s="284"/>
      <c r="D15" s="285"/>
      <c r="E15" s="286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23"/>
      <c r="Q15" s="324"/>
      <c r="R15" s="325"/>
    </row>
    <row r="16" spans="1:23" x14ac:dyDescent="0.2">
      <c r="B16" s="61"/>
      <c r="C16" s="284"/>
      <c r="D16" s="285"/>
      <c r="E16" s="286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23"/>
      <c r="Q16" s="324"/>
      <c r="R16" s="325"/>
    </row>
    <row r="17" spans="2:19" x14ac:dyDescent="0.2">
      <c r="B17" s="61"/>
      <c r="C17" s="284"/>
      <c r="D17" s="285"/>
      <c r="E17" s="286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23"/>
      <c r="Q17" s="324"/>
      <c r="R17" s="325"/>
    </row>
    <row r="18" spans="2:19" x14ac:dyDescent="0.2">
      <c r="B18" s="61"/>
      <c r="C18" s="284"/>
      <c r="D18" s="285"/>
      <c r="E18" s="286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23"/>
      <c r="Q18" s="324"/>
      <c r="R18" s="325"/>
    </row>
    <row r="19" spans="2:19" x14ac:dyDescent="0.2">
      <c r="B19" s="61"/>
      <c r="C19" s="284"/>
      <c r="D19" s="285"/>
      <c r="E19" s="286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23"/>
      <c r="Q19" s="324"/>
      <c r="R19" s="325"/>
    </row>
    <row r="20" spans="2:19" x14ac:dyDescent="0.2">
      <c r="B20" s="61"/>
      <c r="C20" s="284"/>
      <c r="D20" s="285"/>
      <c r="E20" s="286"/>
      <c r="F20" s="62"/>
      <c r="H20" s="340" t="s">
        <v>171</v>
      </c>
      <c r="I20" s="341"/>
      <c r="J20" s="84">
        <v>55</v>
      </c>
      <c r="K20" s="299" t="s">
        <v>171</v>
      </c>
      <c r="L20" s="300"/>
      <c r="M20" s="85">
        <v>25</v>
      </c>
      <c r="O20" s="11"/>
      <c r="P20" s="304"/>
      <c r="Q20" s="305"/>
      <c r="R20" s="306"/>
    </row>
    <row r="21" spans="2:19" x14ac:dyDescent="0.2">
      <c r="B21" s="61"/>
      <c r="C21" s="284"/>
      <c r="D21" s="285"/>
      <c r="E21" s="286"/>
      <c r="F21" s="62"/>
      <c r="H21" s="315">
        <f>H9*I9+H10*I10+H11*I11+H12*I12+H13*I13+H14*I14+H15*I15+H16*I16+H17*I17+H18*I18+H19*I19+55</f>
        <v>1080</v>
      </c>
      <c r="I21" s="319" t="s">
        <v>76</v>
      </c>
      <c r="J21" s="320"/>
      <c r="K21" s="317">
        <f>K9*L9+K10*L10+K11*L11+K12*L12+K13*L13+K14*L14+K15*L15+K16*L16+K17*L17+K18*L18+K19*L19+25</f>
        <v>485</v>
      </c>
      <c r="L21" s="319" t="s">
        <v>77</v>
      </c>
      <c r="M21" s="320"/>
      <c r="O21" s="11"/>
      <c r="P21" s="304"/>
      <c r="Q21" s="305"/>
      <c r="R21" s="306"/>
    </row>
    <row r="22" spans="2:19" ht="13.5" thickBot="1" x14ac:dyDescent="0.25">
      <c r="B22" s="61"/>
      <c r="C22" s="284"/>
      <c r="D22" s="285"/>
      <c r="E22" s="286"/>
      <c r="F22" s="62"/>
      <c r="H22" s="316"/>
      <c r="I22" s="321"/>
      <c r="J22" s="322"/>
      <c r="K22" s="318"/>
      <c r="L22" s="321"/>
      <c r="M22" s="322"/>
      <c r="O22" s="11"/>
      <c r="P22" s="304"/>
      <c r="Q22" s="305"/>
      <c r="R22" s="306"/>
    </row>
    <row r="23" spans="2:19" ht="13.5" thickBot="1" x14ac:dyDescent="0.25">
      <c r="B23" s="61"/>
      <c r="C23" s="284"/>
      <c r="D23" s="285"/>
      <c r="E23" s="286"/>
      <c r="F23" s="62"/>
      <c r="K23" s="8"/>
      <c r="O23" s="11"/>
      <c r="P23" s="304"/>
      <c r="Q23" s="305"/>
      <c r="R23" s="306"/>
    </row>
    <row r="24" spans="2:19" x14ac:dyDescent="0.2">
      <c r="B24" s="61"/>
      <c r="C24" s="284"/>
      <c r="D24" s="285"/>
      <c r="E24" s="286"/>
      <c r="F24" s="62"/>
      <c r="K24" s="287" t="s">
        <v>78</v>
      </c>
      <c r="L24" s="288"/>
      <c r="M24" s="289"/>
      <c r="O24" s="11"/>
      <c r="P24" s="304"/>
      <c r="Q24" s="305"/>
      <c r="R24" s="306"/>
    </row>
    <row r="25" spans="2:19" ht="13.5" thickBot="1" x14ac:dyDescent="0.25">
      <c r="B25" s="61"/>
      <c r="C25" s="284"/>
      <c r="D25" s="285"/>
      <c r="E25" s="286"/>
      <c r="F25" s="62"/>
      <c r="I25" s="82"/>
      <c r="J25" s="82"/>
      <c r="K25" s="290"/>
      <c r="L25" s="291"/>
      <c r="M25" s="292"/>
      <c r="N25" s="18"/>
      <c r="O25" s="11"/>
      <c r="P25" s="304"/>
      <c r="Q25" s="305"/>
      <c r="R25" s="306"/>
      <c r="S25" s="18"/>
    </row>
    <row r="26" spans="2:19" x14ac:dyDescent="0.2">
      <c r="B26" s="61"/>
      <c r="C26" s="284"/>
      <c r="D26" s="285"/>
      <c r="E26" s="286"/>
      <c r="F26" s="62"/>
      <c r="G26" s="18"/>
      <c r="H26" s="82"/>
      <c r="I26" s="82"/>
      <c r="J26" s="82"/>
      <c r="K26" s="293" t="s">
        <v>182</v>
      </c>
      <c r="L26" s="294"/>
      <c r="M26" s="295"/>
      <c r="N26" s="18"/>
      <c r="O26" s="11"/>
      <c r="P26" s="304"/>
      <c r="Q26" s="305"/>
      <c r="R26" s="306"/>
      <c r="S26" s="18"/>
    </row>
    <row r="27" spans="2:19" ht="12.75" customHeight="1" thickBot="1" x14ac:dyDescent="0.25">
      <c r="B27" s="61"/>
      <c r="C27" s="284"/>
      <c r="D27" s="285"/>
      <c r="E27" s="286"/>
      <c r="F27" s="62"/>
      <c r="G27" s="19"/>
      <c r="I27" s="82"/>
      <c r="J27" s="82"/>
      <c r="K27" s="296"/>
      <c r="L27" s="297"/>
      <c r="M27" s="298"/>
      <c r="N27" s="18"/>
      <c r="O27" s="11"/>
      <c r="P27" s="304"/>
      <c r="Q27" s="305"/>
      <c r="R27" s="306"/>
      <c r="S27" s="18"/>
    </row>
    <row r="28" spans="2:19" ht="12.75" customHeight="1" x14ac:dyDescent="0.2">
      <c r="B28" s="61"/>
      <c r="C28" s="284"/>
      <c r="D28" s="285"/>
      <c r="E28" s="286"/>
      <c r="F28" s="62"/>
      <c r="G28" s="19"/>
      <c r="H28" s="82"/>
      <c r="I28" s="82"/>
      <c r="J28" s="82"/>
      <c r="N28" s="18"/>
      <c r="O28" s="11"/>
      <c r="P28" s="304"/>
      <c r="Q28" s="305"/>
      <c r="R28" s="306"/>
      <c r="S28" s="18"/>
    </row>
    <row r="29" spans="2:19" ht="13.5" customHeight="1" thickBot="1" x14ac:dyDescent="0.25">
      <c r="B29" s="61"/>
      <c r="C29" s="284"/>
      <c r="D29" s="285"/>
      <c r="E29" s="286"/>
      <c r="F29" s="62"/>
      <c r="G29" s="19"/>
      <c r="N29" s="18"/>
      <c r="O29" s="20"/>
      <c r="P29" s="301"/>
      <c r="Q29" s="302"/>
      <c r="R29" s="303"/>
      <c r="S29" s="18"/>
    </row>
    <row r="30" spans="2:19" x14ac:dyDescent="0.2">
      <c r="B30" s="61"/>
      <c r="C30" s="284"/>
      <c r="D30" s="285"/>
      <c r="E30" s="286"/>
      <c r="F30" s="62"/>
      <c r="K30" s="8"/>
    </row>
    <row r="31" spans="2:19" x14ac:dyDescent="0.2">
      <c r="B31" s="61"/>
      <c r="C31" s="284"/>
      <c r="D31" s="285"/>
      <c r="E31" s="286"/>
      <c r="F31" s="62"/>
      <c r="I31" s="82"/>
      <c r="J31" s="82"/>
      <c r="K31" s="8"/>
    </row>
    <row r="32" spans="2:19" x14ac:dyDescent="0.2">
      <c r="B32" s="61"/>
      <c r="C32" s="284"/>
      <c r="D32" s="285"/>
      <c r="E32" s="286"/>
      <c r="F32" s="62"/>
      <c r="H32" s="82"/>
      <c r="I32" s="82"/>
      <c r="J32" s="82"/>
      <c r="K32" s="8"/>
    </row>
    <row r="33" spans="2:11" x14ac:dyDescent="0.2">
      <c r="B33" s="61"/>
      <c r="C33" s="284"/>
      <c r="D33" s="285"/>
      <c r="E33" s="286"/>
      <c r="F33" s="62"/>
      <c r="K33" s="8"/>
    </row>
    <row r="34" spans="2:11" x14ac:dyDescent="0.2">
      <c r="B34" s="61"/>
      <c r="C34" s="284"/>
      <c r="D34" s="285"/>
      <c r="E34" s="286"/>
      <c r="F34" s="62"/>
    </row>
    <row r="35" spans="2:11" x14ac:dyDescent="0.2">
      <c r="B35" s="61"/>
      <c r="C35" s="284"/>
      <c r="D35" s="285"/>
      <c r="E35" s="286"/>
      <c r="F35" s="62"/>
    </row>
    <row r="36" spans="2:11" x14ac:dyDescent="0.2">
      <c r="B36" s="61"/>
      <c r="C36" s="284"/>
      <c r="D36" s="285"/>
      <c r="E36" s="286"/>
      <c r="F36" s="62"/>
      <c r="K36" s="8"/>
    </row>
    <row r="37" spans="2:11" x14ac:dyDescent="0.2">
      <c r="B37" s="61"/>
      <c r="C37" s="284"/>
      <c r="D37" s="285"/>
      <c r="E37" s="286"/>
      <c r="F37" s="62"/>
    </row>
    <row r="38" spans="2:11" x14ac:dyDescent="0.2">
      <c r="B38" s="61"/>
      <c r="C38" s="284"/>
      <c r="D38" s="285"/>
      <c r="E38" s="286"/>
      <c r="F38" s="62"/>
    </row>
    <row r="39" spans="2:11" x14ac:dyDescent="0.2">
      <c r="B39" s="61"/>
      <c r="C39" s="284"/>
      <c r="D39" s="285"/>
      <c r="E39" s="286"/>
      <c r="F39" s="62"/>
    </row>
    <row r="40" spans="2:11" x14ac:dyDescent="0.2">
      <c r="B40" s="61"/>
      <c r="C40" s="284"/>
      <c r="D40" s="285"/>
      <c r="E40" s="286"/>
      <c r="F40" s="62"/>
    </row>
    <row r="41" spans="2:11" x14ac:dyDescent="0.2">
      <c r="B41" s="61"/>
      <c r="C41" s="284"/>
      <c r="D41" s="285"/>
      <c r="E41" s="286"/>
      <c r="F41" s="62"/>
    </row>
    <row r="42" spans="2:11" x14ac:dyDescent="0.2">
      <c r="B42" s="61"/>
      <c r="C42" s="284"/>
      <c r="D42" s="285"/>
      <c r="E42" s="286"/>
      <c r="F42" s="62"/>
    </row>
    <row r="43" spans="2:11" x14ac:dyDescent="0.2">
      <c r="B43" s="61"/>
      <c r="C43" s="284"/>
      <c r="D43" s="285"/>
      <c r="E43" s="286"/>
      <c r="F43" s="62"/>
    </row>
    <row r="44" spans="2:11" x14ac:dyDescent="0.2">
      <c r="B44" s="61"/>
      <c r="C44" s="284"/>
      <c r="D44" s="285"/>
      <c r="E44" s="286"/>
      <c r="F44" s="62"/>
    </row>
    <row r="45" spans="2:11" x14ac:dyDescent="0.2">
      <c r="B45" s="61"/>
      <c r="C45" s="284"/>
      <c r="D45" s="285"/>
      <c r="E45" s="286"/>
      <c r="F45" s="62"/>
    </row>
    <row r="46" spans="2:11" x14ac:dyDescent="0.2">
      <c r="B46" s="61"/>
      <c r="C46" s="284"/>
      <c r="D46" s="285"/>
      <c r="E46" s="286"/>
      <c r="F46" s="62"/>
    </row>
    <row r="47" spans="2:11" x14ac:dyDescent="0.2">
      <c r="B47" s="61"/>
      <c r="C47" s="284"/>
      <c r="D47" s="285"/>
      <c r="E47" s="286"/>
      <c r="F47" s="62"/>
    </row>
    <row r="48" spans="2:11" x14ac:dyDescent="0.2">
      <c r="B48" s="61"/>
      <c r="C48" s="284"/>
      <c r="D48" s="285"/>
      <c r="E48" s="286"/>
      <c r="F48" s="62"/>
    </row>
    <row r="49" spans="2:6" x14ac:dyDescent="0.2">
      <c r="B49" s="61"/>
      <c r="C49" s="284"/>
      <c r="D49" s="285"/>
      <c r="E49" s="286"/>
      <c r="F49" s="62"/>
    </row>
    <row r="50" spans="2:6" x14ac:dyDescent="0.2">
      <c r="B50" s="61"/>
      <c r="C50" s="284"/>
      <c r="D50" s="285"/>
      <c r="E50" s="286"/>
      <c r="F50" s="62"/>
    </row>
    <row r="51" spans="2:6" x14ac:dyDescent="0.2">
      <c r="B51" s="61"/>
      <c r="C51" s="284"/>
      <c r="D51" s="285"/>
      <c r="E51" s="286"/>
      <c r="F51" s="62"/>
    </row>
    <row r="52" spans="2:6" x14ac:dyDescent="0.2">
      <c r="B52" s="61"/>
      <c r="C52" s="284"/>
      <c r="D52" s="285"/>
      <c r="E52" s="286"/>
      <c r="F52" s="62"/>
    </row>
    <row r="53" spans="2:6" x14ac:dyDescent="0.2">
      <c r="B53" s="61"/>
      <c r="C53" s="284"/>
      <c r="D53" s="285"/>
      <c r="E53" s="286"/>
      <c r="F53" s="62"/>
    </row>
    <row r="54" spans="2:6" x14ac:dyDescent="0.2">
      <c r="B54" s="61"/>
      <c r="C54" s="284"/>
      <c r="D54" s="285"/>
      <c r="E54" s="286"/>
      <c r="F54" s="62"/>
    </row>
    <row r="55" spans="2:6" x14ac:dyDescent="0.2">
      <c r="B55" s="61"/>
      <c r="C55" s="284"/>
      <c r="D55" s="285"/>
      <c r="E55" s="286"/>
      <c r="F55" s="62"/>
    </row>
    <row r="56" spans="2:6" x14ac:dyDescent="0.2">
      <c r="B56" s="61"/>
      <c r="C56" s="284"/>
      <c r="D56" s="285"/>
      <c r="E56" s="286"/>
      <c r="F56" s="62"/>
    </row>
    <row r="57" spans="2:6" x14ac:dyDescent="0.2">
      <c r="B57" s="61"/>
      <c r="C57" s="284"/>
      <c r="D57" s="285"/>
      <c r="E57" s="286"/>
      <c r="F57" s="62"/>
    </row>
    <row r="58" spans="2:6" x14ac:dyDescent="0.2">
      <c r="B58" s="61"/>
      <c r="C58" s="284"/>
      <c r="D58" s="285"/>
      <c r="E58" s="286"/>
      <c r="F58" s="62"/>
    </row>
    <row r="59" spans="2:6" x14ac:dyDescent="0.2">
      <c r="B59" s="61"/>
      <c r="C59" s="284"/>
      <c r="D59" s="285"/>
      <c r="E59" s="286"/>
      <c r="F59" s="62"/>
    </row>
    <row r="60" spans="2:6" x14ac:dyDescent="0.2">
      <c r="B60" s="61"/>
      <c r="C60" s="284"/>
      <c r="D60" s="285"/>
      <c r="E60" s="286"/>
      <c r="F60" s="62"/>
    </row>
    <row r="61" spans="2:6" x14ac:dyDescent="0.2">
      <c r="B61" s="61"/>
      <c r="C61" s="284"/>
      <c r="D61" s="285"/>
      <c r="E61" s="286"/>
      <c r="F61" s="62"/>
    </row>
    <row r="62" spans="2:6" x14ac:dyDescent="0.2">
      <c r="B62" s="61"/>
      <c r="C62" s="284"/>
      <c r="D62" s="285"/>
      <c r="E62" s="286"/>
      <c r="F62" s="62"/>
    </row>
    <row r="63" spans="2:6" x14ac:dyDescent="0.2">
      <c r="B63" s="61"/>
      <c r="C63" s="284"/>
      <c r="D63" s="285"/>
      <c r="E63" s="286"/>
      <c r="F63" s="62"/>
    </row>
    <row r="64" spans="2:6" x14ac:dyDescent="0.2">
      <c r="B64" s="61"/>
      <c r="C64" s="284"/>
      <c r="D64" s="285"/>
      <c r="E64" s="286"/>
      <c r="F64" s="62"/>
    </row>
    <row r="65" spans="2:6" x14ac:dyDescent="0.2">
      <c r="B65" s="61"/>
      <c r="C65" s="284"/>
      <c r="D65" s="285"/>
      <c r="E65" s="286"/>
      <c r="F65" s="62"/>
    </row>
    <row r="66" spans="2:6" x14ac:dyDescent="0.2">
      <c r="B66" s="61"/>
      <c r="C66" s="284"/>
      <c r="D66" s="285"/>
      <c r="E66" s="286"/>
      <c r="F66" s="62"/>
    </row>
    <row r="67" spans="2:6" x14ac:dyDescent="0.2">
      <c r="B67" s="61"/>
      <c r="C67" s="284"/>
      <c r="D67" s="285"/>
      <c r="E67" s="286"/>
      <c r="F67" s="62"/>
    </row>
    <row r="68" spans="2:6" x14ac:dyDescent="0.2">
      <c r="B68" s="61"/>
      <c r="C68" s="284"/>
      <c r="D68" s="285"/>
      <c r="E68" s="286"/>
      <c r="F68" s="62"/>
    </row>
    <row r="69" spans="2:6" x14ac:dyDescent="0.2">
      <c r="B69" s="61"/>
      <c r="C69" s="284"/>
      <c r="D69" s="285"/>
      <c r="E69" s="286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23" workbookViewId="0">
      <selection activeCell="R39" sqref="R39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2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4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",P3))</f>
        <v>Nästa vikt: 80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0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7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8" hidden="1" customWidth="1"/>
    <col min="10" max="10" width="6.28515625" style="118" hidden="1" customWidth="1"/>
    <col min="11" max="11" width="5.28515625" style="128" customWidth="1"/>
    <col min="12" max="14" width="7.5703125" style="189" customWidth="1"/>
    <col min="15" max="15" width="7.5703125" style="128" hidden="1" customWidth="1"/>
    <col min="16" max="16" width="5.28515625" style="190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1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3" hidden="1" customWidth="1"/>
    <col min="44" max="47" width="9.140625" style="118" hidden="1" customWidth="1"/>
    <col min="48" max="48" width="20" style="184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6" hidden="1" customWidth="1"/>
    <col min="68" max="68" width="9.140625" style="118" hidden="1" customWidth="1"/>
    <col min="69" max="71" width="6.85546875" style="118" hidden="1" customWidth="1"/>
    <col min="72" max="72" width="11.5703125" style="186" hidden="1" customWidth="1"/>
    <col min="73" max="73" width="9.140625" style="118" hidden="1" customWidth="1"/>
    <col min="74" max="76" width="6.85546875" style="118" hidden="1" customWidth="1"/>
    <col min="77" max="78" width="11.5703125" style="186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51" t="s">
        <v>267</v>
      </c>
      <c r="B1" s="352"/>
      <c r="C1" s="352"/>
      <c r="D1" s="352"/>
      <c r="E1" s="352"/>
      <c r="F1" s="352"/>
      <c r="G1" s="352"/>
      <c r="H1" s="105"/>
      <c r="I1" s="106"/>
      <c r="J1" s="105"/>
      <c r="K1" s="107"/>
      <c r="L1" s="108"/>
      <c r="M1" s="108"/>
      <c r="N1" s="108"/>
      <c r="O1" s="107"/>
      <c r="P1" s="109"/>
      <c r="Q1" s="279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3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58" t="str">
        <f ca="1">CONCATENATE("Class ",INDIRECT(ADDRESS(AY5,6))," kg")</f>
        <v>Class 84 kg</v>
      </c>
      <c r="B2" s="359"/>
      <c r="C2" s="363">
        <f ca="1">INDIRECT(AY4)</f>
        <v>70</v>
      </c>
      <c r="D2" s="364"/>
      <c r="E2" s="364"/>
      <c r="F2" s="364" t="s">
        <v>122</v>
      </c>
      <c r="G2" s="364"/>
      <c r="H2" s="105"/>
      <c r="I2" s="106"/>
      <c r="J2" s="105"/>
      <c r="K2" s="107"/>
      <c r="L2" s="108"/>
      <c r="M2" s="108"/>
      <c r="N2" s="108"/>
      <c r="O2" s="107"/>
      <c r="P2" s="109"/>
      <c r="Q2" s="279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55" t="str">
        <f ca="1">INDIRECT(CONCATENATE("Setup!C",MATCH(INDIRECT(ADDRESS(AY5,4)),Setup!B:B,0)))</f>
        <v>Best Lifter Women</v>
      </c>
      <c r="B3" s="355"/>
      <c r="C3" s="365"/>
      <c r="D3" s="366"/>
      <c r="E3" s="366"/>
      <c r="F3" s="367"/>
      <c r="G3" s="366"/>
      <c r="H3" s="105"/>
      <c r="I3" s="106"/>
      <c r="J3" s="105"/>
      <c r="K3" s="107"/>
      <c r="L3" s="108"/>
      <c r="M3" s="108"/>
      <c r="N3" s="108"/>
      <c r="O3" s="107"/>
      <c r="P3" s="109"/>
      <c r="Q3" s="279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56" t="str">
        <f ca="1">OFFSET(Setup!P1,MATCH(INDIRECT(ADDRESS(AY5,3)),Setup!O:O,0)-1,0)</f>
        <v>Sommarhemmets KS</v>
      </c>
      <c r="B4" s="357"/>
      <c r="C4" s="360" t="s">
        <v>32</v>
      </c>
      <c r="D4" s="361"/>
      <c r="E4" s="362"/>
      <c r="F4" s="282" t="s">
        <v>380</v>
      </c>
      <c r="G4" s="283">
        <f ca="1">IF(LEFT(C4,1)="S",INDIRECT(ADDRESS(AY5,11)),IF(LEFT(C4,1)="B",INDIRECT(ADDRESS(AY5,16)),""))</f>
        <v>9</v>
      </c>
      <c r="H4" s="105"/>
      <c r="I4" s="106"/>
      <c r="J4" s="105"/>
      <c r="K4" s="107"/>
      <c r="L4" s="108"/>
      <c r="M4" s="108"/>
      <c r="N4" s="108"/>
      <c r="O4" s="107"/>
      <c r="P4" s="109"/>
      <c r="Q4" s="279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53" t="s">
        <v>160</v>
      </c>
      <c r="B5" s="354"/>
      <c r="C5" s="280"/>
      <c r="D5" s="281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9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0.62380949073849479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42"/>
      <c r="E6" s="142"/>
      <c r="F6" s="138"/>
      <c r="G6" s="139"/>
      <c r="H6" s="140"/>
      <c r="I6" s="141"/>
      <c r="J6" s="140"/>
      <c r="K6" s="142"/>
      <c r="L6" s="143"/>
      <c r="M6" s="143"/>
      <c r="N6" s="143"/>
      <c r="O6" s="142"/>
      <c r="P6" s="144"/>
      <c r="Q6" s="142"/>
      <c r="R6" s="142"/>
      <c r="S6" s="142"/>
      <c r="T6" s="142"/>
      <c r="U6" s="142"/>
      <c r="V6" s="142"/>
      <c r="W6" s="145"/>
      <c r="X6" s="146"/>
      <c r="Y6" s="147"/>
      <c r="Z6" s="142"/>
      <c r="AA6" s="142"/>
      <c r="AB6" s="142"/>
      <c r="AC6" s="142"/>
      <c r="AD6" s="142"/>
      <c r="AE6" s="140"/>
      <c r="AF6" s="140"/>
      <c r="AG6" s="140"/>
      <c r="AH6" s="148"/>
      <c r="AI6" s="142"/>
      <c r="AJ6" s="142"/>
      <c r="AK6" s="142"/>
      <c r="AL6" s="142"/>
      <c r="AM6" s="140"/>
      <c r="AN6" s="149"/>
      <c r="AO6" s="149"/>
      <c r="AP6" s="149"/>
      <c r="AQ6" s="149"/>
      <c r="AR6" s="140"/>
      <c r="AS6" s="140"/>
      <c r="AT6" s="150" t="s">
        <v>131</v>
      </c>
      <c r="AU6" s="151" t="s">
        <v>119</v>
      </c>
      <c r="AV6" s="152" t="str">
        <f>CONCATENATE("AV9:AV",BF6)</f>
        <v>AV9:AV56</v>
      </c>
      <c r="AW6" s="153" t="s">
        <v>2</v>
      </c>
      <c r="AX6" s="142" t="s">
        <v>48</v>
      </c>
      <c r="AY6" s="140"/>
      <c r="AZ6" s="151"/>
      <c r="BA6" s="151">
        <f ca="1">COUNTIF(INDIRECT(BF4),AZ5)+8</f>
        <v>17</v>
      </c>
      <c r="BB6" s="153">
        <v>56</v>
      </c>
      <c r="BC6" s="154" t="s">
        <v>59</v>
      </c>
      <c r="BD6" s="151">
        <f ca="1">MATCH(A1,INDIRECT(AS2),0)+8</f>
        <v>9</v>
      </c>
      <c r="BE6" s="142">
        <f ca="1">COUNTIF(INDIRECT(BF4),BE4)+BE5-1</f>
        <v>28</v>
      </c>
      <c r="BF6" s="151">
        <f>COUNTA($BL:$BL)</f>
        <v>56</v>
      </c>
      <c r="BG6" s="151">
        <f ca="1">COUNTIF(A:A,INDIRECT(ADDRESS(BG5,1)))+BG5-1</f>
        <v>56</v>
      </c>
      <c r="BH6" s="140"/>
      <c r="BI6" s="140"/>
      <c r="BJ6" s="140"/>
      <c r="BK6" s="140"/>
      <c r="BL6" s="140">
        <v>1</v>
      </c>
      <c r="BM6" s="140"/>
      <c r="BN6" s="140"/>
      <c r="BO6" s="155"/>
      <c r="BP6" s="140"/>
      <c r="BQ6" s="140"/>
      <c r="BR6" s="140"/>
      <c r="BS6" s="140"/>
      <c r="BT6" s="155"/>
      <c r="BU6" s="140"/>
      <c r="BV6" s="140"/>
      <c r="BW6" s="140"/>
      <c r="BX6" s="140"/>
      <c r="BY6" s="155"/>
      <c r="BZ6" s="155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</row>
    <row r="7" spans="1:125" s="159" customFormat="1" ht="27" customHeight="1" x14ac:dyDescent="0.2">
      <c r="A7" s="156" t="s">
        <v>331</v>
      </c>
      <c r="B7" s="157" t="s">
        <v>0</v>
      </c>
      <c r="C7" s="158" t="s">
        <v>41</v>
      </c>
      <c r="D7" s="158" t="s">
        <v>2</v>
      </c>
      <c r="E7" s="158" t="str">
        <f>'Weigh-In'!E2</f>
        <v>Bwt (kg)</v>
      </c>
      <c r="F7" s="158" t="str">
        <f>IF(E7="Bwt (lb)","WtCls (lb)","WtCls (kg)")</f>
        <v>WtCls (kg)</v>
      </c>
      <c r="G7" s="158" t="s">
        <v>1</v>
      </c>
      <c r="H7" s="159" t="s">
        <v>5</v>
      </c>
      <c r="I7" s="160" t="s">
        <v>187</v>
      </c>
      <c r="J7" s="158" t="s">
        <v>4</v>
      </c>
      <c r="K7" s="158" t="s">
        <v>8</v>
      </c>
      <c r="L7" s="158" t="s">
        <v>9</v>
      </c>
      <c r="M7" s="158" t="s">
        <v>10</v>
      </c>
      <c r="N7" s="158" t="s">
        <v>11</v>
      </c>
      <c r="O7" s="158" t="s">
        <v>12</v>
      </c>
      <c r="P7" s="161" t="s">
        <v>13</v>
      </c>
      <c r="Q7" s="158" t="s">
        <v>14</v>
      </c>
      <c r="R7" s="158" t="s">
        <v>15</v>
      </c>
      <c r="S7" s="158" t="s">
        <v>16</v>
      </c>
      <c r="T7" s="158" t="s">
        <v>21</v>
      </c>
      <c r="U7" s="158" t="s">
        <v>17</v>
      </c>
      <c r="V7" s="158" t="s">
        <v>18</v>
      </c>
      <c r="W7" s="162" t="s">
        <v>19</v>
      </c>
      <c r="X7" s="158" t="s">
        <v>20</v>
      </c>
      <c r="Y7" s="163" t="s">
        <v>22</v>
      </c>
      <c r="Z7" s="156" t="s">
        <v>127</v>
      </c>
      <c r="AA7" s="158" t="s">
        <v>186</v>
      </c>
      <c r="AB7" s="158" t="s">
        <v>185</v>
      </c>
      <c r="AC7" s="158" t="s">
        <v>26</v>
      </c>
      <c r="AD7" s="164" t="s">
        <v>133</v>
      </c>
      <c r="AE7" s="158" t="s">
        <v>27</v>
      </c>
      <c r="AG7" s="159">
        <v>1</v>
      </c>
      <c r="AH7" s="165" t="s">
        <v>114</v>
      </c>
      <c r="AI7" s="158" t="s">
        <v>115</v>
      </c>
      <c r="AJ7" s="158" t="s">
        <v>151</v>
      </c>
      <c r="AK7" s="158" t="s">
        <v>152</v>
      </c>
      <c r="AL7" s="158" t="s">
        <v>140</v>
      </c>
      <c r="AN7" s="166" t="s">
        <v>153</v>
      </c>
      <c r="AO7" s="166" t="s">
        <v>154</v>
      </c>
      <c r="AP7" s="166" t="s">
        <v>155</v>
      </c>
      <c r="AQ7" s="166" t="s">
        <v>156</v>
      </c>
      <c r="AU7" s="166" t="str">
        <f ca="1">OFFSET(AU1,MATCH(Z7,AT2:AT6,0),0)</f>
        <v>PL</v>
      </c>
      <c r="AW7" s="166"/>
      <c r="AX7" s="167"/>
      <c r="AY7" s="167"/>
      <c r="AZ7" s="167"/>
      <c r="BA7" s="168" t="s">
        <v>150</v>
      </c>
      <c r="BB7" s="158" t="s">
        <v>53</v>
      </c>
      <c r="BL7" s="158" t="s">
        <v>9</v>
      </c>
      <c r="BM7" s="158" t="s">
        <v>10</v>
      </c>
      <c r="BN7" s="158" t="s">
        <v>11</v>
      </c>
      <c r="BO7" s="169" t="s">
        <v>28</v>
      </c>
      <c r="BP7" s="158" t="s">
        <v>13</v>
      </c>
      <c r="BQ7" s="158" t="s">
        <v>14</v>
      </c>
      <c r="BR7" s="158" t="s">
        <v>15</v>
      </c>
      <c r="BS7" s="158" t="s">
        <v>16</v>
      </c>
      <c r="BT7" s="169" t="s">
        <v>29</v>
      </c>
      <c r="BU7" s="158" t="s">
        <v>17</v>
      </c>
      <c r="BV7" s="158" t="s">
        <v>18</v>
      </c>
      <c r="BW7" s="158" t="s">
        <v>19</v>
      </c>
      <c r="BX7" s="158" t="s">
        <v>20</v>
      </c>
      <c r="BY7" s="169" t="s">
        <v>30</v>
      </c>
      <c r="BZ7" s="169" t="s">
        <v>157</v>
      </c>
      <c r="CA7" s="159" t="s">
        <v>163</v>
      </c>
    </row>
    <row r="8" spans="1:125" ht="19.5" hidden="1" customHeight="1" x14ac:dyDescent="0.2">
      <c r="A8" s="170"/>
      <c r="B8" s="171" t="s">
        <v>110</v>
      </c>
      <c r="C8" s="171"/>
      <c r="D8" s="172"/>
      <c r="E8" s="172">
        <v>0</v>
      </c>
      <c r="F8" s="172" t="e">
        <f>IF(LEFT(D8,1)="M",VLOOKUP(IF($E$7="Bwt (kg)",E8,E8/2.2046),Lists!$B$16:$D$24,IF(ISERROR(FIND("J",D8)),3,2)),VLOOKUP(IF($E$7="Bwt (kg)",E8,E8/2.2046),Lists!$B$26:$D$33,IF(ISERROR(FIND("J",D8)),3,2)))</f>
        <v>#N/A</v>
      </c>
      <c r="G8" s="172">
        <v>0</v>
      </c>
      <c r="H8" s="173">
        <f>IF(AND(VALUE(E8)&gt;0,OR(LEFT(D8,1)="M",LEFT(D8,1)="F")),IF(LEFT(D8,1)="M",Wilks_Men(IF(RIGHT($F$7,4)="(lb)",E8/2.2046,E8)),Wilks_Women(IF(RIGHT($F$7,4)="(lb)",E8/2.2046,E8))),0)</f>
        <v>0</v>
      </c>
      <c r="I8" s="174">
        <v>0</v>
      </c>
      <c r="J8" s="128">
        <f ca="1">IF(I8,VLOOKUP(INT((NOW()-I8)/365.25),DATA!$A$2:$B$53,2,TRUE),0)</f>
        <v>0</v>
      </c>
      <c r="K8" s="172"/>
      <c r="L8" s="175">
        <v>0</v>
      </c>
      <c r="M8" s="175"/>
      <c r="N8" s="175"/>
      <c r="O8" s="176">
        <f t="shared" ref="O8" si="1">IF(MAX(BL8:BN8)&gt;0,MAX(ABS(L8)*BL8,ABS(M8)*BM8,ABS(N8)*BN8),0)</f>
        <v>0</v>
      </c>
      <c r="P8" s="177"/>
      <c r="Q8" s="170">
        <v>0</v>
      </c>
      <c r="R8" s="170"/>
      <c r="S8" s="170"/>
      <c r="T8" s="176">
        <f t="shared" ref="T8" si="2">IF(MAX(BQ8:BS8)&gt;0,MAX(ABS(Q8)*BQ8,ABS(R8)*BR8,ABS(S8)*BS8),0)</f>
        <v>0</v>
      </c>
      <c r="U8" s="176">
        <f t="shared" ref="U8" si="3">IF(OR(O8=0,T8=0),0,O8+T8)</f>
        <v>0</v>
      </c>
      <c r="V8" s="170">
        <v>0</v>
      </c>
      <c r="W8" s="178"/>
      <c r="X8" s="170"/>
      <c r="Y8" s="179">
        <f t="shared" ref="Y8" si="4">IF(MAX(BV8:BX8)&gt;0,MAX(ABS(V8)*BV8,ABS(W8)*BW8,ABS(X8)*BX8),0)</f>
        <v>0</v>
      </c>
      <c r="Z8" s="176">
        <f t="shared" ref="Z8" ca="1" si="5">AU8*IF($AU$7="SQ",O8,IF($AU$7="BP",T8,IF($AU$7="DL",Y8,IF($AU$7="PP",IF(OR(T8=0,Y8=0),0,T8+Y8),IF(OR($U8=0,$Y8=0),0,$O8+$T8+$Y8)))))</f>
        <v>0</v>
      </c>
      <c r="AA8" s="180">
        <f t="shared" ref="AA8" ca="1" si="6">IF($E$2="Lb",Z8*H8/2.2046,Z8*H8)</f>
        <v>0</v>
      </c>
      <c r="AB8" s="180">
        <f t="shared" ref="AB8" ca="1" si="7">IF(AND(I8&gt;23,I8&lt;40),0,AA8*J8)</f>
        <v>0</v>
      </c>
      <c r="AC8" s="170" t="e">
        <f ca="1">OFFSET(Setup!$F$1,MATCH(D8,INDIRECT("Setup!B1:B100"),0)-1,0)</f>
        <v>#N/A</v>
      </c>
      <c r="AD8" s="181" t="str">
        <f t="shared" ref="AD8" ca="1" si="8">IF(OR(Z8=0,AU8=0,AH8=0),"",CONCATENATE(AL8,"-",D8,IF(AC8&gt;1,"","-"),IF(AC8&gt;1,"",F8),"-",$AU$7))</f>
        <v/>
      </c>
      <c r="AE8" s="172"/>
      <c r="AH8" s="182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3">
        <f t="shared" ref="AN8" ca="1" si="13">RANK(Z8,INDIRECT("Z1:Z200"),-1)</f>
        <v>1</v>
      </c>
      <c r="AO8" s="183">
        <f t="shared" ref="AO8" si="14">E8</f>
        <v>0</v>
      </c>
      <c r="AP8" s="183">
        <f t="shared" ref="AP8" ca="1" si="15">RANK(AO8,INDIRECT("AO1:AO200"))</f>
        <v>49</v>
      </c>
      <c r="AQ8" s="183">
        <f t="shared" ref="AQ8" ca="1" si="16">RANK(BZ8,INDIRECT("BZ:BZ"),-1)</f>
        <v>1</v>
      </c>
      <c r="AU8" s="183">
        <f t="shared" ref="AU8" ca="1" si="17">IF(ISERROR(FIND($AU$7,AE8)),0,1)</f>
        <v>0</v>
      </c>
      <c r="AW8" s="183"/>
      <c r="AX8" s="185"/>
      <c r="AY8" s="185"/>
      <c r="AZ8" s="185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6">
        <f>IF(BX8=1,3,IF(BW8=1,2,IF(BV8=1,1,0)))</f>
        <v>0</v>
      </c>
      <c r="BZ8" s="186">
        <f t="shared" ref="BZ8" ca="1" si="20">IF($AU$7="SQ",BO8,IF($AU$7="BP",BT8,BY8))</f>
        <v>0</v>
      </c>
    </row>
    <row r="9" spans="1:125" ht="19.5" customHeight="1" x14ac:dyDescent="0.2">
      <c r="A9" s="170" t="s">
        <v>24</v>
      </c>
      <c r="B9" s="171" t="s">
        <v>267</v>
      </c>
      <c r="C9" s="171" t="s">
        <v>213</v>
      </c>
      <c r="D9" s="172" t="s">
        <v>224</v>
      </c>
      <c r="E9" s="172">
        <v>73.75</v>
      </c>
      <c r="F9" s="172">
        <f>IF(LEFT(D9,1)="M",VLOOKUP(IF($E$7="Bwt (kg)",E9,E9/2.2046),Lists!$B$16:$D$24,IF(ISERROR(FIND("J",D9)),3,2)),VLOOKUP(IF($E$7="Bwt (kg)",E9,E9/2.2046),Lists!$B$26:$D$33,IF(ISERROR(FIND("J",D9)),3,2)))</f>
        <v>84</v>
      </c>
      <c r="G9" s="172">
        <v>42</v>
      </c>
      <c r="H9" s="173">
        <f>IF(AND(VALUE(E9)&gt;0,OR(LEFT(D9,1)="M",LEFT(D9,1)="F")),IF(LEFT(D9,1)="M",Wilks_Men(IF(RIGHT($F$7,4)="(lb)",E9/2.2046,E9)),Wilks_Women(IF(RIGHT($F$7,4)="(lb)",E9/2.2046,E9))),0)</f>
        <v>0.96079999208450317</v>
      </c>
      <c r="I9" s="251">
        <v>30295</v>
      </c>
      <c r="J9" s="128">
        <f ca="1">IF(I9,VLOOKUP(INT((NOW()-I9)/365.25),DATA!$A$2:$B$53,2,TRUE),0)</f>
        <v>1</v>
      </c>
      <c r="K9" s="172">
        <v>9</v>
      </c>
      <c r="L9" s="253">
        <v>70</v>
      </c>
      <c r="M9" s="253">
        <v>75</v>
      </c>
      <c r="N9" s="256">
        <v>-90</v>
      </c>
      <c r="O9" s="176">
        <f t="shared" ref="O9:O56" si="21">IF(MAX(BL9:BN9)&gt;0,MAX(ABS(L9)*BL9,ABS(M9)*BM9,ABS(N9)*BN9),0)</f>
        <v>75</v>
      </c>
      <c r="P9" s="177" t="s">
        <v>268</v>
      </c>
      <c r="Q9" s="253">
        <v>50</v>
      </c>
      <c r="R9" s="256">
        <v>-60</v>
      </c>
      <c r="S9" s="253">
        <v>60</v>
      </c>
      <c r="T9" s="176">
        <f t="shared" ref="T9:T56" si="22">IF(MAX(BQ9:BS9)&gt;0,MAX(ABS(Q9)*BQ9,ABS(R9)*BR9,ABS(S9)*BS9),0)</f>
        <v>60</v>
      </c>
      <c r="U9" s="176">
        <f t="shared" ref="U9:U56" si="23">IF(OR(O9=0,T9=0),0,O9+T9)</f>
        <v>135</v>
      </c>
      <c r="V9" s="253">
        <v>100</v>
      </c>
      <c r="W9" s="259">
        <v>105</v>
      </c>
      <c r="X9" s="253">
        <v>110</v>
      </c>
      <c r="Y9" s="179">
        <f t="shared" ref="Y9:Y56" si="24">IF(MAX(BV9:BX9)&gt;0,MAX(ABS(V9)*BV9,ABS(W9)*BW9,ABS(X9)*BX9),0)</f>
        <v>110</v>
      </c>
      <c r="Z9" s="176">
        <f t="shared" ref="Z9:Z56" ca="1" si="25">AU9*IF($AU$7="SQ",O9,IF($AU$7="BP",T9,IF($AU$7="DL",Y9,IF($AU$7="PP",IF(OR(T9=0,Y9=0),0,T9+Y9),IF(OR($U9=0,$Y9=0),0,$O9+$T9+$Y9)))))</f>
        <v>245</v>
      </c>
      <c r="AA9" s="180">
        <f t="shared" ref="AA9:AA56" ca="1" si="26">IF($E$2="Lb",Z9*H9/2.2046,Z9*H9)</f>
        <v>235.39599806070328</v>
      </c>
      <c r="AB9" s="180">
        <f t="shared" ref="AB9:AB56" ca="1" si="27">IF(AND(I9&gt;23,I9&lt;40),0,AA9*J9)</f>
        <v>235.39599806070328</v>
      </c>
      <c r="AC9" s="170">
        <f ca="1">OFFSET(Setup!$F$1,MATCH(D9,INDIRECT("Setup!B1:B100"),0)-1,0)</f>
        <v>2</v>
      </c>
      <c r="AD9" s="181" t="str">
        <f t="shared" ref="AD9:AD56" ca="1" si="28">IF(OR(Z9=0,AU9=0,AH9=0),"",CONCATENATE(AL9,"-",D9,IF(AC9&gt;1,"","-"),IF(AC9&gt;1,"",F9),"-",$AU$7))</f>
        <v>9-F-BL-PL</v>
      </c>
      <c r="AE9" s="172" t="s">
        <v>109</v>
      </c>
      <c r="AH9" s="182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3">
        <f t="shared" ref="AN9:AN56" ca="1" si="33">RANK(Z9,INDIRECT("Z1:Z200"),-1)</f>
        <v>11</v>
      </c>
      <c r="AO9" s="183">
        <f t="shared" ref="AO9:AO56" si="34">E9</f>
        <v>73.75</v>
      </c>
      <c r="AP9" s="183">
        <f t="shared" ref="AP9:AP56" ca="1" si="35">RANK(AO9,INDIRECT("AO1:AO200"))</f>
        <v>39</v>
      </c>
      <c r="AQ9" s="183">
        <f t="shared" ref="AQ9:AQ56" ca="1" si="36">RANK(BZ9,INDIRECT("BZ:BZ"),-1)</f>
        <v>16</v>
      </c>
      <c r="AU9" s="183">
        <f t="shared" ref="AU9:AU56" ca="1" si="37">IF(ISERROR(FIND($AU$7,AE9)),0,1)</f>
        <v>1</v>
      </c>
      <c r="AW9" s="183"/>
      <c r="AX9" s="185"/>
      <c r="AY9" s="185"/>
      <c r="AZ9" s="185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6">
        <v>43050.914236111108</v>
      </c>
      <c r="BQ9" s="118">
        <v>1</v>
      </c>
      <c r="BR9" s="118">
        <v>-1</v>
      </c>
      <c r="BS9" s="118">
        <v>1</v>
      </c>
      <c r="BT9" s="186">
        <v>43050.520185185182</v>
      </c>
      <c r="BV9" s="118">
        <v>1</v>
      </c>
      <c r="BW9" s="118">
        <v>1</v>
      </c>
      <c r="BX9" s="118">
        <v>1</v>
      </c>
      <c r="BY9" s="186">
        <v>43050.565138888887</v>
      </c>
      <c r="BZ9" s="186">
        <f t="shared" ref="BZ9:BZ56" ca="1" si="40">IF($AU$7="SQ",BO9,IF($AU$7="BP",BT9,BY9))</f>
        <v>43050.565138888887</v>
      </c>
      <c r="CA9" s="254">
        <v>0.91493055555555547</v>
      </c>
    </row>
    <row r="10" spans="1:125" ht="19.5" customHeight="1" x14ac:dyDescent="0.2">
      <c r="A10" s="170" t="s">
        <v>24</v>
      </c>
      <c r="B10" s="171" t="s">
        <v>265</v>
      </c>
      <c r="C10" s="171" t="s">
        <v>213</v>
      </c>
      <c r="D10" s="172" t="s">
        <v>224</v>
      </c>
      <c r="E10" s="172">
        <v>57</v>
      </c>
      <c r="F10" s="172">
        <f>IF(LEFT(D10,1)="M",VLOOKUP(IF($E$7="Bwt (kg)",E10,E10/2.2046),Lists!$B$16:$D$24,IF(ISERROR(FIND("J",D10)),3,2)),VLOOKUP(IF($E$7="Bwt (kg)",E10,E10/2.2046),Lists!$B$26:$D$33,IF(ISERROR(FIND("J",D10)),3,2)))</f>
        <v>57</v>
      </c>
      <c r="G10" s="172">
        <v>25</v>
      </c>
      <c r="H10" s="173">
        <f>IF(AND(VALUE(E10)&gt;0,OR(LEFT(D10,1)="M",LEFT(D10,1)="F")),IF(LEFT(D10,1)="M",Wilks_Men(IF(RIGHT($F$7,4)="(lb)",E10/2.2046,E10)),Wilks_Women(IF(RIGHT($F$7,4)="(lb)",E10/2.2046,E10))),0)</f>
        <v>1.1604000329971313</v>
      </c>
      <c r="I10" s="251">
        <v>36753</v>
      </c>
      <c r="J10" s="128">
        <f ca="1">IF(I10,VLOOKUP(INT((NOW()-I10)/365.25),DATA!$A$2:$B$53,2,TRUE),0)</f>
        <v>1.08</v>
      </c>
      <c r="K10" s="172">
        <v>6</v>
      </c>
      <c r="L10" s="253">
        <v>80</v>
      </c>
      <c r="M10" s="253">
        <v>85</v>
      </c>
      <c r="N10" s="253">
        <v>92.5</v>
      </c>
      <c r="O10" s="176">
        <f t="shared" si="21"/>
        <v>92.5</v>
      </c>
      <c r="P10" s="177" t="s">
        <v>266</v>
      </c>
      <c r="Q10" s="253">
        <v>70</v>
      </c>
      <c r="R10" s="253">
        <v>75</v>
      </c>
      <c r="S10" s="253">
        <v>80</v>
      </c>
      <c r="T10" s="176">
        <f t="shared" si="22"/>
        <v>80</v>
      </c>
      <c r="U10" s="176">
        <f t="shared" si="23"/>
        <v>172.5</v>
      </c>
      <c r="V10" s="253">
        <v>80</v>
      </c>
      <c r="W10" s="259">
        <v>85</v>
      </c>
      <c r="X10" s="253">
        <v>92.5</v>
      </c>
      <c r="Y10" s="179">
        <f t="shared" si="24"/>
        <v>92.5</v>
      </c>
      <c r="Z10" s="176">
        <f t="shared" ca="1" si="25"/>
        <v>265</v>
      </c>
      <c r="AA10" s="180">
        <f t="shared" ca="1" si="26"/>
        <v>307.50600874423981</v>
      </c>
      <c r="AB10" s="180">
        <f t="shared" ca="1" si="27"/>
        <v>332.10648944377903</v>
      </c>
      <c r="AC10" s="170">
        <f ca="1">OFFSET(Setup!$F$1,MATCH(D10,INDIRECT("Setup!B1:B100"),0)-1,0)</f>
        <v>2</v>
      </c>
      <c r="AD10" s="181" t="str">
        <f t="shared" ca="1" si="28"/>
        <v>5-F-BL-PL</v>
      </c>
      <c r="AE10" s="172" t="s">
        <v>109</v>
      </c>
      <c r="AH10" s="182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3">
        <f t="shared" ca="1" si="33"/>
        <v>12</v>
      </c>
      <c r="AO10" s="183">
        <f t="shared" si="34"/>
        <v>57</v>
      </c>
      <c r="AP10" s="183">
        <f t="shared" ca="1" si="35"/>
        <v>47</v>
      </c>
      <c r="AQ10" s="183">
        <f t="shared" ca="1" si="36"/>
        <v>15</v>
      </c>
      <c r="AU10" s="183">
        <f t="shared" ca="1" si="37"/>
        <v>1</v>
      </c>
      <c r="AW10" s="183"/>
      <c r="AX10" s="185"/>
      <c r="AY10" s="185"/>
      <c r="AZ10" s="185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6">
        <v>43050.471180555556</v>
      </c>
      <c r="BQ10" s="118">
        <v>1</v>
      </c>
      <c r="BR10" s="118">
        <v>1</v>
      </c>
      <c r="BS10" s="118">
        <v>1</v>
      </c>
      <c r="BT10" s="186">
        <v>43050.523460648146</v>
      </c>
      <c r="BV10" s="118">
        <v>1</v>
      </c>
      <c r="BW10" s="118">
        <v>1</v>
      </c>
      <c r="BX10" s="118">
        <v>1</v>
      </c>
      <c r="BY10" s="186">
        <v>43050.564432870371</v>
      </c>
      <c r="BZ10" s="186">
        <f t="shared" ca="1" si="40"/>
        <v>43050.564432870371</v>
      </c>
      <c r="CA10" s="254">
        <v>0.56512731481481482</v>
      </c>
    </row>
    <row r="11" spans="1:125" ht="19.5" customHeight="1" x14ac:dyDescent="0.2">
      <c r="A11" s="170" t="s">
        <v>24</v>
      </c>
      <c r="B11" s="171" t="s">
        <v>276</v>
      </c>
      <c r="C11" s="171" t="s">
        <v>211</v>
      </c>
      <c r="D11" s="172" t="s">
        <v>224</v>
      </c>
      <c r="E11" s="172">
        <v>69.849999999999994</v>
      </c>
      <c r="F11" s="172">
        <f>IF(LEFT(D11,1)="M",VLOOKUP(IF($E$7="Bwt (kg)",E11,E11/2.2046),Lists!$B$16:$D$24,IF(ISERROR(FIND("J",D11)),3,2)),VLOOKUP(IF($E$7="Bwt (kg)",E11,E11/2.2046),Lists!$B$26:$D$33,IF(ISERROR(FIND("J",D11)),3,2)))</f>
        <v>72</v>
      </c>
      <c r="G11" s="172">
        <v>34</v>
      </c>
      <c r="H11" s="173">
        <f>IF(AND(VALUE(E11)&gt;0,OR(LEFT(D11,1)="M",LEFT(D11,1)="F")),IF(LEFT(D11,1)="M",Wilks_Men(IF(RIGHT($F$7,4)="(lb)",E11/2.2046,E11)),Wilks_Women(IF(RIGHT($F$7,4)="(lb)",E11/2.2046,E11))),0)</f>
        <v>0.99629998207092285</v>
      </c>
      <c r="I11" s="251">
        <v>32664</v>
      </c>
      <c r="J11" s="128">
        <f ca="1">IF(I11,VLOOKUP(INT((NOW()-I11)/365.25),DATA!$A$2:$B$53,2,TRUE),0)</f>
        <v>1</v>
      </c>
      <c r="K11" s="172">
        <v>7</v>
      </c>
      <c r="L11" s="253">
        <v>80</v>
      </c>
      <c r="M11" s="253">
        <v>90</v>
      </c>
      <c r="N11" s="175"/>
      <c r="O11" s="176">
        <f t="shared" si="21"/>
        <v>90</v>
      </c>
      <c r="P11" s="177" t="s">
        <v>277</v>
      </c>
      <c r="Q11" s="256">
        <v>-57.5</v>
      </c>
      <c r="R11" s="253">
        <v>57.5</v>
      </c>
      <c r="S11" s="256">
        <v>-62.5</v>
      </c>
      <c r="T11" s="176">
        <f t="shared" si="22"/>
        <v>57.5</v>
      </c>
      <c r="U11" s="176">
        <f t="shared" si="23"/>
        <v>147.5</v>
      </c>
      <c r="V11" s="253">
        <v>115</v>
      </c>
      <c r="W11" s="259">
        <v>130</v>
      </c>
      <c r="X11" s="256">
        <v>-140</v>
      </c>
      <c r="Y11" s="179">
        <f t="shared" si="24"/>
        <v>130</v>
      </c>
      <c r="Z11" s="176">
        <f t="shared" ca="1" si="25"/>
        <v>277.5</v>
      </c>
      <c r="AA11" s="180">
        <f t="shared" ca="1" si="26"/>
        <v>276.47324502468109</v>
      </c>
      <c r="AB11" s="180">
        <f t="shared" ca="1" si="27"/>
        <v>276.47324502468109</v>
      </c>
      <c r="AC11" s="170">
        <f ca="1">OFFSET(Setup!$F$1,MATCH(D11,INDIRECT("Setup!B1:B100"),0)-1,0)</f>
        <v>2</v>
      </c>
      <c r="AD11" s="181" t="str">
        <f t="shared" ca="1" si="28"/>
        <v>7-F-BL-PL</v>
      </c>
      <c r="AE11" s="172" t="s">
        <v>109</v>
      </c>
      <c r="AH11" s="182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3">
        <f t="shared" ca="1" si="33"/>
        <v>13</v>
      </c>
      <c r="AO11" s="183">
        <f t="shared" si="34"/>
        <v>69.849999999999994</v>
      </c>
      <c r="AP11" s="183">
        <f t="shared" ca="1" si="35"/>
        <v>44</v>
      </c>
      <c r="AQ11" s="183">
        <f t="shared" ca="1" si="36"/>
        <v>12</v>
      </c>
      <c r="AU11" s="183">
        <f t="shared" ca="1" si="37"/>
        <v>1</v>
      </c>
      <c r="AW11" s="183"/>
      <c r="AX11" s="185"/>
      <c r="AY11" s="185"/>
      <c r="AZ11" s="185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6">
        <v>43050.465902777774</v>
      </c>
      <c r="BQ11" s="118">
        <v>-1</v>
      </c>
      <c r="BR11" s="118">
        <v>1</v>
      </c>
      <c r="BS11" s="118">
        <v>-1</v>
      </c>
      <c r="BT11" s="186">
        <v>43050.514374999999</v>
      </c>
      <c r="BV11" s="118">
        <v>1</v>
      </c>
      <c r="BW11" s="118">
        <v>1</v>
      </c>
      <c r="BX11" s="118">
        <v>-1</v>
      </c>
      <c r="BY11" s="186">
        <v>43050.561469907407</v>
      </c>
      <c r="BZ11" s="186">
        <f t="shared" ca="1" si="40"/>
        <v>43050.561469907407</v>
      </c>
      <c r="CA11" s="254">
        <v>0.56901620370370376</v>
      </c>
    </row>
    <row r="12" spans="1:125" ht="19.5" customHeight="1" x14ac:dyDescent="0.2">
      <c r="A12" s="170" t="s">
        <v>24</v>
      </c>
      <c r="B12" s="171" t="s">
        <v>278</v>
      </c>
      <c r="C12" s="171" t="s">
        <v>183</v>
      </c>
      <c r="D12" s="172" t="s">
        <v>224</v>
      </c>
      <c r="E12" s="172">
        <v>86.95</v>
      </c>
      <c r="F12" s="172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2">
        <v>9</v>
      </c>
      <c r="H12" s="173">
        <f>IF(AND(VALUE(E12)&gt;0,OR(LEFT(D12,1)="M",LEFT(D12,1)="F")),IF(LEFT(D12,1)="M",Wilks_Men(IF(RIGHT($F$7,4)="(lb)",E12/2.2046,E12)),Wilks_Women(IF(RIGHT($F$7,4)="(lb)",E12/2.2046,E12))),0)</f>
        <v>0.87709999084472656</v>
      </c>
      <c r="I12" s="251">
        <v>31780</v>
      </c>
      <c r="J12" s="128">
        <f ca="1">IF(I12,VLOOKUP(INT((NOW()-I12)/365.25),DATA!$A$2:$B$53,2,TRUE),0)</f>
        <v>1</v>
      </c>
      <c r="K12" s="172">
        <v>9</v>
      </c>
      <c r="L12" s="253">
        <v>90</v>
      </c>
      <c r="M12" s="253">
        <v>100</v>
      </c>
      <c r="N12" s="256">
        <v>-105</v>
      </c>
      <c r="O12" s="176">
        <f t="shared" si="21"/>
        <v>100</v>
      </c>
      <c r="P12" s="177" t="s">
        <v>279</v>
      </c>
      <c r="Q12" s="253">
        <v>57.5</v>
      </c>
      <c r="R12" s="253">
        <v>62.5</v>
      </c>
      <c r="S12" s="253">
        <v>65</v>
      </c>
      <c r="T12" s="176">
        <f t="shared" si="22"/>
        <v>65</v>
      </c>
      <c r="U12" s="176">
        <f t="shared" si="23"/>
        <v>165</v>
      </c>
      <c r="V12" s="253">
        <v>115</v>
      </c>
      <c r="W12" s="259">
        <v>120</v>
      </c>
      <c r="X12" s="253">
        <v>125</v>
      </c>
      <c r="Y12" s="179">
        <f t="shared" si="24"/>
        <v>125</v>
      </c>
      <c r="Z12" s="176">
        <f t="shared" ca="1" si="25"/>
        <v>290</v>
      </c>
      <c r="AA12" s="180">
        <f t="shared" ca="1" si="26"/>
        <v>254.3589973449707</v>
      </c>
      <c r="AB12" s="180">
        <f t="shared" ca="1" si="27"/>
        <v>254.3589973449707</v>
      </c>
      <c r="AC12" s="170">
        <f ca="1">OFFSET(Setup!$F$1,MATCH(D12,INDIRECT("Setup!B1:B100"),0)-1,0)</f>
        <v>2</v>
      </c>
      <c r="AD12" s="181" t="str">
        <f t="shared" ca="1" si="28"/>
        <v>8-F-BL-PL</v>
      </c>
      <c r="AE12" s="172" t="s">
        <v>109</v>
      </c>
      <c r="AH12" s="182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3">
        <f t="shared" ca="1" si="33"/>
        <v>15</v>
      </c>
      <c r="AO12" s="183">
        <f t="shared" si="34"/>
        <v>86.95</v>
      </c>
      <c r="AP12" s="183">
        <f t="shared" ca="1" si="35"/>
        <v>27</v>
      </c>
      <c r="AQ12" s="183">
        <f t="shared" ca="1" si="36"/>
        <v>17</v>
      </c>
      <c r="AU12" s="183">
        <f t="shared" ca="1" si="37"/>
        <v>1</v>
      </c>
      <c r="AW12" s="183"/>
      <c r="AX12" s="185"/>
      <c r="AY12" s="185"/>
      <c r="AZ12" s="185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6">
        <v>43050.466643518521</v>
      </c>
      <c r="BQ12" s="118">
        <v>1</v>
      </c>
      <c r="BR12" s="118">
        <v>1</v>
      </c>
      <c r="BS12" s="118">
        <v>1</v>
      </c>
      <c r="BT12" s="186">
        <v>43050.522245370368</v>
      </c>
      <c r="BV12" s="118">
        <v>1</v>
      </c>
      <c r="BW12" s="118">
        <v>1</v>
      </c>
      <c r="BX12" s="118">
        <v>1</v>
      </c>
      <c r="BY12" s="186">
        <v>43050.566805555558</v>
      </c>
      <c r="BZ12" s="186">
        <f t="shared" ca="1" si="40"/>
        <v>43050.566805555558</v>
      </c>
      <c r="CA12" s="254">
        <v>0.5675</v>
      </c>
    </row>
    <row r="13" spans="1:125" ht="19.5" customHeight="1" x14ac:dyDescent="0.2">
      <c r="A13" s="170" t="s">
        <v>24</v>
      </c>
      <c r="B13" s="171" t="s">
        <v>270</v>
      </c>
      <c r="C13" s="171" t="s">
        <v>211</v>
      </c>
      <c r="D13" s="172" t="s">
        <v>224</v>
      </c>
      <c r="E13" s="172">
        <v>48.55</v>
      </c>
      <c r="F13" s="172">
        <f>IF(LEFT(D13,1)="M",VLOOKUP(IF($E$7="Bwt (kg)",E13,E13/2.2046),Lists!$B$16:$D$24,IF(ISERROR(FIND("J",D13)),3,2)),VLOOKUP(IF($E$7="Bwt (kg)",E13,E13/2.2046),Lists!$B$26:$D$33,IF(ISERROR(FIND("J",D13)),3,2)))</f>
        <v>52</v>
      </c>
      <c r="G13" s="172">
        <v>13</v>
      </c>
      <c r="H13" s="173">
        <f>IF(AND(VALUE(E13)&gt;0,OR(LEFT(D13,1)="M",LEFT(D13,1)="F")),IF(LEFT(D13,1)="M",Wilks_Men(IF(RIGHT($F$7,4)="(lb)",E13/2.2046,E13)),Wilks_Women(IF(RIGHT($F$7,4)="(lb)",E13/2.2046,E13))),0)</f>
        <v>1.3133000135421753</v>
      </c>
      <c r="I13" s="251">
        <v>34655</v>
      </c>
      <c r="J13" s="128">
        <f ca="1">IF(I13,VLOOKUP(INT((NOW()-I13)/365.25),DATA!$A$2:$B$53,2,TRUE),0)</f>
        <v>1.01</v>
      </c>
      <c r="K13" s="172">
        <v>4</v>
      </c>
      <c r="L13" s="253">
        <v>95</v>
      </c>
      <c r="M13" s="253">
        <v>100</v>
      </c>
      <c r="N13" s="253">
        <v>105</v>
      </c>
      <c r="O13" s="176">
        <f t="shared" si="21"/>
        <v>105</v>
      </c>
      <c r="P13" s="177" t="s">
        <v>271</v>
      </c>
      <c r="Q13" s="253">
        <v>55</v>
      </c>
      <c r="R13" s="253">
        <v>60</v>
      </c>
      <c r="S13" s="256">
        <v>-62.5</v>
      </c>
      <c r="T13" s="176">
        <f t="shared" si="22"/>
        <v>60</v>
      </c>
      <c r="U13" s="176">
        <f t="shared" si="23"/>
        <v>165</v>
      </c>
      <c r="V13" s="253">
        <v>115</v>
      </c>
      <c r="W13" s="259">
        <v>120</v>
      </c>
      <c r="X13" s="256">
        <v>-122.5</v>
      </c>
      <c r="Y13" s="179">
        <f t="shared" si="24"/>
        <v>120</v>
      </c>
      <c r="Z13" s="176">
        <f t="shared" ca="1" si="25"/>
        <v>285</v>
      </c>
      <c r="AA13" s="180">
        <f t="shared" ca="1" si="26"/>
        <v>374.29050385951996</v>
      </c>
      <c r="AB13" s="180">
        <f t="shared" ca="1" si="27"/>
        <v>378.03340889811517</v>
      </c>
      <c r="AC13" s="170">
        <f ca="1">OFFSET(Setup!$F$1,MATCH(D13,INDIRECT("Setup!B1:B100"),0)-1,0)</f>
        <v>2</v>
      </c>
      <c r="AD13" s="181" t="str">
        <f t="shared" ca="1" si="28"/>
        <v>1-F-BL-PL</v>
      </c>
      <c r="AE13" s="172" t="s">
        <v>109</v>
      </c>
      <c r="AH13" s="182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3">
        <f t="shared" ca="1" si="33"/>
        <v>14</v>
      </c>
      <c r="AO13" s="183">
        <f t="shared" si="34"/>
        <v>48.55</v>
      </c>
      <c r="AP13" s="183">
        <f t="shared" ca="1" si="35"/>
        <v>48</v>
      </c>
      <c r="AQ13" s="183">
        <f t="shared" ca="1" si="36"/>
        <v>11</v>
      </c>
      <c r="AU13" s="183">
        <f t="shared" ca="1" si="37"/>
        <v>1</v>
      </c>
      <c r="AW13" s="183"/>
      <c r="AX13" s="185"/>
      <c r="AY13" s="185"/>
      <c r="AZ13" s="185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6">
        <v>43050.472592592596</v>
      </c>
      <c r="BQ13" s="118">
        <v>1</v>
      </c>
      <c r="BR13" s="118">
        <v>1</v>
      </c>
      <c r="BS13" s="118">
        <v>-1</v>
      </c>
      <c r="BT13" s="186">
        <v>43050.514999999999</v>
      </c>
      <c r="BV13" s="118">
        <v>1</v>
      </c>
      <c r="BW13" s="118">
        <v>1</v>
      </c>
      <c r="BX13" s="118">
        <v>-1</v>
      </c>
      <c r="BY13" s="186">
        <v>43050.560694444444</v>
      </c>
      <c r="BZ13" s="186">
        <f t="shared" ca="1" si="40"/>
        <v>43050.560694444444</v>
      </c>
      <c r="CA13" s="254">
        <v>0.56652777777777774</v>
      </c>
    </row>
    <row r="14" spans="1:125" ht="19.5" customHeight="1" x14ac:dyDescent="0.2">
      <c r="A14" s="170" t="s">
        <v>24</v>
      </c>
      <c r="B14" s="171" t="s">
        <v>269</v>
      </c>
      <c r="C14" s="171" t="s">
        <v>213</v>
      </c>
      <c r="D14" s="172" t="s">
        <v>224</v>
      </c>
      <c r="E14" s="172">
        <v>61.95</v>
      </c>
      <c r="F14" s="172">
        <f>IF(LEFT(D14,1)="M",VLOOKUP(IF($E$7="Bwt (kg)",E14,E14/2.2046),Lists!$B$16:$D$24,IF(ISERROR(FIND("J",D14)),3,2)),VLOOKUP(IF($E$7="Bwt (kg)",E14,E14/2.2046),Lists!$B$26:$D$33,IF(ISERROR(FIND("J",D14)),3,2)))</f>
        <v>63</v>
      </c>
      <c r="G14" s="172">
        <v>55</v>
      </c>
      <c r="H14" s="173">
        <f>IF(AND(VALUE(E14)&gt;0,OR(LEFT(D14,1)="M",LEFT(D14,1)="F")),IF(LEFT(D14,1)="M",Wilks_Men(IF(RIGHT($F$7,4)="(lb)",E14/2.2046,E14)),Wilks_Women(IF(RIGHT($F$7,4)="(lb)",E14/2.2046,E14))),0)</f>
        <v>1.0878000259399414</v>
      </c>
      <c r="I14" s="251">
        <v>33487</v>
      </c>
      <c r="J14" s="128">
        <f ca="1">IF(I14,VLOOKUP(INT((NOW()-I14)/365.25),DATA!$A$2:$B$53,2,TRUE),0)</f>
        <v>1</v>
      </c>
      <c r="K14" s="172">
        <v>5</v>
      </c>
      <c r="L14" s="253">
        <v>95</v>
      </c>
      <c r="M14" s="253">
        <v>102.5</v>
      </c>
      <c r="N14" s="253">
        <v>110</v>
      </c>
      <c r="O14" s="176">
        <f t="shared" si="21"/>
        <v>110</v>
      </c>
      <c r="P14" s="258" t="s">
        <v>271</v>
      </c>
      <c r="Q14" s="253">
        <v>85</v>
      </c>
      <c r="R14" s="256">
        <v>-90</v>
      </c>
      <c r="S14" s="253">
        <v>90</v>
      </c>
      <c r="T14" s="176">
        <f t="shared" si="22"/>
        <v>90</v>
      </c>
      <c r="U14" s="176">
        <f t="shared" si="23"/>
        <v>200</v>
      </c>
      <c r="V14" s="253">
        <v>105</v>
      </c>
      <c r="W14" s="259">
        <v>117.5</v>
      </c>
      <c r="X14" s="253">
        <v>127.5</v>
      </c>
      <c r="Y14" s="179">
        <f t="shared" si="24"/>
        <v>127.5</v>
      </c>
      <c r="Z14" s="176">
        <f t="shared" ca="1" si="25"/>
        <v>327.5</v>
      </c>
      <c r="AA14" s="180">
        <f t="shared" ca="1" si="26"/>
        <v>356.25450849533081</v>
      </c>
      <c r="AB14" s="180">
        <f t="shared" ca="1" si="27"/>
        <v>356.25450849533081</v>
      </c>
      <c r="AC14" s="170">
        <f ca="1">OFFSET(Setup!$F$1,MATCH(D14,INDIRECT("Setup!B1:B100"),0)-1,0)</f>
        <v>2</v>
      </c>
      <c r="AD14" s="181" t="str">
        <f t="shared" ca="1" si="28"/>
        <v>3-F-BL-PL</v>
      </c>
      <c r="AE14" s="172" t="s">
        <v>109</v>
      </c>
      <c r="AH14" s="182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3">
        <f t="shared" ca="1" si="33"/>
        <v>18</v>
      </c>
      <c r="AO14" s="183">
        <f t="shared" si="34"/>
        <v>61.95</v>
      </c>
      <c r="AP14" s="183">
        <f t="shared" ca="1" si="35"/>
        <v>45</v>
      </c>
      <c r="AQ14" s="183">
        <f t="shared" ca="1" si="36"/>
        <v>18</v>
      </c>
      <c r="AU14" s="183">
        <f t="shared" ca="1" si="37"/>
        <v>1</v>
      </c>
      <c r="AW14" s="183"/>
      <c r="AX14" s="185"/>
      <c r="AY14" s="185"/>
      <c r="AZ14" s="185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6">
        <v>43050.473379629628</v>
      </c>
      <c r="BQ14" s="118">
        <v>1</v>
      </c>
      <c r="BR14" s="118">
        <v>-1</v>
      </c>
      <c r="BS14" s="118">
        <v>1</v>
      </c>
      <c r="BT14" s="186">
        <v>43050.524212962962</v>
      </c>
      <c r="BV14" s="118">
        <v>1</v>
      </c>
      <c r="BW14" s="118">
        <v>1</v>
      </c>
      <c r="BX14" s="118">
        <v>1</v>
      </c>
      <c r="BY14" s="186">
        <v>43050.56763888889</v>
      </c>
      <c r="BZ14" s="186">
        <f t="shared" ca="1" si="40"/>
        <v>43050.56763888889</v>
      </c>
      <c r="CA14" s="254">
        <v>0.56833333333333336</v>
      </c>
    </row>
    <row r="15" spans="1:125" ht="19.5" customHeight="1" x14ac:dyDescent="0.2">
      <c r="A15" s="170" t="s">
        <v>24</v>
      </c>
      <c r="B15" s="171" t="s">
        <v>273</v>
      </c>
      <c r="C15" s="171" t="s">
        <v>212</v>
      </c>
      <c r="D15" s="172" t="s">
        <v>224</v>
      </c>
      <c r="E15" s="172">
        <v>85.75</v>
      </c>
      <c r="F15" s="172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2">
        <v>37</v>
      </c>
      <c r="H15" s="173">
        <f>IF(AND(VALUE(E15)&gt;0,OR(LEFT(D15,1)="M",LEFT(D15,1)="F")),IF(LEFT(D15,1)="M",Wilks_Men(IF(RIGHT($F$7,4)="(lb)",E15/2.2046,E15)),Wilks_Women(IF(RIGHT($F$7,4)="(lb)",E15/2.2046,E15))),0)</f>
        <v>0.88279998302459717</v>
      </c>
      <c r="I15" s="251">
        <v>32160</v>
      </c>
      <c r="J15" s="128">
        <f ca="1">IF(I15,VLOOKUP(INT((NOW()-I15)/365.25),DATA!$A$2:$B$53,2,TRUE),0)</f>
        <v>1</v>
      </c>
      <c r="K15" s="172">
        <v>8</v>
      </c>
      <c r="L15" s="253">
        <v>100</v>
      </c>
      <c r="M15" s="253">
        <v>110</v>
      </c>
      <c r="N15" s="253">
        <v>120</v>
      </c>
      <c r="O15" s="176">
        <f t="shared" si="21"/>
        <v>120</v>
      </c>
      <c r="P15" s="177" t="s">
        <v>268</v>
      </c>
      <c r="Q15" s="253">
        <v>70</v>
      </c>
      <c r="R15" s="256">
        <v>-75</v>
      </c>
      <c r="S15" s="255"/>
      <c r="T15" s="176">
        <f t="shared" si="22"/>
        <v>70</v>
      </c>
      <c r="U15" s="176">
        <f t="shared" si="23"/>
        <v>190</v>
      </c>
      <c r="V15" s="253">
        <v>130</v>
      </c>
      <c r="W15" s="259">
        <v>140</v>
      </c>
      <c r="X15" s="253">
        <v>150</v>
      </c>
      <c r="Y15" s="179">
        <f t="shared" si="24"/>
        <v>150</v>
      </c>
      <c r="Z15" s="176">
        <f t="shared" ca="1" si="25"/>
        <v>340</v>
      </c>
      <c r="AA15" s="180">
        <f t="shared" ca="1" si="26"/>
        <v>300.15199422836304</v>
      </c>
      <c r="AB15" s="180">
        <f t="shared" ca="1" si="27"/>
        <v>300.15199422836304</v>
      </c>
      <c r="AC15" s="170">
        <f ca="1">OFFSET(Setup!$F$1,MATCH(D15,INDIRECT("Setup!B1:B100"),0)-1,0)</f>
        <v>2</v>
      </c>
      <c r="AD15" s="181" t="str">
        <f t="shared" ca="1" si="28"/>
        <v>6-F-BL-PL</v>
      </c>
      <c r="AE15" s="172" t="s">
        <v>109</v>
      </c>
      <c r="AH15" s="182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3">
        <f t="shared" ca="1" si="33"/>
        <v>20</v>
      </c>
      <c r="AO15" s="183">
        <f t="shared" si="34"/>
        <v>85.75</v>
      </c>
      <c r="AP15" s="183">
        <f t="shared" ca="1" si="35"/>
        <v>29</v>
      </c>
      <c r="AQ15" s="183">
        <f t="shared" ca="1" si="36"/>
        <v>19</v>
      </c>
      <c r="AU15" s="183">
        <f t="shared" ca="1" si="37"/>
        <v>1</v>
      </c>
      <c r="AW15" s="183"/>
      <c r="AX15" s="185"/>
      <c r="AY15" s="185"/>
      <c r="AZ15" s="185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6">
        <v>43050.474594907406</v>
      </c>
      <c r="BQ15" s="118">
        <v>1</v>
      </c>
      <c r="BR15" s="118">
        <v>-1</v>
      </c>
      <c r="BS15" s="118">
        <v>0</v>
      </c>
      <c r="BT15" s="186">
        <v>43050.512511574074</v>
      </c>
      <c r="BV15" s="118">
        <v>1</v>
      </c>
      <c r="BW15" s="118">
        <v>1</v>
      </c>
      <c r="BX15" s="118">
        <v>1</v>
      </c>
      <c r="BY15" s="186">
        <v>43050.570127314815</v>
      </c>
      <c r="BZ15" s="186">
        <f t="shared" ca="1" si="40"/>
        <v>43050.570127314815</v>
      </c>
      <c r="CA15" s="254">
        <v>0.57082175925925926</v>
      </c>
    </row>
    <row r="16" spans="1:125" ht="19.5" customHeight="1" x14ac:dyDescent="0.2">
      <c r="A16" s="170" t="s">
        <v>24</v>
      </c>
      <c r="B16" s="171" t="s">
        <v>274</v>
      </c>
      <c r="C16" s="171" t="s">
        <v>183</v>
      </c>
      <c r="D16" s="172" t="s">
        <v>224</v>
      </c>
      <c r="E16" s="172">
        <v>61.75</v>
      </c>
      <c r="F16" s="172">
        <f>IF(LEFT(D16,1)="M",VLOOKUP(IF($E$7="Bwt (kg)",E16,E16/2.2046),Lists!$B$16:$D$24,IF(ISERROR(FIND("J",D16)),3,2)),VLOOKUP(IF($E$7="Bwt (kg)",E16,E16/2.2046),Lists!$B$26:$D$33,IF(ISERROR(FIND("J",D16)),3,2)))</f>
        <v>63</v>
      </c>
      <c r="G16" s="172">
        <v>46</v>
      </c>
      <c r="H16" s="173">
        <f>IF(AND(VALUE(E16)&gt;0,OR(LEFT(D16,1)="M",LEFT(D16,1)="F")),IF(LEFT(D16,1)="M",Wilks_Men(IF(RIGHT($F$7,4)="(lb)",E16/2.2046,E16)),Wilks_Women(IF(RIGHT($F$7,4)="(lb)",E16/2.2046,E16))),0)</f>
        <v>1.0904999971389771</v>
      </c>
      <c r="I16" s="251">
        <v>33564</v>
      </c>
      <c r="J16" s="128">
        <f ca="1">IF(I16,VLOOKUP(INT((NOW()-I16)/365.25),DATA!$A$2:$B$53,2,TRUE),0)</f>
        <v>1</v>
      </c>
      <c r="K16" s="172">
        <v>7</v>
      </c>
      <c r="L16" s="253">
        <v>107.5</v>
      </c>
      <c r="M16" s="253">
        <v>112.5</v>
      </c>
      <c r="N16" s="253">
        <v>117.5</v>
      </c>
      <c r="O16" s="176">
        <f t="shared" si="21"/>
        <v>117.5</v>
      </c>
      <c r="P16" s="177" t="s">
        <v>275</v>
      </c>
      <c r="Q16" s="253">
        <v>65</v>
      </c>
      <c r="R16" s="253">
        <v>67.5</v>
      </c>
      <c r="S16" s="256">
        <v>-70</v>
      </c>
      <c r="T16" s="176">
        <f t="shared" si="22"/>
        <v>67.5</v>
      </c>
      <c r="U16" s="176">
        <f t="shared" si="23"/>
        <v>185</v>
      </c>
      <c r="V16" s="253">
        <v>135</v>
      </c>
      <c r="W16" s="259">
        <v>145</v>
      </c>
      <c r="X16" s="170"/>
      <c r="Y16" s="179">
        <f t="shared" si="24"/>
        <v>145</v>
      </c>
      <c r="Z16" s="176">
        <f t="shared" ca="1" si="25"/>
        <v>330</v>
      </c>
      <c r="AA16" s="180">
        <f t="shared" ca="1" si="26"/>
        <v>359.86499905586243</v>
      </c>
      <c r="AB16" s="180">
        <f t="shared" ca="1" si="27"/>
        <v>359.86499905586243</v>
      </c>
      <c r="AC16" s="170">
        <f ca="1">OFFSET(Setup!$F$1,MATCH(D16,INDIRECT("Setup!B1:B100"),0)-1,0)</f>
        <v>2</v>
      </c>
      <c r="AD16" s="181" t="str">
        <f t="shared" ca="1" si="28"/>
        <v>2-F-BL-PL</v>
      </c>
      <c r="AE16" s="172" t="s">
        <v>109</v>
      </c>
      <c r="AH16" s="182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3">
        <f t="shared" ca="1" si="33"/>
        <v>19</v>
      </c>
      <c r="AO16" s="183">
        <f t="shared" si="34"/>
        <v>61.75</v>
      </c>
      <c r="AP16" s="183">
        <f t="shared" ca="1" si="35"/>
        <v>46</v>
      </c>
      <c r="AQ16" s="183">
        <f t="shared" ca="1" si="36"/>
        <v>14</v>
      </c>
      <c r="AU16" s="183">
        <f t="shared" ca="1" si="37"/>
        <v>1</v>
      </c>
      <c r="AW16" s="183"/>
      <c r="AX16" s="185"/>
      <c r="AY16" s="185"/>
      <c r="AZ16" s="185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6">
        <v>43050.474027777775</v>
      </c>
      <c r="BQ16" s="118">
        <v>1</v>
      </c>
      <c r="BR16" s="118">
        <v>1</v>
      </c>
      <c r="BS16" s="118">
        <v>-1</v>
      </c>
      <c r="BT16" s="186">
        <v>43050.517511574071</v>
      </c>
      <c r="BV16" s="118">
        <v>1</v>
      </c>
      <c r="BW16" s="118">
        <v>1</v>
      </c>
      <c r="BX16" s="118">
        <v>0</v>
      </c>
      <c r="BY16" s="186">
        <v>43050.563599537039</v>
      </c>
      <c r="BZ16" s="186">
        <f t="shared" ca="1" si="40"/>
        <v>43050.563599537039</v>
      </c>
      <c r="CA16" s="254">
        <v>0.56429398148148147</v>
      </c>
    </row>
    <row r="17" spans="1:79" ht="19.5" customHeight="1" x14ac:dyDescent="0.2">
      <c r="A17" s="170" t="s">
        <v>24</v>
      </c>
      <c r="B17" s="171" t="s">
        <v>272</v>
      </c>
      <c r="C17" s="171" t="s">
        <v>212</v>
      </c>
      <c r="D17" s="172" t="s">
        <v>224</v>
      </c>
      <c r="E17" s="172">
        <v>71.95</v>
      </c>
      <c r="F17" s="172">
        <f>IF(LEFT(D17,1)="M",VLOOKUP(IF($E$7="Bwt (kg)",E17,E17/2.2046),Lists!$B$16:$D$24,IF(ISERROR(FIND("J",D17)),3,2)),VLOOKUP(IF($E$7="Bwt (kg)",E17,E17/2.2046),Lists!$B$26:$D$33,IF(ISERROR(FIND("J",D17)),3,2)))</f>
        <v>72</v>
      </c>
      <c r="G17" s="172">
        <v>10</v>
      </c>
      <c r="H17" s="173">
        <f>IF(AND(VALUE(E17)&gt;0,OR(LEFT(D17,1)="M",LEFT(D17,1)="F")),IF(LEFT(D17,1)="M",Wilks_Men(IF(RIGHT($F$7,4)="(lb)",E17/2.2046,E17)),Wilks_Women(IF(RIGHT($F$7,4)="(lb)",E17/2.2046,E17))),0)</f>
        <v>0.97649997472763062</v>
      </c>
      <c r="I17" s="251">
        <v>30330</v>
      </c>
      <c r="J17" s="128">
        <f ca="1">IF(I17,VLOOKUP(INT((NOW()-I17)/365.25),DATA!$A$2:$B$53,2,TRUE),0)</f>
        <v>1</v>
      </c>
      <c r="K17" s="172">
        <v>5</v>
      </c>
      <c r="L17" s="253">
        <v>110</v>
      </c>
      <c r="M17" s="253">
        <v>120</v>
      </c>
      <c r="N17" s="256">
        <v>-122.5</v>
      </c>
      <c r="O17" s="176">
        <f t="shared" si="21"/>
        <v>120</v>
      </c>
      <c r="P17" s="177" t="s">
        <v>271</v>
      </c>
      <c r="Q17" s="253">
        <v>60</v>
      </c>
      <c r="R17" s="256">
        <v>-67.5</v>
      </c>
      <c r="S17" s="170"/>
      <c r="T17" s="176">
        <f t="shared" si="22"/>
        <v>60</v>
      </c>
      <c r="U17" s="176">
        <f t="shared" si="23"/>
        <v>180</v>
      </c>
      <c r="V17" s="253">
        <v>130</v>
      </c>
      <c r="W17" s="259">
        <v>142.5</v>
      </c>
      <c r="X17" s="256">
        <v>-150</v>
      </c>
      <c r="Y17" s="179">
        <f t="shared" si="24"/>
        <v>142.5</v>
      </c>
      <c r="Z17" s="176">
        <f t="shared" ca="1" si="25"/>
        <v>322.5</v>
      </c>
      <c r="AA17" s="180">
        <f t="shared" ca="1" si="26"/>
        <v>314.92124184966087</v>
      </c>
      <c r="AB17" s="180">
        <f t="shared" ca="1" si="27"/>
        <v>314.92124184966087</v>
      </c>
      <c r="AC17" s="170">
        <f ca="1">OFFSET(Setup!$F$1,MATCH(D17,INDIRECT("Setup!B1:B100"),0)-1,0)</f>
        <v>2</v>
      </c>
      <c r="AD17" s="181" t="str">
        <f t="shared" ca="1" si="28"/>
        <v>4-F-BL-PL</v>
      </c>
      <c r="AE17" s="172" t="s">
        <v>109</v>
      </c>
      <c r="AH17" s="182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3">
        <f t="shared" ca="1" si="33"/>
        <v>16</v>
      </c>
      <c r="AO17" s="183">
        <f t="shared" si="34"/>
        <v>71.95</v>
      </c>
      <c r="AP17" s="183">
        <f t="shared" ca="1" si="35"/>
        <v>43</v>
      </c>
      <c r="AQ17" s="183">
        <f t="shared" ca="1" si="36"/>
        <v>13</v>
      </c>
      <c r="AU17" s="183">
        <f t="shared" ca="1" si="37"/>
        <v>1</v>
      </c>
      <c r="AW17" s="183"/>
      <c r="AX17" s="185"/>
      <c r="AY17" s="185"/>
      <c r="AZ17" s="185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6">
        <v>43050.469849537039</v>
      </c>
      <c r="BQ17" s="118">
        <v>1</v>
      </c>
      <c r="BR17" s="118">
        <v>-1</v>
      </c>
      <c r="BS17" s="118">
        <v>0</v>
      </c>
      <c r="BT17" s="186">
        <v>43050.510787037034</v>
      </c>
      <c r="BV17" s="118">
        <v>1</v>
      </c>
      <c r="BW17" s="118">
        <v>1</v>
      </c>
      <c r="BX17" s="118">
        <v>-1</v>
      </c>
      <c r="BY17" s="186">
        <v>43050.562881944446</v>
      </c>
      <c r="BZ17" s="186">
        <f t="shared" ca="1" si="40"/>
        <v>43050.562881944446</v>
      </c>
      <c r="CA17" s="254">
        <v>0.56998842592592591</v>
      </c>
    </row>
    <row r="18" spans="1:79" ht="19.5" customHeight="1" x14ac:dyDescent="0.2">
      <c r="A18" s="170" t="s">
        <v>25</v>
      </c>
      <c r="B18" s="171" t="s">
        <v>291</v>
      </c>
      <c r="C18" s="171" t="s">
        <v>212</v>
      </c>
      <c r="D18" s="172" t="s">
        <v>223</v>
      </c>
      <c r="E18" s="172">
        <v>91.55</v>
      </c>
      <c r="F18" s="172">
        <f>IF(LEFT(D18,1)="M",VLOOKUP(IF($E$7="Bwt (kg)",E18,E18/2.2046),Lists!$B$16:$D$24,IF(ISERROR(FIND("J",D18)),3,2)),VLOOKUP(IF($E$7="Bwt (kg)",E18,E18/2.2046),Lists!$B$26:$D$33,IF(ISERROR(FIND("J",D18)),3,2)))</f>
        <v>93</v>
      </c>
      <c r="G18" s="172">
        <v>24</v>
      </c>
      <c r="H18" s="173">
        <f>IF(AND(VALUE(E18)&gt;0,OR(LEFT(D18,1)="M",LEFT(D18,1)="F")),IF(LEFT(D18,1)="M",Wilks_Men(IF(RIGHT($F$7,4)="(lb)",E18/2.2046,E18)),Wilks_Women(IF(RIGHT($F$7,4)="(lb)",E18/2.2046,E18))),0)</f>
        <v>0.63300001621246338</v>
      </c>
      <c r="I18" s="251">
        <v>31755</v>
      </c>
      <c r="J18" s="128">
        <f ca="1">IF(I18,VLOOKUP(INT((NOW()-I18)/365.25),DATA!$A$2:$B$53,2,TRUE),0)</f>
        <v>1</v>
      </c>
      <c r="K18" s="172">
        <v>10</v>
      </c>
      <c r="L18" s="253">
        <v>142.5</v>
      </c>
      <c r="M18" s="253">
        <v>152.5</v>
      </c>
      <c r="N18" s="253">
        <v>155</v>
      </c>
      <c r="O18" s="176">
        <f t="shared" si="21"/>
        <v>155</v>
      </c>
      <c r="P18" s="177" t="s">
        <v>255</v>
      </c>
      <c r="Q18" s="253">
        <v>105</v>
      </c>
      <c r="R18" s="253">
        <v>112.5</v>
      </c>
      <c r="S18" s="253">
        <v>115</v>
      </c>
      <c r="T18" s="176">
        <f t="shared" si="22"/>
        <v>115</v>
      </c>
      <c r="U18" s="176">
        <f t="shared" si="23"/>
        <v>270</v>
      </c>
      <c r="V18" s="253">
        <v>165</v>
      </c>
      <c r="W18" s="259">
        <v>175</v>
      </c>
      <c r="X18" s="253">
        <v>180</v>
      </c>
      <c r="Y18" s="179">
        <f t="shared" si="24"/>
        <v>180</v>
      </c>
      <c r="Z18" s="176">
        <f t="shared" ca="1" si="25"/>
        <v>450</v>
      </c>
      <c r="AA18" s="180">
        <f t="shared" ca="1" si="26"/>
        <v>284.85000729560852</v>
      </c>
      <c r="AB18" s="180">
        <f t="shared" ca="1" si="27"/>
        <v>284.85000729560852</v>
      </c>
      <c r="AC18" s="170">
        <f ca="1">OFFSET(Setup!$F$1,MATCH(D18,INDIRECT("Setup!B1:B100"),0)-1,0)</f>
        <v>2</v>
      </c>
      <c r="AD18" s="181" t="str">
        <f t="shared" ca="1" si="28"/>
        <v>26-M-BL-PL</v>
      </c>
      <c r="AE18" s="172" t="s">
        <v>109</v>
      </c>
      <c r="AH18" s="182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3">
        <f t="shared" ca="1" si="33"/>
        <v>23</v>
      </c>
      <c r="AO18" s="183">
        <f t="shared" si="34"/>
        <v>91.55</v>
      </c>
      <c r="AP18" s="183">
        <f t="shared" ca="1" si="35"/>
        <v>21</v>
      </c>
      <c r="AQ18" s="183">
        <f t="shared" ca="1" si="36"/>
        <v>24</v>
      </c>
      <c r="AU18" s="183">
        <f t="shared" ca="1" si="37"/>
        <v>1</v>
      </c>
      <c r="AW18" s="183"/>
      <c r="AX18" s="185"/>
      <c r="AY18" s="185"/>
      <c r="AZ18" s="185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6">
        <v>43050.491608796299</v>
      </c>
      <c r="BQ18" s="118">
        <v>1</v>
      </c>
      <c r="BR18" s="118">
        <v>1</v>
      </c>
      <c r="BS18" s="118">
        <v>1</v>
      </c>
      <c r="BT18" s="186">
        <v>43050.540185185186</v>
      </c>
      <c r="BV18" s="118">
        <v>1</v>
      </c>
      <c r="BW18" s="118">
        <v>1</v>
      </c>
      <c r="BX18" s="118">
        <v>1</v>
      </c>
      <c r="BY18" s="186">
        <v>43050.585914351854</v>
      </c>
      <c r="BZ18" s="186">
        <f t="shared" ca="1" si="40"/>
        <v>43050.585914351854</v>
      </c>
      <c r="CA18" s="254">
        <v>0.58660879629629636</v>
      </c>
    </row>
    <row r="19" spans="1:79" ht="19.5" customHeight="1" x14ac:dyDescent="0.2">
      <c r="A19" s="170" t="s">
        <v>25</v>
      </c>
      <c r="B19" s="171" t="s">
        <v>292</v>
      </c>
      <c r="C19" s="171" t="s">
        <v>214</v>
      </c>
      <c r="D19" s="172" t="s">
        <v>223</v>
      </c>
      <c r="E19" s="172">
        <v>73</v>
      </c>
      <c r="F19" s="172">
        <f>IF(LEFT(D19,1)="M",VLOOKUP(IF($E$7="Bwt (kg)",E19,E19/2.2046),Lists!$B$16:$D$24,IF(ISERROR(FIND("J",D19)),3,2)),VLOOKUP(IF($E$7="Bwt (kg)",E19,E19/2.2046),Lists!$B$26:$D$33,IF(ISERROR(FIND("J",D19)),3,2)))</f>
        <v>74</v>
      </c>
      <c r="G19" s="172">
        <v>23</v>
      </c>
      <c r="H19" s="173">
        <f>IF(AND(VALUE(E19)&gt;0,OR(LEFT(D19,1)="M",LEFT(D19,1)="F")),IF(LEFT(D19,1)="M",Wilks_Men(IF(RIGHT($F$7,4)="(lb)",E19/2.2046,E19)),Wilks_Women(IF(RIGHT($F$7,4)="(lb)",E19/2.2046,E19))),0)</f>
        <v>0.72640001773834229</v>
      </c>
      <c r="I19" s="251">
        <v>34735</v>
      </c>
      <c r="J19" s="128">
        <f ca="1">IF(I19,VLOOKUP(INT((NOW()-I19)/365.25),DATA!$A$2:$B$53,2,TRUE),0)</f>
        <v>1.01</v>
      </c>
      <c r="K19" s="172">
        <v>8</v>
      </c>
      <c r="L19" s="253">
        <v>145</v>
      </c>
      <c r="M19" s="253">
        <v>155</v>
      </c>
      <c r="N19" s="253">
        <v>160</v>
      </c>
      <c r="O19" s="176">
        <f t="shared" si="21"/>
        <v>160</v>
      </c>
      <c r="P19" s="177" t="s">
        <v>290</v>
      </c>
      <c r="Q19" s="253">
        <v>100</v>
      </c>
      <c r="R19" s="253">
        <v>105</v>
      </c>
      <c r="S19" s="253">
        <v>107.5</v>
      </c>
      <c r="T19" s="176">
        <f t="shared" si="22"/>
        <v>107.5</v>
      </c>
      <c r="U19" s="176">
        <f t="shared" si="23"/>
        <v>267.5</v>
      </c>
      <c r="V19" s="253">
        <v>197.5</v>
      </c>
      <c r="W19" s="259">
        <v>207.5</v>
      </c>
      <c r="X19" s="253">
        <v>212.5</v>
      </c>
      <c r="Y19" s="179">
        <f t="shared" si="24"/>
        <v>212.5</v>
      </c>
      <c r="Z19" s="176">
        <f t="shared" ca="1" si="25"/>
        <v>480</v>
      </c>
      <c r="AA19" s="180">
        <f t="shared" ca="1" si="26"/>
        <v>348.6720085144043</v>
      </c>
      <c r="AB19" s="180">
        <f t="shared" ca="1" si="27"/>
        <v>352.15872859954834</v>
      </c>
      <c r="AC19" s="170">
        <f ca="1">OFFSET(Setup!$F$1,MATCH(D19,INDIRECT("Setup!B1:B100"),0)-1,0)</f>
        <v>2</v>
      </c>
      <c r="AD19" s="181" t="str">
        <f t="shared" ca="1" si="28"/>
        <v>18-M-BL-PL</v>
      </c>
      <c r="AE19" s="172" t="s">
        <v>109</v>
      </c>
      <c r="AH19" s="182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3">
        <f t="shared" ca="1" si="33"/>
        <v>24</v>
      </c>
      <c r="AO19" s="183">
        <f t="shared" si="34"/>
        <v>73</v>
      </c>
      <c r="AP19" s="183">
        <f t="shared" ca="1" si="35"/>
        <v>42</v>
      </c>
      <c r="AQ19" s="183">
        <f t="shared" ca="1" si="36"/>
        <v>26</v>
      </c>
      <c r="AU19" s="183">
        <f t="shared" ca="1" si="37"/>
        <v>1</v>
      </c>
      <c r="AW19" s="183"/>
      <c r="AX19" s="185"/>
      <c r="AY19" s="185"/>
      <c r="AZ19" s="185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6">
        <v>43050.492129629631</v>
      </c>
      <c r="BQ19" s="118">
        <v>1</v>
      </c>
      <c r="BR19" s="118">
        <v>1</v>
      </c>
      <c r="BS19" s="118">
        <v>1</v>
      </c>
      <c r="BT19" s="186">
        <v>43050.538726851853</v>
      </c>
      <c r="BV19" s="118">
        <v>1</v>
      </c>
      <c r="BW19" s="118">
        <v>1</v>
      </c>
      <c r="BX19" s="118">
        <v>1</v>
      </c>
      <c r="BY19" s="186">
        <v>43050.587581018517</v>
      </c>
      <c r="BZ19" s="186">
        <f t="shared" ca="1" si="40"/>
        <v>43050.587581018517</v>
      </c>
      <c r="CA19" s="254">
        <v>0.58827546296296296</v>
      </c>
    </row>
    <row r="20" spans="1:79" ht="19.5" customHeight="1" x14ac:dyDescent="0.2">
      <c r="A20" s="257" t="s">
        <v>25</v>
      </c>
      <c r="B20" s="171" t="s">
        <v>287</v>
      </c>
      <c r="C20" s="171" t="s">
        <v>183</v>
      </c>
      <c r="D20" s="172" t="s">
        <v>223</v>
      </c>
      <c r="E20" s="172">
        <v>80.2</v>
      </c>
      <c r="F20" s="172">
        <f>IF(LEFT(D20,1)="M",VLOOKUP(IF($E$7="Bwt (kg)",E20,E20/2.2046),Lists!$B$16:$D$24,IF(ISERROR(FIND("J",D20)),3,2)),VLOOKUP(IF($E$7="Bwt (kg)",E20,E20/2.2046),Lists!$B$26:$D$33,IF(ISERROR(FIND("J",D20)),3,2)))</f>
        <v>83</v>
      </c>
      <c r="G20" s="172">
        <v>58</v>
      </c>
      <c r="H20" s="173">
        <f>IF(AND(VALUE(E20)&gt;0,OR(LEFT(D20,1)="M",LEFT(D20,1)="F")),IF(LEFT(D20,1)="M",Wilks_Men(IF(RIGHT($F$7,4)="(lb)",E20/2.2046,E20)),Wilks_Women(IF(RIGHT($F$7,4)="(lb)",E20/2.2046,E20))),0)</f>
        <v>0.68159997463226318</v>
      </c>
      <c r="I20" s="251">
        <v>30579</v>
      </c>
      <c r="J20" s="128">
        <f ca="1">IF(I20,VLOOKUP(INT((NOW()-I20)/365.25),DATA!$A$2:$B$53,2,TRUE),0)</f>
        <v>1</v>
      </c>
      <c r="K20" s="172">
        <v>9</v>
      </c>
      <c r="L20" s="253">
        <v>145</v>
      </c>
      <c r="M20" s="253">
        <v>150</v>
      </c>
      <c r="N20" s="175"/>
      <c r="O20" s="176">
        <f t="shared" si="21"/>
        <v>150</v>
      </c>
      <c r="P20" s="177" t="s">
        <v>288</v>
      </c>
      <c r="Q20" s="170">
        <v>115</v>
      </c>
      <c r="R20" s="170"/>
      <c r="S20" s="170"/>
      <c r="T20" s="176">
        <f t="shared" si="22"/>
        <v>0</v>
      </c>
      <c r="U20" s="176">
        <f t="shared" si="23"/>
        <v>0</v>
      </c>
      <c r="V20" s="170">
        <v>180</v>
      </c>
      <c r="W20" s="178"/>
      <c r="X20" s="170"/>
      <c r="Y20" s="179">
        <f t="shared" si="24"/>
        <v>0</v>
      </c>
      <c r="Z20" s="176">
        <f t="shared" ca="1" si="25"/>
        <v>0</v>
      </c>
      <c r="AA20" s="180">
        <f t="shared" ca="1" si="26"/>
        <v>0</v>
      </c>
      <c r="AB20" s="180">
        <f t="shared" ca="1" si="27"/>
        <v>0</v>
      </c>
      <c r="AC20" s="170">
        <f ca="1">OFFSET(Setup!$F$1,MATCH(D20,INDIRECT("Setup!B1:B100"),0)-1,0)</f>
        <v>2</v>
      </c>
      <c r="AD20" s="181" t="str">
        <f t="shared" ca="1" si="28"/>
        <v/>
      </c>
      <c r="AE20" s="172" t="s">
        <v>109</v>
      </c>
      <c r="AH20" s="182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3">
        <f t="shared" ca="1" si="33"/>
        <v>1</v>
      </c>
      <c r="AO20" s="183">
        <f t="shared" si="34"/>
        <v>80.2</v>
      </c>
      <c r="AP20" s="183">
        <f t="shared" ca="1" si="35"/>
        <v>34</v>
      </c>
      <c r="AQ20" s="183">
        <f t="shared" ca="1" si="36"/>
        <v>1</v>
      </c>
      <c r="AU20" s="183">
        <f t="shared" ca="1" si="37"/>
        <v>1</v>
      </c>
      <c r="AW20" s="183"/>
      <c r="AX20" s="185"/>
      <c r="AY20" s="185"/>
      <c r="AZ20" s="185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6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6">
        <f>IF(BX20=1,3,IF(BW20=1,2,IF(BV20=1,1,0)))</f>
        <v>0</v>
      </c>
      <c r="BZ20" s="186">
        <f t="shared" ca="1" si="40"/>
        <v>0</v>
      </c>
      <c r="CA20" s="254">
        <v>0.48466435185185186</v>
      </c>
    </row>
    <row r="21" spans="1:79" ht="19.5" customHeight="1" x14ac:dyDescent="0.2">
      <c r="A21" s="170" t="s">
        <v>25</v>
      </c>
      <c r="B21" s="171" t="s">
        <v>293</v>
      </c>
      <c r="C21" s="171" t="s">
        <v>219</v>
      </c>
      <c r="D21" s="172" t="s">
        <v>223</v>
      </c>
      <c r="E21" s="172">
        <v>73.2</v>
      </c>
      <c r="F21" s="172">
        <f>IF(LEFT(D21,1)="M",VLOOKUP(IF($E$7="Bwt (kg)",E21,E21/2.2046),Lists!$B$16:$D$24,IF(ISERROR(FIND("J",D21)),3,2)),VLOOKUP(IF($E$7="Bwt (kg)",E21,E21/2.2046),Lists!$B$26:$D$33,IF(ISERROR(FIND("J",D21)),3,2)))</f>
        <v>74</v>
      </c>
      <c r="G21" s="172">
        <v>29</v>
      </c>
      <c r="H21" s="173">
        <f>IF(AND(VALUE(E21)&gt;0,OR(LEFT(D21,1)="M",LEFT(D21,1)="F")),IF(LEFT(D21,1)="M",Wilks_Men(IF(RIGHT($F$7,4)="(lb)",E21/2.2046,E21)),Wilks_Women(IF(RIGHT($F$7,4)="(lb)",E21/2.2046,E21))),0)</f>
        <v>0.7249000072479248</v>
      </c>
      <c r="I21" s="251">
        <v>35596</v>
      </c>
      <c r="J21" s="128">
        <f ca="1">IF(I21,VLOOKUP(INT((NOW()-I21)/365.25),DATA!$A$2:$B$53,2,TRUE),0)</f>
        <v>1.03</v>
      </c>
      <c r="K21" s="172">
        <v>9</v>
      </c>
      <c r="L21" s="253">
        <v>150</v>
      </c>
      <c r="M21" s="253">
        <v>160</v>
      </c>
      <c r="N21" s="256">
        <v>-165</v>
      </c>
      <c r="O21" s="176">
        <f t="shared" si="21"/>
        <v>160</v>
      </c>
      <c r="P21" s="258" t="s">
        <v>290</v>
      </c>
      <c r="Q21" s="253">
        <v>100</v>
      </c>
      <c r="R21" s="256">
        <v>-110</v>
      </c>
      <c r="S21" s="253">
        <v>110</v>
      </c>
      <c r="T21" s="176">
        <f t="shared" si="22"/>
        <v>110</v>
      </c>
      <c r="U21" s="176">
        <f t="shared" si="23"/>
        <v>270</v>
      </c>
      <c r="V21" s="253">
        <v>150</v>
      </c>
      <c r="W21" s="260">
        <v>-160</v>
      </c>
      <c r="X21" s="256">
        <v>-160</v>
      </c>
      <c r="Y21" s="179">
        <f t="shared" si="24"/>
        <v>150</v>
      </c>
      <c r="Z21" s="176">
        <f t="shared" ca="1" si="25"/>
        <v>420</v>
      </c>
      <c r="AA21" s="180">
        <f t="shared" ca="1" si="26"/>
        <v>304.45800304412842</v>
      </c>
      <c r="AB21" s="180">
        <f t="shared" ca="1" si="27"/>
        <v>313.5917431354523</v>
      </c>
      <c r="AC21" s="170">
        <f ca="1">OFFSET(Setup!$F$1,MATCH(D21,INDIRECT("Setup!B1:B100"),0)-1,0)</f>
        <v>2</v>
      </c>
      <c r="AD21" s="181" t="str">
        <f t="shared" ca="1" si="28"/>
        <v>25-M-BL-PL</v>
      </c>
      <c r="AE21" s="172" t="s">
        <v>109</v>
      </c>
      <c r="AH21" s="182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3">
        <f t="shared" ca="1" si="33"/>
        <v>21</v>
      </c>
      <c r="AO21" s="183">
        <f t="shared" si="34"/>
        <v>73.2</v>
      </c>
      <c r="AP21" s="183">
        <f t="shared" ca="1" si="35"/>
        <v>41</v>
      </c>
      <c r="AQ21" s="183">
        <f t="shared" ca="1" si="36"/>
        <v>20</v>
      </c>
      <c r="AU21" s="183">
        <f t="shared" ca="1" si="37"/>
        <v>1</v>
      </c>
      <c r="AW21" s="183"/>
      <c r="AX21" s="185"/>
      <c r="AY21" s="185"/>
      <c r="AZ21" s="185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6">
        <v>43050.485949074071</v>
      </c>
      <c r="BQ21" s="118">
        <v>1</v>
      </c>
      <c r="BR21" s="118">
        <v>-1</v>
      </c>
      <c r="BS21" s="118">
        <v>1</v>
      </c>
      <c r="BT21" s="186">
        <v>43050.539456018516</v>
      </c>
      <c r="BV21" s="118">
        <v>1</v>
      </c>
      <c r="BW21" s="118">
        <v>-1</v>
      </c>
      <c r="BX21" s="118">
        <v>-1</v>
      </c>
      <c r="BY21" s="186">
        <v>43050.571516203701</v>
      </c>
      <c r="BZ21" s="186">
        <f t="shared" ca="1" si="40"/>
        <v>43050.571516203701</v>
      </c>
      <c r="CA21" s="254">
        <v>0.58578703703703705</v>
      </c>
    </row>
    <row r="22" spans="1:79" ht="19.5" customHeight="1" x14ac:dyDescent="0.2">
      <c r="A22" s="170" t="s">
        <v>25</v>
      </c>
      <c r="B22" s="171" t="s">
        <v>280</v>
      </c>
      <c r="C22" s="171" t="s">
        <v>183</v>
      </c>
      <c r="D22" s="172" t="s">
        <v>223</v>
      </c>
      <c r="E22" s="172">
        <v>82.4</v>
      </c>
      <c r="F22" s="172">
        <f>IF(LEFT(D22,1)="M",VLOOKUP(IF($E$7="Bwt (kg)",E22,E22/2.2046),Lists!$B$16:$D$24,IF(ISERROR(FIND("J",D22)),3,2)),VLOOKUP(IF($E$7="Bwt (kg)",E22,E22/2.2046),Lists!$B$26:$D$33,IF(ISERROR(FIND("J",D22)),3,2)))</f>
        <v>83</v>
      </c>
      <c r="G22" s="172">
        <v>19</v>
      </c>
      <c r="H22" s="173">
        <f>IF(AND(VALUE(E22)&gt;0,OR(LEFT(D22,1)="M",LEFT(D22,1)="F")),IF(LEFT(D22,1)="M",Wilks_Men(IF(RIGHT($F$7,4)="(lb)",E22/2.2046,E22)),Wilks_Women(IF(RIGHT($F$7,4)="(lb)",E22/2.2046,E22))),0)</f>
        <v>0.67040002346038818</v>
      </c>
      <c r="I22" s="251">
        <v>30116</v>
      </c>
      <c r="J22" s="128">
        <f ca="1">IF(I22,VLOOKUP(INT((NOW()-I22)/365.25),DATA!$A$2:$B$53,2,TRUE),0)</f>
        <v>1</v>
      </c>
      <c r="K22" s="172">
        <v>9</v>
      </c>
      <c r="L22" s="253">
        <v>152.5</v>
      </c>
      <c r="M22" s="253">
        <v>162.5</v>
      </c>
      <c r="N22" s="253">
        <v>170</v>
      </c>
      <c r="O22" s="176">
        <f t="shared" si="21"/>
        <v>170</v>
      </c>
      <c r="P22" s="177" t="s">
        <v>260</v>
      </c>
      <c r="Q22" s="253">
        <v>165</v>
      </c>
      <c r="R22" s="253">
        <v>170</v>
      </c>
      <c r="S22" s="253">
        <v>175</v>
      </c>
      <c r="T22" s="176">
        <f t="shared" si="22"/>
        <v>175</v>
      </c>
      <c r="U22" s="176">
        <f t="shared" si="23"/>
        <v>345</v>
      </c>
      <c r="V22" s="253">
        <v>200</v>
      </c>
      <c r="W22" s="259">
        <v>215</v>
      </c>
      <c r="X22" s="253">
        <v>222.5</v>
      </c>
      <c r="Y22" s="179">
        <f t="shared" si="24"/>
        <v>222.5</v>
      </c>
      <c r="Z22" s="176">
        <f t="shared" ca="1" si="25"/>
        <v>567.5</v>
      </c>
      <c r="AA22" s="180">
        <f t="shared" ca="1" si="26"/>
        <v>380.45201331377029</v>
      </c>
      <c r="AB22" s="180">
        <f t="shared" ca="1" si="27"/>
        <v>380.45201331377029</v>
      </c>
      <c r="AC22" s="170">
        <f ca="1">OFFSET(Setup!$F$1,MATCH(D22,INDIRECT("Setup!B1:B100"),0)-1,0)</f>
        <v>2</v>
      </c>
      <c r="AD22" s="181" t="str">
        <f t="shared" ca="1" si="28"/>
        <v>9-M-BL-PL</v>
      </c>
      <c r="AE22" s="172" t="s">
        <v>109</v>
      </c>
      <c r="AH22" s="182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3">
        <f t="shared" ca="1" si="33"/>
        <v>35</v>
      </c>
      <c r="AO22" s="183">
        <f t="shared" si="34"/>
        <v>82.4</v>
      </c>
      <c r="AP22" s="183">
        <f t="shared" ca="1" si="35"/>
        <v>32</v>
      </c>
      <c r="AQ22" s="183">
        <f t="shared" ca="1" si="36"/>
        <v>28</v>
      </c>
      <c r="AU22" s="183">
        <f t="shared" ca="1" si="37"/>
        <v>1</v>
      </c>
      <c r="AW22" s="183"/>
      <c r="AX22" s="185"/>
      <c r="AY22" s="185"/>
      <c r="AZ22" s="185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6">
        <v>43050.493541666663</v>
      </c>
      <c r="BQ22" s="118">
        <v>1</v>
      </c>
      <c r="BR22" s="118">
        <v>1</v>
      </c>
      <c r="BS22" s="118">
        <v>1</v>
      </c>
      <c r="BT22" s="186">
        <v>43050.545335648145</v>
      </c>
      <c r="BV22" s="118">
        <v>1</v>
      </c>
      <c r="BW22" s="118">
        <v>1</v>
      </c>
      <c r="BX22" s="118">
        <v>1</v>
      </c>
      <c r="BY22" s="186">
        <v>43050.590069444443</v>
      </c>
      <c r="BZ22" s="186">
        <f t="shared" ca="1" si="40"/>
        <v>43050.590069444443</v>
      </c>
      <c r="CA22" s="254">
        <v>0.59076388888888887</v>
      </c>
    </row>
    <row r="23" spans="1:79" ht="19.5" customHeight="1" x14ac:dyDescent="0.2">
      <c r="A23" s="170" t="s">
        <v>25</v>
      </c>
      <c r="B23" s="171" t="s">
        <v>282</v>
      </c>
      <c r="C23" s="171" t="s">
        <v>212</v>
      </c>
      <c r="D23" s="172" t="s">
        <v>223</v>
      </c>
      <c r="E23" s="172">
        <v>81.900000000000006</v>
      </c>
      <c r="F23" s="172">
        <f>IF(LEFT(D23,1)="M",VLOOKUP(IF($E$7="Bwt (kg)",E23,E23/2.2046),Lists!$B$16:$D$24,IF(ISERROR(FIND("J",D23)),3,2)),VLOOKUP(IF($E$7="Bwt (kg)",E23,E23/2.2046),Lists!$B$26:$D$33,IF(ISERROR(FIND("J",D23)),3,2)))</f>
        <v>83</v>
      </c>
      <c r="G23" s="172">
        <v>51</v>
      </c>
      <c r="H23" s="173">
        <f>IF(AND(VALUE(E23)&gt;0,OR(LEFT(D23,1)="M",LEFT(D23,1)="F")),IF(LEFT(D23,1)="M",Wilks_Men(IF(RIGHT($F$7,4)="(lb)",E23/2.2046,E23)),Wilks_Women(IF(RIGHT($F$7,4)="(lb)",E23/2.2046,E23))),0)</f>
        <v>0.67290002107620239</v>
      </c>
      <c r="I23" s="251">
        <v>34787</v>
      </c>
      <c r="J23" s="128">
        <f ca="1">IF(I23,VLOOKUP(INT((NOW()-I23)/365.25),DATA!$A$2:$B$53,2,TRUE),0)</f>
        <v>1.01</v>
      </c>
      <c r="K23" s="172">
        <v>9</v>
      </c>
      <c r="L23" s="253">
        <v>170</v>
      </c>
      <c r="M23" s="253">
        <v>180</v>
      </c>
      <c r="N23" s="253">
        <v>182.5</v>
      </c>
      <c r="O23" s="176">
        <f t="shared" si="21"/>
        <v>182.5</v>
      </c>
      <c r="P23" s="177" t="s">
        <v>255</v>
      </c>
      <c r="Q23" s="253">
        <v>120</v>
      </c>
      <c r="R23" s="256">
        <v>-130</v>
      </c>
      <c r="S23" s="253">
        <v>130</v>
      </c>
      <c r="T23" s="176">
        <f t="shared" si="22"/>
        <v>130</v>
      </c>
      <c r="U23" s="176">
        <f t="shared" si="23"/>
        <v>312.5</v>
      </c>
      <c r="V23" s="253">
        <v>215</v>
      </c>
      <c r="W23" s="260">
        <v>-225</v>
      </c>
      <c r="X23" s="256">
        <v>-225</v>
      </c>
      <c r="Y23" s="179">
        <f t="shared" si="24"/>
        <v>215</v>
      </c>
      <c r="Z23" s="176">
        <f t="shared" ca="1" si="25"/>
        <v>527.5</v>
      </c>
      <c r="AA23" s="180">
        <f t="shared" ca="1" si="26"/>
        <v>354.95476111769676</v>
      </c>
      <c r="AB23" s="180">
        <f t="shared" ca="1" si="27"/>
        <v>358.50430872887375</v>
      </c>
      <c r="AC23" s="170">
        <f ca="1">OFFSET(Setup!$F$1,MATCH(D23,INDIRECT("Setup!B1:B100"),0)-1,0)</f>
        <v>2</v>
      </c>
      <c r="AD23" s="181" t="str">
        <f t="shared" ca="1" si="28"/>
        <v>17-M-BL-PL</v>
      </c>
      <c r="AE23" s="172" t="s">
        <v>109</v>
      </c>
      <c r="AH23" s="182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3">
        <f t="shared" ca="1" si="33"/>
        <v>28</v>
      </c>
      <c r="AO23" s="183">
        <f t="shared" si="34"/>
        <v>81.900000000000006</v>
      </c>
      <c r="AP23" s="183">
        <f t="shared" ca="1" si="35"/>
        <v>33</v>
      </c>
      <c r="AQ23" s="183">
        <f t="shared" ca="1" si="36"/>
        <v>21</v>
      </c>
      <c r="AU23" s="183">
        <f t="shared" ca="1" si="37"/>
        <v>1</v>
      </c>
      <c r="AW23" s="183"/>
      <c r="AX23" s="185"/>
      <c r="AY23" s="185"/>
      <c r="AZ23" s="185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6">
        <v>43050.494270833333</v>
      </c>
      <c r="BQ23" s="118">
        <v>1</v>
      </c>
      <c r="BR23" s="118">
        <v>-1</v>
      </c>
      <c r="BS23" s="118">
        <v>1</v>
      </c>
      <c r="BT23" s="186">
        <v>43050.543113425927</v>
      </c>
      <c r="BV23" s="118">
        <v>1</v>
      </c>
      <c r="BW23" s="118">
        <v>-1</v>
      </c>
      <c r="BX23" s="118">
        <v>-1</v>
      </c>
      <c r="BY23" s="186">
        <v>43050.577210648145</v>
      </c>
      <c r="BZ23" s="186">
        <f t="shared" ca="1" si="40"/>
        <v>43050.577210648145</v>
      </c>
      <c r="CA23" s="254">
        <v>0.59164351851851849</v>
      </c>
    </row>
    <row r="24" spans="1:79" ht="19.5" customHeight="1" x14ac:dyDescent="0.2">
      <c r="A24" s="170" t="s">
        <v>25</v>
      </c>
      <c r="B24" s="171" t="s">
        <v>281</v>
      </c>
      <c r="C24" s="171" t="s">
        <v>211</v>
      </c>
      <c r="D24" s="172" t="s">
        <v>223</v>
      </c>
      <c r="E24" s="172">
        <v>95.05</v>
      </c>
      <c r="F24" s="172">
        <f>IF(LEFT(D24,1)="M",VLOOKUP(IF($E$7="Bwt (kg)",E24,E24/2.2046),Lists!$B$16:$D$24,IF(ISERROR(FIND("J",D24)),3,2)),VLOOKUP(IF($E$7="Bwt (kg)",E24,E24/2.2046),Lists!$B$26:$D$33,IF(ISERROR(FIND("J",D24)),3,2)))</f>
        <v>105</v>
      </c>
      <c r="G24" s="172">
        <v>39</v>
      </c>
      <c r="H24" s="173">
        <f>IF(AND(VALUE(E24)&gt;0,OR(LEFT(D24,1)="M",LEFT(D24,1)="F")),IF(LEFT(D24,1)="M",Wilks_Men(IF(RIGHT($F$7,4)="(lb)",E24/2.2046,E24)),Wilks_Women(IF(RIGHT($F$7,4)="(lb)",E24/2.2046,E24))),0)</f>
        <v>0.62190002202987671</v>
      </c>
      <c r="I24" s="251">
        <v>32054</v>
      </c>
      <c r="J24" s="128">
        <f ca="1">IF(I24,VLOOKUP(INT((NOW()-I24)/365.25),DATA!$A$2:$B$53,2,TRUE),0)</f>
        <v>1</v>
      </c>
      <c r="K24" s="172">
        <v>11</v>
      </c>
      <c r="L24" s="253">
        <v>180</v>
      </c>
      <c r="M24" s="253">
        <v>190</v>
      </c>
      <c r="N24" s="253">
        <v>200</v>
      </c>
      <c r="O24" s="176">
        <f t="shared" si="21"/>
        <v>200</v>
      </c>
      <c r="P24" s="177" t="s">
        <v>260</v>
      </c>
      <c r="Q24" s="253">
        <v>150</v>
      </c>
      <c r="R24" s="253">
        <v>155</v>
      </c>
      <c r="S24" s="256">
        <v>-160</v>
      </c>
      <c r="T24" s="176">
        <f t="shared" si="22"/>
        <v>155</v>
      </c>
      <c r="U24" s="176">
        <f t="shared" si="23"/>
        <v>355</v>
      </c>
      <c r="V24" s="253">
        <v>190</v>
      </c>
      <c r="W24" s="259">
        <v>220</v>
      </c>
      <c r="X24" s="253">
        <v>240</v>
      </c>
      <c r="Y24" s="179">
        <f t="shared" si="24"/>
        <v>240</v>
      </c>
      <c r="Z24" s="176">
        <f t="shared" ca="1" si="25"/>
        <v>595</v>
      </c>
      <c r="AA24" s="180">
        <f t="shared" ca="1" si="26"/>
        <v>370.03051310777664</v>
      </c>
      <c r="AB24" s="180">
        <f t="shared" ca="1" si="27"/>
        <v>370.03051310777664</v>
      </c>
      <c r="AC24" s="170">
        <f ca="1">OFFSET(Setup!$F$1,MATCH(D24,INDIRECT("Setup!B1:B100"),0)-1,0)</f>
        <v>2</v>
      </c>
      <c r="AD24" s="181" t="str">
        <f t="shared" ca="1" si="28"/>
        <v>13-M-BL-PL</v>
      </c>
      <c r="AE24" s="172" t="s">
        <v>109</v>
      </c>
      <c r="AH24" s="182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3">
        <f t="shared" ca="1" si="33"/>
        <v>40</v>
      </c>
      <c r="AO24" s="183">
        <f t="shared" si="34"/>
        <v>95.05</v>
      </c>
      <c r="AP24" s="183">
        <f t="shared" ca="1" si="35"/>
        <v>12</v>
      </c>
      <c r="AQ24" s="183">
        <f t="shared" ca="1" si="36"/>
        <v>29</v>
      </c>
      <c r="AU24" s="183">
        <f t="shared" ca="1" si="37"/>
        <v>1</v>
      </c>
      <c r="AW24" s="183"/>
      <c r="AX24" s="185"/>
      <c r="AY24" s="185"/>
      <c r="AZ24" s="185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6">
        <v>43050.495567129627</v>
      </c>
      <c r="BQ24" s="118">
        <v>1</v>
      </c>
      <c r="BR24" s="118">
        <v>1</v>
      </c>
      <c r="BS24" s="118">
        <v>-1</v>
      </c>
      <c r="BT24" s="186">
        <v>43050.536979166667</v>
      </c>
      <c r="BV24" s="118">
        <v>1</v>
      </c>
      <c r="BW24" s="118">
        <v>1</v>
      </c>
      <c r="BX24" s="118">
        <v>1</v>
      </c>
      <c r="BY24" s="186">
        <v>43050.591817129629</v>
      </c>
      <c r="BZ24" s="186">
        <f t="shared" ca="1" si="40"/>
        <v>43050.591817129629</v>
      </c>
      <c r="CA24" s="254">
        <v>0.59251157407407407</v>
      </c>
    </row>
    <row r="25" spans="1:79" ht="19.5" customHeight="1" x14ac:dyDescent="0.2">
      <c r="A25" s="170" t="s">
        <v>25</v>
      </c>
      <c r="B25" s="171" t="s">
        <v>283</v>
      </c>
      <c r="C25" s="171" t="s">
        <v>183</v>
      </c>
      <c r="D25" s="172" t="s">
        <v>223</v>
      </c>
      <c r="E25" s="172">
        <v>73.400000000000006</v>
      </c>
      <c r="F25" s="172">
        <f>IF(LEFT(D25,1)="M",VLOOKUP(IF($E$7="Bwt (kg)",E25,E25/2.2046),Lists!$B$16:$D$24,IF(ISERROR(FIND("J",D25)),3,2)),VLOOKUP(IF($E$7="Bwt (kg)",E25,E25/2.2046),Lists!$B$26:$D$33,IF(ISERROR(FIND("J",D25)),3,2)))</f>
        <v>74</v>
      </c>
      <c r="G25" s="172">
        <v>41</v>
      </c>
      <c r="H25" s="173">
        <f>IF(AND(VALUE(E25)&gt;0,OR(LEFT(D25,1)="M",LEFT(D25,1)="F")),IF(LEFT(D25,1)="M",Wilks_Men(IF(RIGHT($F$7,4)="(lb)",E25/2.2046,E25)),Wilks_Women(IF(RIGHT($F$7,4)="(lb)",E25/2.2046,E25))),0)</f>
        <v>0.72350001335144043</v>
      </c>
      <c r="I25" s="251">
        <v>32008</v>
      </c>
      <c r="J25" s="128">
        <f ca="1">IF(I25,VLOOKUP(INT((NOW()-I25)/365.25),DATA!$A$2:$B$53,2,TRUE),0)</f>
        <v>1</v>
      </c>
      <c r="K25" s="172">
        <v>8</v>
      </c>
      <c r="L25" s="253">
        <v>180</v>
      </c>
      <c r="M25" s="253">
        <v>190</v>
      </c>
      <c r="N25" s="253">
        <v>200</v>
      </c>
      <c r="O25" s="176">
        <f t="shared" si="21"/>
        <v>200</v>
      </c>
      <c r="P25" s="177" t="s">
        <v>279</v>
      </c>
      <c r="Q25" s="253">
        <v>115</v>
      </c>
      <c r="R25" s="253">
        <v>122.5</v>
      </c>
      <c r="S25" s="253">
        <v>127.5</v>
      </c>
      <c r="T25" s="176">
        <f t="shared" si="22"/>
        <v>127.5</v>
      </c>
      <c r="U25" s="176">
        <f t="shared" si="23"/>
        <v>327.5</v>
      </c>
      <c r="V25" s="253">
        <v>200</v>
      </c>
      <c r="W25" s="259">
        <v>210</v>
      </c>
      <c r="X25" s="256">
        <v>-220</v>
      </c>
      <c r="Y25" s="179">
        <f t="shared" si="24"/>
        <v>210</v>
      </c>
      <c r="Z25" s="176">
        <f t="shared" ca="1" si="25"/>
        <v>537.5</v>
      </c>
      <c r="AA25" s="180">
        <f t="shared" ca="1" si="26"/>
        <v>388.88125717639923</v>
      </c>
      <c r="AB25" s="180">
        <f t="shared" ca="1" si="27"/>
        <v>388.88125717639923</v>
      </c>
      <c r="AC25" s="170">
        <f ca="1">OFFSET(Setup!$F$1,MATCH(D25,INDIRECT("Setup!B1:B100"),0)-1,0)</f>
        <v>2</v>
      </c>
      <c r="AD25" s="181" t="str">
        <f t="shared" ca="1" si="28"/>
        <v>7-M-BL-PL</v>
      </c>
      <c r="AE25" s="172" t="s">
        <v>109</v>
      </c>
      <c r="AH25" s="182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3">
        <f t="shared" ca="1" si="33"/>
        <v>30</v>
      </c>
      <c r="AO25" s="183">
        <f t="shared" si="34"/>
        <v>73.400000000000006</v>
      </c>
      <c r="AP25" s="183">
        <f t="shared" ca="1" si="35"/>
        <v>40</v>
      </c>
      <c r="AQ25" s="183">
        <f t="shared" ca="1" si="36"/>
        <v>22</v>
      </c>
      <c r="AU25" s="183">
        <f t="shared" ca="1" si="37"/>
        <v>1</v>
      </c>
      <c r="AW25" s="183"/>
      <c r="AX25" s="185"/>
      <c r="AY25" s="185"/>
      <c r="AZ25" s="185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6">
        <v>43050.496053240742</v>
      </c>
      <c r="BQ25" s="118">
        <v>1</v>
      </c>
      <c r="BR25" s="118">
        <v>1</v>
      </c>
      <c r="BS25" s="118">
        <v>1</v>
      </c>
      <c r="BT25" s="186">
        <v>43050.540879629632</v>
      </c>
      <c r="BV25" s="118">
        <v>1</v>
      </c>
      <c r="BW25" s="118">
        <v>1</v>
      </c>
      <c r="BX25" s="118">
        <v>-1</v>
      </c>
      <c r="BY25" s="186">
        <v>43050.581273148149</v>
      </c>
      <c r="BZ25" s="186">
        <f t="shared" ca="1" si="40"/>
        <v>43050.581273148149</v>
      </c>
      <c r="CA25" s="254">
        <v>0.58975694444444449</v>
      </c>
    </row>
    <row r="26" spans="1:79" ht="19.5" customHeight="1" x14ac:dyDescent="0.2">
      <c r="A26" s="170" t="s">
        <v>25</v>
      </c>
      <c r="B26" s="171" t="s">
        <v>286</v>
      </c>
      <c r="C26" s="171" t="s">
        <v>211</v>
      </c>
      <c r="D26" s="172" t="s">
        <v>223</v>
      </c>
      <c r="E26" s="172">
        <v>78.75</v>
      </c>
      <c r="F26" s="172">
        <f>IF(LEFT(D26,1)="M",VLOOKUP(IF($E$7="Bwt (kg)",E26,E26/2.2046),Lists!$B$16:$D$24,IF(ISERROR(FIND("J",D26)),3,2)),VLOOKUP(IF($E$7="Bwt (kg)",E26,E26/2.2046),Lists!$B$26:$D$33,IF(ISERROR(FIND("J",D26)),3,2)))</f>
        <v>83</v>
      </c>
      <c r="G26" s="172">
        <v>6</v>
      </c>
      <c r="H26" s="173">
        <f>IF(AND(VALUE(E26)&gt;0,OR(LEFT(D26,1)="M",LEFT(D26,1)="F")),IF(LEFT(D26,1)="M",Wilks_Men(IF(RIGHT($F$7,4)="(lb)",E26/2.2046,E26)),Wilks_Women(IF(RIGHT($F$7,4)="(lb)",E26/2.2046,E26))),0)</f>
        <v>0.68959999084472656</v>
      </c>
      <c r="I26" s="251">
        <v>36748</v>
      </c>
      <c r="J26" s="128">
        <f ca="1">IF(I26,VLOOKUP(INT((NOW()-I26)/365.25),DATA!$A$2:$B$53,2,TRUE),0)</f>
        <v>1.08</v>
      </c>
      <c r="K26" s="172">
        <v>8</v>
      </c>
      <c r="L26" s="253">
        <v>190</v>
      </c>
      <c r="M26" s="256">
        <v>-200</v>
      </c>
      <c r="N26" s="253">
        <v>200</v>
      </c>
      <c r="O26" s="176">
        <f t="shared" si="21"/>
        <v>200</v>
      </c>
      <c r="P26" s="177" t="s">
        <v>285</v>
      </c>
      <c r="Q26" s="253">
        <v>120</v>
      </c>
      <c r="R26" s="256">
        <v>-130</v>
      </c>
      <c r="S26" s="256">
        <v>-130</v>
      </c>
      <c r="T26" s="176">
        <f t="shared" si="22"/>
        <v>120</v>
      </c>
      <c r="U26" s="176">
        <f t="shared" si="23"/>
        <v>320</v>
      </c>
      <c r="V26" s="253">
        <v>180</v>
      </c>
      <c r="W26" s="259">
        <v>200</v>
      </c>
      <c r="X26" s="253">
        <v>210</v>
      </c>
      <c r="Y26" s="179">
        <f t="shared" si="24"/>
        <v>210</v>
      </c>
      <c r="Z26" s="176">
        <f t="shared" ca="1" si="25"/>
        <v>530</v>
      </c>
      <c r="AA26" s="180">
        <f t="shared" ca="1" si="26"/>
        <v>365.48799514770508</v>
      </c>
      <c r="AB26" s="180">
        <f t="shared" ca="1" si="27"/>
        <v>394.72703475952153</v>
      </c>
      <c r="AC26" s="170">
        <f ca="1">OFFSET(Setup!$F$1,MATCH(D26,INDIRECT("Setup!B1:B100"),0)-1,0)</f>
        <v>2</v>
      </c>
      <c r="AD26" s="181" t="str">
        <f t="shared" ca="1" si="28"/>
        <v>14-M-BL-PL</v>
      </c>
      <c r="AE26" s="172" t="s">
        <v>109</v>
      </c>
      <c r="AH26" s="182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3">
        <f t="shared" ca="1" si="33"/>
        <v>29</v>
      </c>
      <c r="AO26" s="183">
        <f t="shared" si="34"/>
        <v>78.75</v>
      </c>
      <c r="AP26" s="183">
        <f t="shared" ca="1" si="35"/>
        <v>36</v>
      </c>
      <c r="AQ26" s="183">
        <f t="shared" ca="1" si="36"/>
        <v>25</v>
      </c>
      <c r="AU26" s="183">
        <f t="shared" ca="1" si="37"/>
        <v>1</v>
      </c>
      <c r="AW26" s="183"/>
      <c r="AX26" s="185"/>
      <c r="AY26" s="185"/>
      <c r="AZ26" s="185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6">
        <v>43050.494953703703</v>
      </c>
      <c r="BQ26" s="118">
        <v>1</v>
      </c>
      <c r="BR26" s="118">
        <v>-1</v>
      </c>
      <c r="BS26" s="118">
        <v>-1</v>
      </c>
      <c r="BT26" s="186">
        <v>43050.528090277781</v>
      </c>
      <c r="BV26" s="118">
        <v>1</v>
      </c>
      <c r="BW26" s="118">
        <v>1</v>
      </c>
      <c r="BX26" s="118">
        <v>1</v>
      </c>
      <c r="BY26" s="186">
        <v>43050.586851851855</v>
      </c>
      <c r="BZ26" s="186">
        <f t="shared" ca="1" si="40"/>
        <v>43050.586851851855</v>
      </c>
      <c r="CA26" s="254">
        <v>0.58754629629629629</v>
      </c>
    </row>
    <row r="27" spans="1:79" ht="19.5" customHeight="1" x14ac:dyDescent="0.2">
      <c r="A27" s="170" t="s">
        <v>25</v>
      </c>
      <c r="B27" s="171" t="s">
        <v>284</v>
      </c>
      <c r="C27" s="171" t="s">
        <v>211</v>
      </c>
      <c r="D27" s="172" t="s">
        <v>221</v>
      </c>
      <c r="E27" s="172">
        <v>74.650000000000006</v>
      </c>
      <c r="F27" s="172">
        <f>IF(LEFT(D27,1)="M",VLOOKUP(IF($E$7="Bwt (kg)",E27,E27/2.2046),Lists!$B$16:$D$24,IF(ISERROR(FIND("J",D27)),3,2)),VLOOKUP(IF($E$7="Bwt (kg)",E27,E27/2.2046),Lists!$B$26:$D$33,IF(ISERROR(FIND("J",D27)),3,2)))</f>
        <v>83</v>
      </c>
      <c r="G27" s="172">
        <v>21</v>
      </c>
      <c r="H27" s="173">
        <f>IF(AND(VALUE(E27)&gt;0,OR(LEFT(D27,1)="M",LEFT(D27,1)="F")),IF(LEFT(D27,1)="M",Wilks_Men(IF(RIGHT($F$7,4)="(lb)",E27/2.2046,E27)),Wilks_Women(IF(RIGHT($F$7,4)="(lb)",E27/2.2046,E27))),0)</f>
        <v>0.71490001678466797</v>
      </c>
      <c r="I27" s="251">
        <v>21573</v>
      </c>
      <c r="J27" s="128">
        <f ca="1">IF(I27,VLOOKUP(INT((NOW()-I27)/365.25),DATA!$A$2:$B$53,2,TRUE),0)</f>
        <v>1.292</v>
      </c>
      <c r="K27" s="172">
        <v>6</v>
      </c>
      <c r="L27" s="253">
        <v>195</v>
      </c>
      <c r="M27" s="253">
        <v>205</v>
      </c>
      <c r="N27" s="253">
        <v>212.5</v>
      </c>
      <c r="O27" s="176">
        <f t="shared" si="21"/>
        <v>212.5</v>
      </c>
      <c r="P27" s="177" t="s">
        <v>285</v>
      </c>
      <c r="Q27" s="253">
        <v>120</v>
      </c>
      <c r="R27" s="253">
        <v>127.5</v>
      </c>
      <c r="S27" s="253">
        <v>132.5</v>
      </c>
      <c r="T27" s="176">
        <f t="shared" si="22"/>
        <v>132.5</v>
      </c>
      <c r="U27" s="176">
        <f t="shared" si="23"/>
        <v>345</v>
      </c>
      <c r="V27" s="253">
        <v>200</v>
      </c>
      <c r="W27" s="259">
        <v>215</v>
      </c>
      <c r="X27" s="170"/>
      <c r="Y27" s="179">
        <f t="shared" si="24"/>
        <v>215</v>
      </c>
      <c r="Z27" s="176">
        <f t="shared" ca="1" si="25"/>
        <v>560</v>
      </c>
      <c r="AA27" s="180">
        <f t="shared" ca="1" si="26"/>
        <v>400.34400939941406</v>
      </c>
      <c r="AB27" s="180">
        <f t="shared" ca="1" si="27"/>
        <v>517.24446014404293</v>
      </c>
      <c r="AC27" s="170">
        <f ca="1">OFFSET(Setup!$F$1,MATCH(D27,INDIRECT("Setup!B1:B100"),0)-1,0)</f>
        <v>2</v>
      </c>
      <c r="AD27" s="181" t="str">
        <f t="shared" ca="1" si="28"/>
        <v>2-M-EQ-PL</v>
      </c>
      <c r="AE27" s="172" t="s">
        <v>109</v>
      </c>
      <c r="AH27" s="182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3">
        <f t="shared" ca="1" si="33"/>
        <v>34</v>
      </c>
      <c r="AO27" s="183">
        <f t="shared" si="34"/>
        <v>74.650000000000006</v>
      </c>
      <c r="AP27" s="183">
        <f t="shared" ca="1" si="35"/>
        <v>38</v>
      </c>
      <c r="AQ27" s="183">
        <f t="shared" ca="1" si="36"/>
        <v>23</v>
      </c>
      <c r="AU27" s="183">
        <f t="shared" ca="1" si="37"/>
        <v>1</v>
      </c>
      <c r="AW27" s="183"/>
      <c r="AX27" s="185"/>
      <c r="AY27" s="185"/>
      <c r="AZ27" s="185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6">
        <v>43050.496851851851</v>
      </c>
      <c r="BQ27" s="118">
        <v>1</v>
      </c>
      <c r="BR27" s="118">
        <v>1</v>
      </c>
      <c r="BS27" s="118">
        <v>1</v>
      </c>
      <c r="BT27" s="186">
        <v>43050.543657407405</v>
      </c>
      <c r="BV27" s="118">
        <v>1</v>
      </c>
      <c r="BW27" s="118">
        <v>1</v>
      </c>
      <c r="BX27" s="118">
        <v>0</v>
      </c>
      <c r="BY27" s="186">
        <v>43050.582777777781</v>
      </c>
      <c r="BZ27" s="186">
        <f t="shared" ca="1" si="40"/>
        <v>43050.582777777781</v>
      </c>
      <c r="CA27" s="254">
        <v>0.58347222222222228</v>
      </c>
    </row>
    <row r="28" spans="1:79" ht="19.5" customHeight="1" x14ac:dyDescent="0.2">
      <c r="A28" s="170" t="s">
        <v>25</v>
      </c>
      <c r="B28" s="171" t="s">
        <v>289</v>
      </c>
      <c r="C28" s="171" t="s">
        <v>211</v>
      </c>
      <c r="D28" s="172" t="s">
        <v>221</v>
      </c>
      <c r="E28" s="172">
        <v>75.400000000000006</v>
      </c>
      <c r="F28" s="172">
        <f>IF(LEFT(D28,1)="M",VLOOKUP(IF($E$7="Bwt (kg)",E28,E28/2.2046),Lists!$B$16:$D$24,IF(ISERROR(FIND("J",D28)),3,2)),VLOOKUP(IF($E$7="Bwt (kg)",E28,E28/2.2046),Lists!$B$26:$D$33,IF(ISERROR(FIND("J",D28)),3,2)))</f>
        <v>83</v>
      </c>
      <c r="G28" s="172">
        <v>35</v>
      </c>
      <c r="H28" s="173">
        <f>IF(AND(VALUE(E28)&gt;0,OR(LEFT(D28,1)="M",LEFT(D28,1)="F")),IF(LEFT(D28,1)="M",Wilks_Men(IF(RIGHT($F$7,4)="(lb)",E28/2.2046,E28)),Wilks_Women(IF(RIGHT($F$7,4)="(lb)",E28/2.2046,E28))),0)</f>
        <v>0.70990002155303955</v>
      </c>
      <c r="I28" s="251">
        <v>22014</v>
      </c>
      <c r="J28" s="128">
        <f ca="1">IF(I28,VLOOKUP(INT((NOW()-I28)/365.25),DATA!$A$2:$B$53,2,TRUE),0)</f>
        <v>1.258</v>
      </c>
      <c r="K28" s="172">
        <v>5</v>
      </c>
      <c r="L28" s="253">
        <v>195</v>
      </c>
      <c r="M28" s="253">
        <v>210</v>
      </c>
      <c r="N28" s="253">
        <v>225</v>
      </c>
      <c r="O28" s="176">
        <f t="shared" si="21"/>
        <v>225</v>
      </c>
      <c r="P28" s="177" t="s">
        <v>290</v>
      </c>
      <c r="Q28" s="253">
        <v>120</v>
      </c>
      <c r="R28" s="253">
        <v>125</v>
      </c>
      <c r="S28" s="253">
        <v>130</v>
      </c>
      <c r="T28" s="176">
        <f t="shared" si="22"/>
        <v>130</v>
      </c>
      <c r="U28" s="176">
        <f t="shared" si="23"/>
        <v>355</v>
      </c>
      <c r="V28" s="253">
        <v>190</v>
      </c>
      <c r="W28" s="259">
        <v>205</v>
      </c>
      <c r="X28" s="253">
        <v>215</v>
      </c>
      <c r="Y28" s="179">
        <f t="shared" si="24"/>
        <v>215</v>
      </c>
      <c r="Z28" s="176">
        <f t="shared" ca="1" si="25"/>
        <v>570</v>
      </c>
      <c r="AA28" s="180">
        <f t="shared" ca="1" si="26"/>
        <v>404.64301228523254</v>
      </c>
      <c r="AB28" s="180">
        <f t="shared" ca="1" si="27"/>
        <v>509.04090945482255</v>
      </c>
      <c r="AC28" s="170">
        <f ca="1">OFFSET(Setup!$F$1,MATCH(D28,INDIRECT("Setup!B1:B100"),0)-1,0)</f>
        <v>2</v>
      </c>
      <c r="AD28" s="181" t="str">
        <f t="shared" ca="1" si="28"/>
        <v>1-M-EQ-PL</v>
      </c>
      <c r="AE28" s="172" t="s">
        <v>109</v>
      </c>
      <c r="AH28" s="182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3">
        <f t="shared" ca="1" si="33"/>
        <v>37</v>
      </c>
      <c r="AO28" s="183">
        <f t="shared" si="34"/>
        <v>75.400000000000006</v>
      </c>
      <c r="AP28" s="183">
        <f t="shared" ca="1" si="35"/>
        <v>37</v>
      </c>
      <c r="AQ28" s="183">
        <f t="shared" ca="1" si="36"/>
        <v>27</v>
      </c>
      <c r="AU28" s="183">
        <f t="shared" ca="1" si="37"/>
        <v>1</v>
      </c>
      <c r="AW28" s="183"/>
      <c r="AX28" s="185"/>
      <c r="AY28" s="185"/>
      <c r="AZ28" s="185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6">
        <v>43050.49763888889</v>
      </c>
      <c r="BQ28" s="118">
        <v>1</v>
      </c>
      <c r="BR28" s="118">
        <v>1</v>
      </c>
      <c r="BS28" s="118">
        <v>1</v>
      </c>
      <c r="BT28" s="186">
        <v>43050.542430555557</v>
      </c>
      <c r="BV28" s="118">
        <v>1</v>
      </c>
      <c r="BW28" s="118">
        <v>1</v>
      </c>
      <c r="BX28" s="118">
        <v>1</v>
      </c>
      <c r="BY28" s="186">
        <v>43050.588530092595</v>
      </c>
      <c r="BZ28" s="186">
        <f t="shared" ca="1" si="40"/>
        <v>43050.588530092595</v>
      </c>
      <c r="CA28" s="254">
        <v>0.58922453703703703</v>
      </c>
    </row>
    <row r="29" spans="1:79" ht="19.5" customHeight="1" x14ac:dyDescent="0.2">
      <c r="A29" s="170" t="s">
        <v>43</v>
      </c>
      <c r="B29" s="171" t="s">
        <v>310</v>
      </c>
      <c r="C29" s="171" t="s">
        <v>212</v>
      </c>
      <c r="D29" s="172" t="s">
        <v>221</v>
      </c>
      <c r="E29" s="172">
        <v>86.85</v>
      </c>
      <c r="F29" s="172">
        <f>IF(LEFT(D29,1)="M",VLOOKUP(IF($E$7="Bwt (kg)",E29,E29/2.2046),Lists!$B$16:$D$24,IF(ISERROR(FIND("J",D29)),3,2)),VLOOKUP(IF($E$7="Bwt (kg)",E29,E29/2.2046),Lists!$B$26:$D$33,IF(ISERROR(FIND("J",D29)),3,2)))</f>
        <v>93</v>
      </c>
      <c r="G29" s="172">
        <v>14</v>
      </c>
      <c r="H29" s="173">
        <f>IF(AND(VALUE(E29)&gt;0,OR(LEFT(D29,1)="M",LEFT(D29,1)="F")),IF(LEFT(D29,1)="M",Wilks_Men(IF(RIGHT($F$7,4)="(lb)",E29/2.2046,E29)),Wilks_Women(IF(RIGHT($F$7,4)="(lb)",E29/2.2046,E29))),0)</f>
        <v>0.65049999952316284</v>
      </c>
      <c r="I29" s="251">
        <v>16909</v>
      </c>
      <c r="J29" s="128">
        <f ca="1">IF(I29,VLOOKUP(INT((NOW()-I29)/365.25),DATA!$A$2:$B$53,2,TRUE),0)</f>
        <v>1.681</v>
      </c>
      <c r="K29" s="172">
        <v>11</v>
      </c>
      <c r="L29" s="253">
        <v>100</v>
      </c>
      <c r="M29" s="253">
        <v>110</v>
      </c>
      <c r="N29" s="175"/>
      <c r="O29" s="176">
        <f t="shared" si="21"/>
        <v>110</v>
      </c>
      <c r="P29" s="177" t="s">
        <v>317</v>
      </c>
      <c r="Q29" s="253">
        <v>55</v>
      </c>
      <c r="R29" s="253">
        <v>65</v>
      </c>
      <c r="S29" s="170"/>
      <c r="T29" s="176">
        <f t="shared" si="22"/>
        <v>65</v>
      </c>
      <c r="U29" s="176">
        <f t="shared" si="23"/>
        <v>175</v>
      </c>
      <c r="V29" s="253">
        <v>140</v>
      </c>
      <c r="W29" s="259">
        <v>150</v>
      </c>
      <c r="X29" s="170"/>
      <c r="Y29" s="179">
        <f t="shared" si="24"/>
        <v>150</v>
      </c>
      <c r="Z29" s="176">
        <f t="shared" ca="1" si="25"/>
        <v>325</v>
      </c>
      <c r="AA29" s="180">
        <f t="shared" ca="1" si="26"/>
        <v>211.41249984502792</v>
      </c>
      <c r="AB29" s="180">
        <f t="shared" ca="1" si="27"/>
        <v>355.38441223949195</v>
      </c>
      <c r="AC29" s="170">
        <f ca="1">OFFSET(Setup!$F$1,MATCH(D29,INDIRECT("Setup!B1:B100"),0)-1,0)</f>
        <v>2</v>
      </c>
      <c r="AD29" s="181" t="str">
        <f t="shared" ca="1" si="28"/>
        <v>3-M-EQ-PL</v>
      </c>
      <c r="AE29" s="172" t="s">
        <v>109</v>
      </c>
      <c r="AH29" s="182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3">
        <f t="shared" ca="1" si="33"/>
        <v>17</v>
      </c>
      <c r="AO29" s="183">
        <f t="shared" si="34"/>
        <v>86.85</v>
      </c>
      <c r="AP29" s="183">
        <f t="shared" ca="1" si="35"/>
        <v>28</v>
      </c>
      <c r="AQ29" s="183">
        <f t="shared" ca="1" si="36"/>
        <v>30</v>
      </c>
      <c r="AU29" s="183">
        <f t="shared" ca="1" si="37"/>
        <v>1</v>
      </c>
      <c r="AW29" s="183"/>
      <c r="AX29" s="185"/>
      <c r="AY29" s="185"/>
      <c r="AZ29" s="185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6">
        <v>43050.633483796293</v>
      </c>
      <c r="BQ29" s="118">
        <v>1</v>
      </c>
      <c r="BR29" s="118">
        <v>1</v>
      </c>
      <c r="BS29" s="118">
        <v>0</v>
      </c>
      <c r="BT29" s="186">
        <v>43050.681377314817</v>
      </c>
      <c r="BV29" s="118">
        <v>1</v>
      </c>
      <c r="BW29" s="118">
        <v>1</v>
      </c>
      <c r="BX29" s="118">
        <v>0</v>
      </c>
      <c r="BY29" s="186">
        <v>43050.725254629629</v>
      </c>
      <c r="BZ29" s="186">
        <f t="shared" ca="1" si="40"/>
        <v>43050.725254629629</v>
      </c>
      <c r="CA29" s="254">
        <v>0.72594907407407405</v>
      </c>
    </row>
    <row r="30" spans="1:79" ht="19.5" customHeight="1" x14ac:dyDescent="0.2">
      <c r="A30" s="170" t="s">
        <v>43</v>
      </c>
      <c r="B30" s="171" t="s">
        <v>313</v>
      </c>
      <c r="C30" s="171" t="s">
        <v>183</v>
      </c>
      <c r="D30" s="172" t="s">
        <v>223</v>
      </c>
      <c r="E30" s="172">
        <v>87</v>
      </c>
      <c r="F30" s="172">
        <f>IF(LEFT(D30,1)="M",VLOOKUP(IF($E$7="Bwt (kg)",E30,E30/2.2046),Lists!$B$16:$D$24,IF(ISERROR(FIND("J",D30)),3,2)),VLOOKUP(IF($E$7="Bwt (kg)",E30,E30/2.2046),Lists!$B$26:$D$33,IF(ISERROR(FIND("J",D30)),3,2)))</f>
        <v>93</v>
      </c>
      <c r="G30" s="172">
        <v>15</v>
      </c>
      <c r="H30" s="173">
        <f>IF(AND(VALUE(E30)&gt;0,OR(LEFT(D30,1)="M",LEFT(D30,1)="F")),IF(LEFT(D30,1)="M",Wilks_Men(IF(RIGHT($F$7,4)="(lb)",E30/2.2046,E30)),Wilks_Women(IF(RIGHT($F$7,4)="(lb)",E30/2.2046,E30))),0)</f>
        <v>0.64990001916885376</v>
      </c>
      <c r="I30" s="251">
        <v>30208</v>
      </c>
      <c r="J30" s="128">
        <f ca="1">IF(I30,VLOOKUP(INT((NOW()-I30)/365.25),DATA!$A$2:$B$53,2,TRUE),0)</f>
        <v>1</v>
      </c>
      <c r="K30" s="172">
        <v>9</v>
      </c>
      <c r="L30" s="253">
        <v>155</v>
      </c>
      <c r="M30" s="253">
        <v>165</v>
      </c>
      <c r="N30" s="253">
        <v>175</v>
      </c>
      <c r="O30" s="176">
        <f t="shared" si="21"/>
        <v>175</v>
      </c>
      <c r="P30" s="177" t="s">
        <v>285</v>
      </c>
      <c r="Q30" s="253">
        <v>115</v>
      </c>
      <c r="R30" s="253">
        <v>125</v>
      </c>
      <c r="S30" s="253">
        <v>130</v>
      </c>
      <c r="T30" s="176">
        <f t="shared" si="22"/>
        <v>130</v>
      </c>
      <c r="U30" s="176">
        <f t="shared" si="23"/>
        <v>305</v>
      </c>
      <c r="V30" s="253">
        <v>180</v>
      </c>
      <c r="W30" s="259">
        <v>210</v>
      </c>
      <c r="X30" s="253">
        <v>220</v>
      </c>
      <c r="Y30" s="179">
        <f t="shared" si="24"/>
        <v>220</v>
      </c>
      <c r="Z30" s="176">
        <f t="shared" ca="1" si="25"/>
        <v>525</v>
      </c>
      <c r="AA30" s="180">
        <f t="shared" ca="1" si="26"/>
        <v>341.19751006364822</v>
      </c>
      <c r="AB30" s="180">
        <f t="shared" ca="1" si="27"/>
        <v>341.19751006364822</v>
      </c>
      <c r="AC30" s="170">
        <f ca="1">OFFSET(Setup!$F$1,MATCH(D30,INDIRECT("Setup!B1:B100"),0)-1,0)</f>
        <v>2</v>
      </c>
      <c r="AD30" s="181" t="str">
        <f t="shared" ca="1" si="28"/>
        <v>19-M-BL-PL</v>
      </c>
      <c r="AE30" s="172" t="s">
        <v>109</v>
      </c>
      <c r="AH30" s="182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3">
        <f t="shared" ca="1" si="33"/>
        <v>27</v>
      </c>
      <c r="AO30" s="183">
        <f t="shared" si="34"/>
        <v>87</v>
      </c>
      <c r="AP30" s="183">
        <f t="shared" ca="1" si="35"/>
        <v>26</v>
      </c>
      <c r="AQ30" s="183">
        <f t="shared" ca="1" si="36"/>
        <v>35</v>
      </c>
      <c r="AU30" s="183">
        <f t="shared" ca="1" si="37"/>
        <v>1</v>
      </c>
      <c r="AW30" s="183"/>
      <c r="AX30" s="185"/>
      <c r="AY30" s="185"/>
      <c r="AZ30" s="185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6">
        <v>43050.640613425923</v>
      </c>
      <c r="BQ30" s="118">
        <v>1</v>
      </c>
      <c r="BR30" s="118">
        <v>1</v>
      </c>
      <c r="BS30" s="118">
        <v>1</v>
      </c>
      <c r="BT30" s="186">
        <v>43050.689386574071</v>
      </c>
      <c r="BV30" s="118">
        <v>1</v>
      </c>
      <c r="BW30" s="118">
        <v>1</v>
      </c>
      <c r="BX30" s="118">
        <v>1</v>
      </c>
      <c r="BY30" s="186">
        <v>43050.733287037037</v>
      </c>
      <c r="BZ30" s="186">
        <f t="shared" ca="1" si="40"/>
        <v>43050.733287037037</v>
      </c>
      <c r="CA30" s="254">
        <v>0.73398148148148146</v>
      </c>
    </row>
    <row r="31" spans="1:79" ht="19.5" customHeight="1" x14ac:dyDescent="0.2">
      <c r="A31" s="170" t="s">
        <v>43</v>
      </c>
      <c r="B31" s="171" t="s">
        <v>311</v>
      </c>
      <c r="C31" s="171" t="s">
        <v>211</v>
      </c>
      <c r="D31" s="172" t="s">
        <v>223</v>
      </c>
      <c r="E31" s="172">
        <v>92.15</v>
      </c>
      <c r="F31" s="172">
        <f>IF(LEFT(D31,1)="M",VLOOKUP(IF($E$7="Bwt (kg)",E31,E31/2.2046),Lists!$B$16:$D$24,IF(ISERROR(FIND("J",D31)),3,2)),VLOOKUP(IF($E$7="Bwt (kg)",E31,E31/2.2046),Lists!$B$26:$D$33,IF(ISERROR(FIND("J",D31)),3,2)))</f>
        <v>93</v>
      </c>
      <c r="G31" s="172">
        <v>45</v>
      </c>
      <c r="H31" s="173">
        <f>IF(AND(VALUE(E31)&gt;0,OR(LEFT(D31,1)="M",LEFT(D31,1)="F")),IF(LEFT(D31,1)="M",Wilks_Men(IF(RIGHT($F$7,4)="(lb)",E31/2.2046,E31)),Wilks_Women(IF(RIGHT($F$7,4)="(lb)",E31/2.2046,E31))),0)</f>
        <v>0.63099998235702515</v>
      </c>
      <c r="I31" s="251">
        <v>34024</v>
      </c>
      <c r="J31" s="128">
        <f ca="1">IF(I31,VLOOKUP(INT((NOW()-I31)/365.25),DATA!$A$2:$B$53,2,TRUE),0)</f>
        <v>1</v>
      </c>
      <c r="K31" s="172">
        <v>9</v>
      </c>
      <c r="L31" s="253">
        <v>170</v>
      </c>
      <c r="M31" s="253">
        <v>177.5</v>
      </c>
      <c r="N31" s="253">
        <v>182.5</v>
      </c>
      <c r="O31" s="176">
        <f t="shared" si="21"/>
        <v>182.5</v>
      </c>
      <c r="P31" s="177" t="s">
        <v>318</v>
      </c>
      <c r="Q31" s="253">
        <v>107.5</v>
      </c>
      <c r="R31" s="253">
        <v>112.5</v>
      </c>
      <c r="S31" s="253">
        <v>115</v>
      </c>
      <c r="T31" s="176">
        <f t="shared" si="22"/>
        <v>115</v>
      </c>
      <c r="U31" s="176">
        <f t="shared" si="23"/>
        <v>297.5</v>
      </c>
      <c r="V31" s="253">
        <v>190</v>
      </c>
      <c r="W31" s="259">
        <v>200</v>
      </c>
      <c r="X31" s="256">
        <v>-210</v>
      </c>
      <c r="Y31" s="179">
        <f t="shared" si="24"/>
        <v>200</v>
      </c>
      <c r="Z31" s="176">
        <f t="shared" ca="1" si="25"/>
        <v>497.5</v>
      </c>
      <c r="AA31" s="180">
        <f t="shared" ca="1" si="26"/>
        <v>313.92249122262001</v>
      </c>
      <c r="AB31" s="180">
        <f t="shared" ca="1" si="27"/>
        <v>313.92249122262001</v>
      </c>
      <c r="AC31" s="170">
        <f ca="1">OFFSET(Setup!$F$1,MATCH(D31,INDIRECT("Setup!B1:B100"),0)-1,0)</f>
        <v>2</v>
      </c>
      <c r="AD31" s="181" t="str">
        <f t="shared" ca="1" si="28"/>
        <v>24-M-BL-PL</v>
      </c>
      <c r="AE31" s="172" t="s">
        <v>109</v>
      </c>
      <c r="AH31" s="182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3">
        <f t="shared" ca="1" si="33"/>
        <v>25</v>
      </c>
      <c r="AO31" s="183">
        <f t="shared" si="34"/>
        <v>92.15</v>
      </c>
      <c r="AP31" s="183">
        <f t="shared" ca="1" si="35"/>
        <v>20</v>
      </c>
      <c r="AQ31" s="183">
        <f t="shared" ca="1" si="36"/>
        <v>31</v>
      </c>
      <c r="AU31" s="183">
        <f t="shared" ca="1" si="37"/>
        <v>1</v>
      </c>
      <c r="AW31" s="183"/>
      <c r="AX31" s="185"/>
      <c r="AY31" s="185"/>
      <c r="AZ31" s="185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6">
        <v>43050.641296296293</v>
      </c>
      <c r="BQ31" s="118">
        <v>1</v>
      </c>
      <c r="BR31" s="118">
        <v>1</v>
      </c>
      <c r="BS31" s="118">
        <v>1</v>
      </c>
      <c r="BT31" s="186">
        <v>43050.688194444447</v>
      </c>
      <c r="BV31" s="118">
        <v>1</v>
      </c>
      <c r="BW31" s="118">
        <v>1</v>
      </c>
      <c r="BX31" s="118">
        <v>-1</v>
      </c>
      <c r="BY31" s="186">
        <v>43050.725856481484</v>
      </c>
      <c r="BZ31" s="186">
        <f t="shared" ca="1" si="40"/>
        <v>43050.725856481484</v>
      </c>
      <c r="CA31" s="254">
        <v>0.7330902777777778</v>
      </c>
    </row>
    <row r="32" spans="1:79" ht="19.5" customHeight="1" x14ac:dyDescent="0.2">
      <c r="A32" s="170" t="s">
        <v>43</v>
      </c>
      <c r="B32" s="171" t="s">
        <v>308</v>
      </c>
      <c r="C32" s="171" t="s">
        <v>212</v>
      </c>
      <c r="D32" s="172" t="s">
        <v>223</v>
      </c>
      <c r="E32" s="172">
        <v>93.25</v>
      </c>
      <c r="F32" s="172">
        <f>IF(LEFT(D32,1)="M",VLOOKUP(IF($E$7="Bwt (kg)",E32,E32/2.2046),Lists!$B$16:$D$24,IF(ISERROR(FIND("J",D32)),3,2)),VLOOKUP(IF($E$7="Bwt (kg)",E32,E32/2.2046),Lists!$B$26:$D$33,IF(ISERROR(FIND("J",D32)),3,2)))</f>
        <v>105</v>
      </c>
      <c r="G32" s="172">
        <v>48</v>
      </c>
      <c r="H32" s="173">
        <f>IF(AND(VALUE(E32)&gt;0,OR(LEFT(D32,1)="M",LEFT(D32,1)="F")),IF(LEFT(D32,1)="M",Wilks_Men(IF(RIGHT($F$7,4)="(lb)",E32/2.2046,E32)),Wilks_Women(IF(RIGHT($F$7,4)="(lb)",E32/2.2046,E32))),0)</f>
        <v>0.6273999810218811</v>
      </c>
      <c r="I32" s="251">
        <v>30209</v>
      </c>
      <c r="J32" s="128">
        <f ca="1">IF(I32,VLOOKUP(INT((NOW()-I32)/365.25),DATA!$A$2:$B$53,2,TRUE),0)</f>
        <v>1</v>
      </c>
      <c r="K32" s="172">
        <v>8</v>
      </c>
      <c r="L32" s="253">
        <v>180</v>
      </c>
      <c r="M32" s="253">
        <v>190</v>
      </c>
      <c r="N32" s="253">
        <v>195</v>
      </c>
      <c r="O32" s="176">
        <f t="shared" si="21"/>
        <v>195</v>
      </c>
      <c r="P32" s="177" t="s">
        <v>316</v>
      </c>
      <c r="Q32" s="253">
        <v>150</v>
      </c>
      <c r="R32" s="253">
        <v>155</v>
      </c>
      <c r="S32" s="253">
        <v>157.5</v>
      </c>
      <c r="T32" s="176">
        <f t="shared" si="22"/>
        <v>157.5</v>
      </c>
      <c r="U32" s="176">
        <f t="shared" si="23"/>
        <v>352.5</v>
      </c>
      <c r="V32" s="253">
        <v>200</v>
      </c>
      <c r="W32" s="259">
        <v>215</v>
      </c>
      <c r="X32" s="256">
        <v>-222.5</v>
      </c>
      <c r="Y32" s="179">
        <f t="shared" si="24"/>
        <v>215</v>
      </c>
      <c r="Z32" s="176">
        <f t="shared" ca="1" si="25"/>
        <v>567.5</v>
      </c>
      <c r="AA32" s="180">
        <f t="shared" ca="1" si="26"/>
        <v>356.04948922991753</v>
      </c>
      <c r="AB32" s="180">
        <f t="shared" ca="1" si="27"/>
        <v>356.04948922991753</v>
      </c>
      <c r="AC32" s="170">
        <f ca="1">OFFSET(Setup!$F$1,MATCH(D32,INDIRECT("Setup!B1:B100"),0)-1,0)</f>
        <v>2</v>
      </c>
      <c r="AD32" s="181" t="str">
        <f t="shared" ca="1" si="28"/>
        <v>16-M-BL-PL</v>
      </c>
      <c r="AE32" s="172" t="s">
        <v>109</v>
      </c>
      <c r="AH32" s="182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3">
        <f t="shared" ca="1" si="33"/>
        <v>35</v>
      </c>
      <c r="AO32" s="183">
        <f t="shared" si="34"/>
        <v>93.25</v>
      </c>
      <c r="AP32" s="183">
        <f t="shared" ca="1" si="35"/>
        <v>13</v>
      </c>
      <c r="AQ32" s="183">
        <f t="shared" ca="1" si="36"/>
        <v>32</v>
      </c>
      <c r="AU32" s="183">
        <f t="shared" ca="1" si="37"/>
        <v>1</v>
      </c>
      <c r="AW32" s="183"/>
      <c r="AX32" s="185"/>
      <c r="AY32" s="185"/>
      <c r="AZ32" s="185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6">
        <v>43050.642013888886</v>
      </c>
      <c r="BQ32" s="118">
        <v>1</v>
      </c>
      <c r="BR32" s="118">
        <v>1</v>
      </c>
      <c r="BS32" s="118">
        <v>1</v>
      </c>
      <c r="BT32" s="186">
        <v>43050.691516203704</v>
      </c>
      <c r="BV32" s="118">
        <v>1</v>
      </c>
      <c r="BW32" s="118">
        <v>1</v>
      </c>
      <c r="BX32" s="118">
        <v>-1</v>
      </c>
      <c r="BY32" s="186">
        <v>43050.727835648147</v>
      </c>
      <c r="BZ32" s="186">
        <f t="shared" ca="1" si="40"/>
        <v>43050.727835648147</v>
      </c>
      <c r="CA32" s="254">
        <v>0.73481481481481481</v>
      </c>
    </row>
    <row r="33" spans="1:79" ht="19.5" customHeight="1" x14ac:dyDescent="0.2">
      <c r="A33" s="170" t="s">
        <v>43</v>
      </c>
      <c r="B33" s="171" t="s">
        <v>309</v>
      </c>
      <c r="C33" s="171" t="s">
        <v>183</v>
      </c>
      <c r="D33" s="172" t="s">
        <v>223</v>
      </c>
      <c r="E33" s="172">
        <v>82.75</v>
      </c>
      <c r="F33" s="172">
        <f>IF(LEFT(D33,1)="M",VLOOKUP(IF($E$7="Bwt (kg)",E33,E33/2.2046),Lists!$B$16:$D$24,IF(ISERROR(FIND("J",D33)),3,2)),VLOOKUP(IF($E$7="Bwt (kg)",E33,E33/2.2046),Lists!$B$26:$D$33,IF(ISERROR(FIND("J",D33)),3,2)))</f>
        <v>83</v>
      </c>
      <c r="G33" s="172">
        <v>57</v>
      </c>
      <c r="H33" s="173">
        <f>IF(AND(VALUE(E33)&gt;0,OR(LEFT(D33,1)="M",LEFT(D33,1)="F")),IF(LEFT(D33,1)="M",Wilks_Men(IF(RIGHT($F$7,4)="(lb)",E33/2.2046,E33)),Wilks_Women(IF(RIGHT($F$7,4)="(lb)",E33/2.2046,E33))),0)</f>
        <v>0.66869997978210449</v>
      </c>
      <c r="I33" s="251">
        <v>35613</v>
      </c>
      <c r="J33" s="128">
        <f ca="1">IF(I33,VLOOKUP(INT((NOW()-I33)/365.25),DATA!$A$2:$B$53,2,TRUE),0)</f>
        <v>1.03</v>
      </c>
      <c r="K33" s="172">
        <v>8</v>
      </c>
      <c r="L33" s="253">
        <v>185</v>
      </c>
      <c r="M33" s="253">
        <v>195</v>
      </c>
      <c r="N33" s="253">
        <v>205</v>
      </c>
      <c r="O33" s="176">
        <f t="shared" si="21"/>
        <v>205</v>
      </c>
      <c r="P33" s="177" t="s">
        <v>288</v>
      </c>
      <c r="Q33" s="253">
        <v>120</v>
      </c>
      <c r="R33" s="253">
        <v>127.5</v>
      </c>
      <c r="S33" s="170"/>
      <c r="T33" s="176">
        <f t="shared" si="22"/>
        <v>127.5</v>
      </c>
      <c r="U33" s="176">
        <f t="shared" si="23"/>
        <v>332.5</v>
      </c>
      <c r="V33" s="253">
        <v>190</v>
      </c>
      <c r="W33" s="260">
        <v>-205</v>
      </c>
      <c r="X33" s="253">
        <v>205</v>
      </c>
      <c r="Y33" s="179">
        <f t="shared" si="24"/>
        <v>205</v>
      </c>
      <c r="Z33" s="176">
        <f t="shared" ca="1" si="25"/>
        <v>537.5</v>
      </c>
      <c r="AA33" s="180">
        <f t="shared" ca="1" si="26"/>
        <v>359.42623913288116</v>
      </c>
      <c r="AB33" s="180">
        <f t="shared" ca="1" si="27"/>
        <v>370.2090263068676</v>
      </c>
      <c r="AC33" s="170">
        <f ca="1">OFFSET(Setup!$F$1,MATCH(D33,INDIRECT("Setup!B1:B100"),0)-1,0)</f>
        <v>2</v>
      </c>
      <c r="AD33" s="181" t="str">
        <f t="shared" ca="1" si="28"/>
        <v>15-M-BL-PL</v>
      </c>
      <c r="AE33" s="172" t="s">
        <v>109</v>
      </c>
      <c r="AH33" s="182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3">
        <f t="shared" ca="1" si="33"/>
        <v>30</v>
      </c>
      <c r="AO33" s="183">
        <f t="shared" si="34"/>
        <v>82.75</v>
      </c>
      <c r="AP33" s="183">
        <f t="shared" ca="1" si="35"/>
        <v>31</v>
      </c>
      <c r="AQ33" s="183">
        <f t="shared" ca="1" si="36"/>
        <v>34</v>
      </c>
      <c r="AU33" s="183">
        <f t="shared" ca="1" si="37"/>
        <v>1</v>
      </c>
      <c r="AW33" s="183"/>
      <c r="AX33" s="185"/>
      <c r="AY33" s="185"/>
      <c r="AZ33" s="185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6">
        <v>43050.64261574074</v>
      </c>
      <c r="BQ33" s="118">
        <v>1</v>
      </c>
      <c r="BR33" s="118">
        <v>1</v>
      </c>
      <c r="BS33" s="118">
        <v>0</v>
      </c>
      <c r="BT33" s="186">
        <v>43050.684120370373</v>
      </c>
      <c r="BV33" s="118">
        <v>1</v>
      </c>
      <c r="BW33" s="118">
        <v>-1</v>
      </c>
      <c r="BX33" s="118">
        <v>1</v>
      </c>
      <c r="BY33" s="186">
        <v>43050.731874999998</v>
      </c>
      <c r="BZ33" s="186">
        <f t="shared" ca="1" si="40"/>
        <v>43050.731874999998</v>
      </c>
      <c r="CA33" s="254">
        <v>0.7325694444444445</v>
      </c>
    </row>
    <row r="34" spans="1:79" ht="19.5" customHeight="1" x14ac:dyDescent="0.2">
      <c r="A34" s="170" t="s">
        <v>43</v>
      </c>
      <c r="B34" s="171" t="s">
        <v>306</v>
      </c>
      <c r="C34" s="171" t="s">
        <v>212</v>
      </c>
      <c r="D34" s="172" t="s">
        <v>223</v>
      </c>
      <c r="E34" s="172">
        <v>92.3</v>
      </c>
      <c r="F34" s="172">
        <f>IF(LEFT(D34,1)="M",VLOOKUP(IF($E$7="Bwt (kg)",E34,E34/2.2046),Lists!$B$16:$D$24,IF(ISERROR(FIND("J",D34)),3,2)),VLOOKUP(IF($E$7="Bwt (kg)",E34,E34/2.2046),Lists!$B$26:$D$33,IF(ISERROR(FIND("J",D34)),3,2)))</f>
        <v>93</v>
      </c>
      <c r="G34" s="172">
        <v>3</v>
      </c>
      <c r="H34" s="173">
        <f>IF(AND(VALUE(E34)&gt;0,OR(LEFT(D34,1)="M",LEFT(D34,1)="F")),IF(LEFT(D34,1)="M",Wilks_Men(IF(RIGHT($F$7,4)="(lb)",E34/2.2046,E34)),Wilks_Women(IF(RIGHT($F$7,4)="(lb)",E34/2.2046,E34))),0)</f>
        <v>0.63050001859664917</v>
      </c>
      <c r="I34" s="251">
        <v>32376</v>
      </c>
      <c r="J34" s="128">
        <f ca="1">IF(I34,VLOOKUP(INT((NOW()-I34)/365.25),DATA!$A$2:$B$53,2,TRUE),0)</f>
        <v>1</v>
      </c>
      <c r="K34" s="172">
        <v>9</v>
      </c>
      <c r="L34" s="253">
        <v>195</v>
      </c>
      <c r="M34" s="253">
        <v>212.5</v>
      </c>
      <c r="N34" s="253">
        <v>215</v>
      </c>
      <c r="O34" s="176">
        <f t="shared" si="21"/>
        <v>215</v>
      </c>
      <c r="P34" s="258" t="s">
        <v>316</v>
      </c>
      <c r="Q34" s="253">
        <v>137.5</v>
      </c>
      <c r="R34" s="253">
        <v>142.5</v>
      </c>
      <c r="S34" s="256">
        <v>-145</v>
      </c>
      <c r="T34" s="176">
        <f t="shared" si="22"/>
        <v>142.5</v>
      </c>
      <c r="U34" s="176">
        <f t="shared" si="23"/>
        <v>357.5</v>
      </c>
      <c r="V34" s="253">
        <v>220</v>
      </c>
      <c r="W34" s="259">
        <v>235</v>
      </c>
      <c r="X34" s="256">
        <v>-242.5</v>
      </c>
      <c r="Y34" s="179">
        <f t="shared" si="24"/>
        <v>235</v>
      </c>
      <c r="Z34" s="176">
        <f t="shared" ca="1" si="25"/>
        <v>592.5</v>
      </c>
      <c r="AA34" s="180">
        <f t="shared" ca="1" si="26"/>
        <v>373.57126101851463</v>
      </c>
      <c r="AB34" s="180">
        <f t="shared" ca="1" si="27"/>
        <v>373.57126101851463</v>
      </c>
      <c r="AC34" s="170">
        <f ca="1">OFFSET(Setup!$F$1,MATCH(D34,INDIRECT("Setup!B1:B100"),0)-1,0)</f>
        <v>2</v>
      </c>
      <c r="AD34" s="181" t="str">
        <f t="shared" ca="1" si="28"/>
        <v>12-M-BL-PL</v>
      </c>
      <c r="AE34" s="172" t="s">
        <v>109</v>
      </c>
      <c r="AH34" s="182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3">
        <f t="shared" ca="1" si="33"/>
        <v>39</v>
      </c>
      <c r="AO34" s="183">
        <f t="shared" si="34"/>
        <v>92.3</v>
      </c>
      <c r="AP34" s="183">
        <f t="shared" ca="1" si="35"/>
        <v>19</v>
      </c>
      <c r="AQ34" s="183">
        <f t="shared" ca="1" si="36"/>
        <v>33</v>
      </c>
      <c r="AU34" s="183">
        <f t="shared" ca="1" si="37"/>
        <v>1</v>
      </c>
      <c r="AW34" s="183"/>
      <c r="AX34" s="185"/>
      <c r="AY34" s="185"/>
      <c r="AZ34" s="185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6">
        <v>43050.643310185187</v>
      </c>
      <c r="BQ34" s="118">
        <v>1</v>
      </c>
      <c r="BR34" s="118">
        <v>1</v>
      </c>
      <c r="BS34" s="118">
        <v>-1</v>
      </c>
      <c r="BT34" s="186">
        <v>43050.684733796297</v>
      </c>
      <c r="BV34" s="118">
        <v>1</v>
      </c>
      <c r="BW34" s="118">
        <v>1</v>
      </c>
      <c r="BX34" s="118">
        <v>-1</v>
      </c>
      <c r="BY34" s="186">
        <v>43050.728634259256</v>
      </c>
      <c r="BZ34" s="186">
        <f t="shared" ca="1" si="40"/>
        <v>43050.728634259256</v>
      </c>
      <c r="CA34" s="254">
        <v>0.73564814814814816</v>
      </c>
    </row>
    <row r="35" spans="1:79" ht="19.5" customHeight="1" x14ac:dyDescent="0.2">
      <c r="A35" s="170" t="s">
        <v>43</v>
      </c>
      <c r="B35" s="171" t="s">
        <v>312</v>
      </c>
      <c r="C35" s="171" t="s">
        <v>212</v>
      </c>
      <c r="D35" s="172" t="s">
        <v>223</v>
      </c>
      <c r="E35" s="172">
        <v>92.35</v>
      </c>
      <c r="F35" s="172">
        <f>IF(LEFT(D35,1)="M",VLOOKUP(IF($E$7="Bwt (kg)",E35,E35/2.2046),Lists!$B$16:$D$24,IF(ISERROR(FIND("J",D35)),3,2)),VLOOKUP(IF($E$7="Bwt (kg)",E35,E35/2.2046),Lists!$B$26:$D$33,IF(ISERROR(FIND("J",D35)),3,2)))</f>
        <v>93</v>
      </c>
      <c r="G35" s="172">
        <v>20</v>
      </c>
      <c r="H35" s="173">
        <f>IF(AND(VALUE(E35)&gt;0,OR(LEFT(D35,1)="M",LEFT(D35,1)="F")),IF(LEFT(D35,1)="M",Wilks_Men(IF(RIGHT($F$7,4)="(lb)",E35/2.2046,E35)),Wilks_Women(IF(RIGHT($F$7,4)="(lb)",E35/2.2046,E35))),0)</f>
        <v>0.63029998540878296</v>
      </c>
      <c r="I35" s="251">
        <v>32930</v>
      </c>
      <c r="J35" s="128">
        <f ca="1">IF(I35,VLOOKUP(INT((NOW()-I35)/365.25),DATA!$A$2:$B$53,2,TRUE),0)</f>
        <v>1</v>
      </c>
      <c r="K35" s="172">
        <v>10</v>
      </c>
      <c r="L35" s="253">
        <v>195</v>
      </c>
      <c r="M35" s="253">
        <v>207.5</v>
      </c>
      <c r="N35" s="253">
        <v>215</v>
      </c>
      <c r="O35" s="176">
        <f t="shared" si="21"/>
        <v>215</v>
      </c>
      <c r="P35" s="177" t="s">
        <v>316</v>
      </c>
      <c r="Q35" s="256">
        <v>-115</v>
      </c>
      <c r="R35" s="253">
        <v>120</v>
      </c>
      <c r="S35" s="253">
        <v>125</v>
      </c>
      <c r="T35" s="176">
        <f t="shared" si="22"/>
        <v>125</v>
      </c>
      <c r="U35" s="176">
        <f t="shared" si="23"/>
        <v>340</v>
      </c>
      <c r="V35" s="253">
        <v>245</v>
      </c>
      <c r="W35" s="259">
        <v>260</v>
      </c>
      <c r="X35" s="253">
        <v>270</v>
      </c>
      <c r="Y35" s="179">
        <f t="shared" si="24"/>
        <v>270</v>
      </c>
      <c r="Z35" s="176">
        <f t="shared" ca="1" si="25"/>
        <v>610</v>
      </c>
      <c r="AA35" s="180">
        <f t="shared" ca="1" si="26"/>
        <v>384.4829910993576</v>
      </c>
      <c r="AB35" s="180">
        <f t="shared" ca="1" si="27"/>
        <v>384.4829910993576</v>
      </c>
      <c r="AC35" s="170">
        <f ca="1">OFFSET(Setup!$F$1,MATCH(D35,INDIRECT("Setup!B1:B100"),0)-1,0)</f>
        <v>2</v>
      </c>
      <c r="AD35" s="181" t="str">
        <f t="shared" ca="1" si="28"/>
        <v>8-M-BL-PL</v>
      </c>
      <c r="AE35" s="172" t="s">
        <v>109</v>
      </c>
      <c r="AH35" s="182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3">
        <f t="shared" ca="1" si="33"/>
        <v>41</v>
      </c>
      <c r="AO35" s="183">
        <f t="shared" si="34"/>
        <v>92.35</v>
      </c>
      <c r="AP35" s="183">
        <f t="shared" ca="1" si="35"/>
        <v>17</v>
      </c>
      <c r="AQ35" s="183">
        <f t="shared" ca="1" si="36"/>
        <v>39</v>
      </c>
      <c r="AU35" s="183">
        <f t="shared" ca="1" si="37"/>
        <v>1</v>
      </c>
      <c r="AW35" s="183"/>
      <c r="AX35" s="185"/>
      <c r="AY35" s="185"/>
      <c r="AZ35" s="185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6">
        <v>43050.643958333334</v>
      </c>
      <c r="BQ35" s="118">
        <v>-1</v>
      </c>
      <c r="BR35" s="118">
        <v>1</v>
      </c>
      <c r="BS35" s="118">
        <v>1</v>
      </c>
      <c r="BT35" s="186">
        <v>43050.688819444447</v>
      </c>
      <c r="BV35" s="118">
        <v>1</v>
      </c>
      <c r="BW35" s="118">
        <v>1</v>
      </c>
      <c r="BX35" s="118">
        <v>1</v>
      </c>
      <c r="BY35" s="186">
        <v>43050.738333333335</v>
      </c>
      <c r="BZ35" s="186">
        <f t="shared" ca="1" si="40"/>
        <v>43050.738333333335</v>
      </c>
      <c r="CA35" s="254">
        <v>0.73902777777777784</v>
      </c>
    </row>
    <row r="36" spans="1:79" ht="19.5" customHeight="1" x14ac:dyDescent="0.2">
      <c r="A36" s="170" t="s">
        <v>43</v>
      </c>
      <c r="B36" s="171" t="s">
        <v>305</v>
      </c>
      <c r="C36" s="171" t="s">
        <v>214</v>
      </c>
      <c r="D36" s="172" t="s">
        <v>223</v>
      </c>
      <c r="E36" s="172">
        <v>89.1</v>
      </c>
      <c r="F36" s="172">
        <f>IF(LEFT(D36,1)="M",VLOOKUP(IF($E$7="Bwt (kg)",E36,E36/2.2046),Lists!$B$16:$D$24,IF(ISERROR(FIND("J",D36)),3,2)),VLOOKUP(IF($E$7="Bwt (kg)",E36,E36/2.2046),Lists!$B$26:$D$33,IF(ISERROR(FIND("J",D36)),3,2)))</f>
        <v>93</v>
      </c>
      <c r="G36" s="172">
        <v>50</v>
      </c>
      <c r="H36" s="173">
        <f>IF(AND(VALUE(E36)&gt;0,OR(LEFT(D36,1)="M",LEFT(D36,1)="F")),IF(LEFT(D36,1)="M",Wilks_Men(IF(RIGHT($F$7,4)="(lb)",E36/2.2046,E36)),Wilks_Women(IF(RIGHT($F$7,4)="(lb)",E36/2.2046,E36))),0)</f>
        <v>0.64170002937316895</v>
      </c>
      <c r="I36" s="251">
        <v>31897</v>
      </c>
      <c r="J36" s="128">
        <f ca="1">IF(I36,VLOOKUP(INT((NOW()-I36)/365.25),DATA!$A$2:$B$53,2,TRUE),0)</f>
        <v>1</v>
      </c>
      <c r="K36" s="172">
        <v>9</v>
      </c>
      <c r="L36" s="253">
        <v>200</v>
      </c>
      <c r="M36" s="253">
        <v>212.5</v>
      </c>
      <c r="N36" s="253">
        <v>220</v>
      </c>
      <c r="O36" s="176">
        <f t="shared" si="21"/>
        <v>220</v>
      </c>
      <c r="P36" s="177" t="s">
        <v>315</v>
      </c>
      <c r="Q36" s="253">
        <v>140</v>
      </c>
      <c r="R36" s="256">
        <v>-147.5</v>
      </c>
      <c r="S36" s="256">
        <v>-147.5</v>
      </c>
      <c r="T36" s="176">
        <f t="shared" si="22"/>
        <v>140</v>
      </c>
      <c r="U36" s="176">
        <f t="shared" si="23"/>
        <v>360</v>
      </c>
      <c r="V36" s="253">
        <v>235</v>
      </c>
      <c r="W36" s="259">
        <v>250</v>
      </c>
      <c r="X36" s="253">
        <v>265</v>
      </c>
      <c r="Y36" s="179">
        <f t="shared" si="24"/>
        <v>265</v>
      </c>
      <c r="Z36" s="176">
        <f t="shared" ca="1" si="25"/>
        <v>625</v>
      </c>
      <c r="AA36" s="180">
        <f t="shared" ca="1" si="26"/>
        <v>401.06251835823059</v>
      </c>
      <c r="AB36" s="180">
        <f t="shared" ca="1" si="27"/>
        <v>401.06251835823059</v>
      </c>
      <c r="AC36" s="170">
        <f ca="1">OFFSET(Setup!$F$1,MATCH(D36,INDIRECT("Setup!B1:B100"),0)-1,0)</f>
        <v>2</v>
      </c>
      <c r="AD36" s="181" t="str">
        <f t="shared" ca="1" si="28"/>
        <v>5-M-BL-PL</v>
      </c>
      <c r="AE36" s="172" t="s">
        <v>109</v>
      </c>
      <c r="AH36" s="182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3">
        <f t="shared" ca="1" si="33"/>
        <v>43</v>
      </c>
      <c r="AO36" s="183">
        <f t="shared" si="34"/>
        <v>89.1</v>
      </c>
      <c r="AP36" s="183">
        <f t="shared" ca="1" si="35"/>
        <v>22</v>
      </c>
      <c r="AQ36" s="183">
        <f t="shared" ca="1" si="36"/>
        <v>38</v>
      </c>
      <c r="AU36" s="183">
        <f t="shared" ca="1" si="37"/>
        <v>1</v>
      </c>
      <c r="AW36" s="183"/>
      <c r="AX36" s="185"/>
      <c r="AY36" s="185"/>
      <c r="AZ36" s="185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6">
        <v>43050.644571759258</v>
      </c>
      <c r="BQ36" s="118">
        <v>1</v>
      </c>
      <c r="BR36" s="118">
        <v>-1</v>
      </c>
      <c r="BS36" s="118">
        <v>-1</v>
      </c>
      <c r="BT36" s="186">
        <v>43050.678738425922</v>
      </c>
      <c r="BV36" s="118">
        <v>1</v>
      </c>
      <c r="BW36" s="118">
        <v>1</v>
      </c>
      <c r="BX36" s="118">
        <v>1</v>
      </c>
      <c r="BY36" s="186">
        <v>43050.737453703703</v>
      </c>
      <c r="BZ36" s="186">
        <f t="shared" ca="1" si="40"/>
        <v>43050.737453703703</v>
      </c>
      <c r="CA36" s="254">
        <v>0.73814814814814811</v>
      </c>
    </row>
    <row r="37" spans="1:79" ht="19.5" customHeight="1" x14ac:dyDescent="0.2">
      <c r="A37" s="170" t="s">
        <v>43</v>
      </c>
      <c r="B37" s="171" t="s">
        <v>307</v>
      </c>
      <c r="C37" s="171" t="s">
        <v>212</v>
      </c>
      <c r="D37" s="172" t="s">
        <v>223</v>
      </c>
      <c r="E37" s="172">
        <v>89.1</v>
      </c>
      <c r="F37" s="172">
        <f>IF(LEFT(D37,1)="M",VLOOKUP(IF($E$7="Bwt (kg)",E37,E37/2.2046),Lists!$B$16:$D$24,IF(ISERROR(FIND("J",D37)),3,2)),VLOOKUP(IF($E$7="Bwt (kg)",E37,E37/2.2046),Lists!$B$26:$D$33,IF(ISERROR(FIND("J",D37)),3,2)))</f>
        <v>93</v>
      </c>
      <c r="G37" s="172">
        <v>12</v>
      </c>
      <c r="H37" s="173">
        <f>IF(AND(VALUE(E37)&gt;0,OR(LEFT(D37,1)="M",LEFT(D37,1)="F")),IF(LEFT(D37,1)="M",Wilks_Men(IF(RIGHT($F$7,4)="(lb)",E37/2.2046,E37)),Wilks_Women(IF(RIGHT($F$7,4)="(lb)",E37/2.2046,E37))),0)</f>
        <v>0.64170002937316895</v>
      </c>
      <c r="I37" s="251">
        <v>31479</v>
      </c>
      <c r="J37" s="128">
        <f ca="1">IF(I37,VLOOKUP(INT((NOW()-I37)/365.25),DATA!$A$2:$B$53,2,TRUE),0)</f>
        <v>1</v>
      </c>
      <c r="K37" s="172">
        <v>8</v>
      </c>
      <c r="L37" s="253">
        <v>217.5</v>
      </c>
      <c r="M37" s="253">
        <v>225</v>
      </c>
      <c r="N37" s="253">
        <v>230</v>
      </c>
      <c r="O37" s="176">
        <f t="shared" si="21"/>
        <v>230</v>
      </c>
      <c r="P37" s="177" t="s">
        <v>316</v>
      </c>
      <c r="Q37" s="253">
        <v>145</v>
      </c>
      <c r="R37" s="253">
        <v>155</v>
      </c>
      <c r="S37" s="170"/>
      <c r="T37" s="176">
        <f t="shared" si="22"/>
        <v>155</v>
      </c>
      <c r="U37" s="176">
        <f t="shared" si="23"/>
        <v>385</v>
      </c>
      <c r="V37" s="253">
        <v>240</v>
      </c>
      <c r="W37" s="259">
        <v>250</v>
      </c>
      <c r="X37" s="253">
        <v>260</v>
      </c>
      <c r="Y37" s="179">
        <f t="shared" si="24"/>
        <v>260</v>
      </c>
      <c r="Z37" s="176">
        <f t="shared" ca="1" si="25"/>
        <v>645</v>
      </c>
      <c r="AA37" s="180">
        <f t="shared" ca="1" si="26"/>
        <v>413.89651894569397</v>
      </c>
      <c r="AB37" s="180">
        <f t="shared" ca="1" si="27"/>
        <v>413.89651894569397</v>
      </c>
      <c r="AC37" s="170">
        <f ca="1">OFFSET(Setup!$F$1,MATCH(D37,INDIRECT("Setup!B1:B100"),0)-1,0)</f>
        <v>2</v>
      </c>
      <c r="AD37" s="181" t="str">
        <f t="shared" ca="1" si="28"/>
        <v>4-M-BL-PL</v>
      </c>
      <c r="AE37" s="172" t="s">
        <v>109</v>
      </c>
      <c r="AH37" s="182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3">
        <f t="shared" ca="1" si="33"/>
        <v>44</v>
      </c>
      <c r="AO37" s="183">
        <f t="shared" si="34"/>
        <v>89.1</v>
      </c>
      <c r="AP37" s="183">
        <f t="shared" ca="1" si="35"/>
        <v>22</v>
      </c>
      <c r="AQ37" s="183">
        <f t="shared" ca="1" si="36"/>
        <v>37</v>
      </c>
      <c r="AU37" s="183">
        <f t="shared" ca="1" si="37"/>
        <v>1</v>
      </c>
      <c r="AW37" s="183"/>
      <c r="AX37" s="185"/>
      <c r="AY37" s="185"/>
      <c r="AZ37" s="185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6">
        <v>43050.645277777781</v>
      </c>
      <c r="BQ37" s="118">
        <v>1</v>
      </c>
      <c r="BR37" s="118">
        <v>1</v>
      </c>
      <c r="BS37" s="118">
        <v>0</v>
      </c>
      <c r="BT37" s="186">
        <v>43050.686076388891</v>
      </c>
      <c r="BV37" s="118">
        <v>1</v>
      </c>
      <c r="BW37" s="118">
        <v>1</v>
      </c>
      <c r="BX37" s="118">
        <v>1</v>
      </c>
      <c r="BY37" s="186">
        <v>43050.736527777779</v>
      </c>
      <c r="BZ37" s="186">
        <f t="shared" ca="1" si="40"/>
        <v>43050.736527777779</v>
      </c>
      <c r="CA37" s="254">
        <v>0.73722222222222233</v>
      </c>
    </row>
    <row r="38" spans="1:79" ht="19.5" customHeight="1" x14ac:dyDescent="0.2">
      <c r="A38" s="170" t="s">
        <v>43</v>
      </c>
      <c r="B38" s="171" t="s">
        <v>304</v>
      </c>
      <c r="C38" s="171" t="s">
        <v>211</v>
      </c>
      <c r="D38" s="172" t="s">
        <v>223</v>
      </c>
      <c r="E38" s="172">
        <v>92.7</v>
      </c>
      <c r="F38" s="172">
        <f>IF(LEFT(D38,1)="M",VLOOKUP(IF($E$7="Bwt (kg)",E38,E38/2.2046),Lists!$B$16:$D$24,IF(ISERROR(FIND("J",D38)),3,2)),VLOOKUP(IF($E$7="Bwt (kg)",E38,E38/2.2046),Lists!$B$26:$D$33,IF(ISERROR(FIND("J",D38)),3,2)))</f>
        <v>93</v>
      </c>
      <c r="G38" s="172">
        <v>17</v>
      </c>
      <c r="H38" s="173">
        <f>IF(AND(VALUE(E38)&gt;0,OR(LEFT(D38,1)="M",LEFT(D38,1)="F")),IF(LEFT(D38,1)="M",Wilks_Men(IF(RIGHT($F$7,4)="(lb)",E38/2.2046,E38)),Wilks_Women(IF(RIGHT($F$7,4)="(lb)",E38/2.2046,E38))),0)</f>
        <v>0.62919998168945313</v>
      </c>
      <c r="I38" s="251">
        <v>28216</v>
      </c>
      <c r="J38" s="128">
        <f ca="1">IF(I38,VLOOKUP(INT((NOW()-I38)/365.25),DATA!$A$2:$B$53,2,TRUE),0)</f>
        <v>1</v>
      </c>
      <c r="K38" s="172">
        <v>6</v>
      </c>
      <c r="L38" s="253">
        <v>230</v>
      </c>
      <c r="M38" s="253">
        <v>240</v>
      </c>
      <c r="N38" s="256">
        <v>-250</v>
      </c>
      <c r="O38" s="176">
        <f t="shared" si="21"/>
        <v>240</v>
      </c>
      <c r="P38" s="177" t="s">
        <v>314</v>
      </c>
      <c r="Q38" s="253">
        <v>160</v>
      </c>
      <c r="R38" s="253">
        <v>170</v>
      </c>
      <c r="S38" s="253">
        <v>175</v>
      </c>
      <c r="T38" s="176">
        <f t="shared" si="22"/>
        <v>175</v>
      </c>
      <c r="U38" s="176">
        <f t="shared" si="23"/>
        <v>415</v>
      </c>
      <c r="V38" s="253">
        <v>230</v>
      </c>
      <c r="W38" s="259">
        <v>240</v>
      </c>
      <c r="X38" s="253">
        <v>250</v>
      </c>
      <c r="Y38" s="179">
        <f t="shared" si="24"/>
        <v>250</v>
      </c>
      <c r="Z38" s="176">
        <f t="shared" ca="1" si="25"/>
        <v>665</v>
      </c>
      <c r="AA38" s="180">
        <f t="shared" ca="1" si="26"/>
        <v>418.41798782348633</v>
      </c>
      <c r="AB38" s="180">
        <f t="shared" ca="1" si="27"/>
        <v>418.41798782348633</v>
      </c>
      <c r="AC38" s="170">
        <f ca="1">OFFSET(Setup!$F$1,MATCH(D38,INDIRECT("Setup!B1:B100"),0)-1,0)</f>
        <v>2</v>
      </c>
      <c r="AD38" s="181" t="str">
        <f t="shared" ca="1" si="28"/>
        <v>3-M-BL-PL</v>
      </c>
      <c r="AE38" s="172" t="s">
        <v>109</v>
      </c>
      <c r="AH38" s="182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3">
        <f t="shared" ca="1" si="33"/>
        <v>46</v>
      </c>
      <c r="AO38" s="183">
        <f t="shared" si="34"/>
        <v>92.7</v>
      </c>
      <c r="AP38" s="183">
        <f t="shared" ca="1" si="35"/>
        <v>14</v>
      </c>
      <c r="AQ38" s="183">
        <f t="shared" ca="1" si="36"/>
        <v>36</v>
      </c>
      <c r="AU38" s="183">
        <f t="shared" ca="1" si="37"/>
        <v>1</v>
      </c>
      <c r="AW38" s="183"/>
      <c r="AX38" s="185"/>
      <c r="AY38" s="185"/>
      <c r="AZ38" s="185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6">
        <v>43050.639606481483</v>
      </c>
      <c r="BQ38" s="118">
        <v>1</v>
      </c>
      <c r="BR38" s="118">
        <v>1</v>
      </c>
      <c r="BS38" s="118">
        <v>1</v>
      </c>
      <c r="BT38" s="186">
        <v>43050.692106481481</v>
      </c>
      <c r="BV38" s="118">
        <v>1</v>
      </c>
      <c r="BW38" s="118">
        <v>1</v>
      </c>
      <c r="BX38" s="118">
        <v>1</v>
      </c>
      <c r="BY38" s="186">
        <v>43050.73574074074</v>
      </c>
      <c r="BZ38" s="186">
        <f t="shared" ca="1" si="40"/>
        <v>43050.73574074074</v>
      </c>
      <c r="CA38" s="254">
        <v>0.73643518518518514</v>
      </c>
    </row>
    <row r="39" spans="1:79" ht="19.5" customHeight="1" x14ac:dyDescent="0.2">
      <c r="A39" s="170" t="s">
        <v>44</v>
      </c>
      <c r="B39" s="171" t="s">
        <v>325</v>
      </c>
      <c r="C39" s="171" t="s">
        <v>219</v>
      </c>
      <c r="D39" s="172" t="s">
        <v>223</v>
      </c>
      <c r="E39" s="172">
        <v>88.8</v>
      </c>
      <c r="F39" s="172">
        <f>IF(LEFT(D39,1)="M",VLOOKUP(IF($E$7="Bwt (kg)",E39,E39/2.2046),Lists!$B$16:$D$24,IF(ISERROR(FIND("J",D39)),3,2)),VLOOKUP(IF($E$7="Bwt (kg)",E39,E39/2.2046),Lists!$B$26:$D$33,IF(ISERROR(FIND("J",D39)),3,2)))</f>
        <v>93</v>
      </c>
      <c r="G39" s="172">
        <v>40</v>
      </c>
      <c r="H39" s="173">
        <f>IF(AND(VALUE(E39)&gt;0,OR(LEFT(D39,1)="M",LEFT(D39,1)="F")),IF(LEFT(D39,1)="M",Wilks_Men(IF(RIGHT($F$7,4)="(lb)",E39/2.2046,E39)),Wilks_Women(IF(RIGHT($F$7,4)="(lb)",E39/2.2046,E39))),0)</f>
        <v>0.642799973487854</v>
      </c>
      <c r="I39" s="251">
        <v>37107</v>
      </c>
      <c r="J39" s="128">
        <f ca="1">IF(I39,VLOOKUP(INT((NOW()-I39)/365.25),DATA!$A$2:$B$53,2,TRUE),0)</f>
        <v>1.1299999999999999</v>
      </c>
      <c r="K39" s="172">
        <v>9</v>
      </c>
      <c r="L39" s="253">
        <v>130</v>
      </c>
      <c r="M39" s="253">
        <v>140</v>
      </c>
      <c r="N39" s="253">
        <v>150</v>
      </c>
      <c r="O39" s="176">
        <f t="shared" si="21"/>
        <v>150</v>
      </c>
      <c r="P39" s="177" t="s">
        <v>316</v>
      </c>
      <c r="Q39" s="253">
        <v>100</v>
      </c>
      <c r="R39" s="253">
        <v>107.5</v>
      </c>
      <c r="S39" s="253">
        <v>110</v>
      </c>
      <c r="T39" s="176">
        <f t="shared" si="22"/>
        <v>110</v>
      </c>
      <c r="U39" s="176">
        <f t="shared" si="23"/>
        <v>260</v>
      </c>
      <c r="V39" s="253">
        <v>160</v>
      </c>
      <c r="W39" s="259">
        <v>170</v>
      </c>
      <c r="X39" s="253">
        <v>180</v>
      </c>
      <c r="Y39" s="179">
        <f t="shared" si="24"/>
        <v>180</v>
      </c>
      <c r="Z39" s="176">
        <f t="shared" ca="1" si="25"/>
        <v>440</v>
      </c>
      <c r="AA39" s="180">
        <f t="shared" ca="1" si="26"/>
        <v>282.83198833465576</v>
      </c>
      <c r="AB39" s="180">
        <f t="shared" ca="1" si="27"/>
        <v>319.60014681816097</v>
      </c>
      <c r="AC39" s="170">
        <f ca="1">OFFSET(Setup!$F$1,MATCH(D39,INDIRECT("Setup!B1:B100"),0)-1,0)</f>
        <v>2</v>
      </c>
      <c r="AD39" s="181" t="str">
        <f t="shared" ca="1" si="28"/>
        <v>27-M-BL-PL</v>
      </c>
      <c r="AE39" s="172" t="s">
        <v>109</v>
      </c>
      <c r="AH39" s="182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3">
        <f t="shared" ca="1" si="33"/>
        <v>22</v>
      </c>
      <c r="AO39" s="183">
        <f t="shared" si="34"/>
        <v>88.8</v>
      </c>
      <c r="AP39" s="183">
        <f t="shared" ca="1" si="35"/>
        <v>24</v>
      </c>
      <c r="AQ39" s="183">
        <f t="shared" ca="1" si="36"/>
        <v>46</v>
      </c>
      <c r="AU39" s="183">
        <f t="shared" ca="1" si="37"/>
        <v>1</v>
      </c>
      <c r="AW39" s="183"/>
      <c r="AX39" s="185"/>
      <c r="AY39" s="185"/>
      <c r="AZ39" s="185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6">
        <v>43050.660891203705</v>
      </c>
      <c r="BQ39" s="118">
        <v>1</v>
      </c>
      <c r="BR39" s="118">
        <v>1</v>
      </c>
      <c r="BS39" s="118">
        <v>1</v>
      </c>
      <c r="BT39" s="186">
        <v>43050.707002314812</v>
      </c>
      <c r="BV39" s="118">
        <v>1</v>
      </c>
      <c r="BW39" s="118">
        <v>1</v>
      </c>
      <c r="BX39" s="118">
        <v>1</v>
      </c>
      <c r="BY39" s="186">
        <v>43050.752291666664</v>
      </c>
      <c r="BZ39" s="186">
        <f t="shared" ca="1" si="40"/>
        <v>43050.752291666664</v>
      </c>
      <c r="CA39" s="254">
        <v>0.75298611111111102</v>
      </c>
    </row>
    <row r="40" spans="1:79" ht="19.5" customHeight="1" x14ac:dyDescent="0.2">
      <c r="A40" s="170" t="s">
        <v>44</v>
      </c>
      <c r="B40" s="171" t="s">
        <v>322</v>
      </c>
      <c r="C40" s="171" t="s">
        <v>119</v>
      </c>
      <c r="D40" s="172" t="s">
        <v>223</v>
      </c>
      <c r="E40" s="172">
        <v>87.55</v>
      </c>
      <c r="F40" s="172">
        <f>IF(LEFT(D40,1)="M",VLOOKUP(IF($E$7="Bwt (kg)",E40,E40/2.2046),Lists!$B$16:$D$24,IF(ISERROR(FIND("J",D40)),3,2)),VLOOKUP(IF($E$7="Bwt (kg)",E40,E40/2.2046),Lists!$B$26:$D$33,IF(ISERROR(FIND("J",D40)),3,2)))</f>
        <v>93</v>
      </c>
      <c r="G40" s="172">
        <v>7</v>
      </c>
      <c r="H40" s="173">
        <f>IF(AND(VALUE(E40)&gt;0,OR(LEFT(D40,1)="M",LEFT(D40,1)="F")),IF(LEFT(D40,1)="M",Wilks_Men(IF(RIGHT($F$7,4)="(lb)",E40/2.2046,E40)),Wilks_Women(IF(RIGHT($F$7,4)="(lb)",E40/2.2046,E40))),0)</f>
        <v>0.64770001173019409</v>
      </c>
      <c r="I40" s="251">
        <v>27613</v>
      </c>
      <c r="J40" s="128">
        <f ca="1">IF(I40,VLOOKUP(INT((NOW()-I40)/365.25),DATA!$A$2:$B$53,2,TRUE),0)</f>
        <v>1.02</v>
      </c>
      <c r="K40" s="172">
        <v>9</v>
      </c>
      <c r="L40" s="253">
        <v>150</v>
      </c>
      <c r="M40" s="253">
        <v>170</v>
      </c>
      <c r="N40" s="256">
        <v>-175</v>
      </c>
      <c r="O40" s="176">
        <f t="shared" si="21"/>
        <v>170</v>
      </c>
      <c r="P40" s="177" t="s">
        <v>320</v>
      </c>
      <c r="Q40" s="253">
        <v>105</v>
      </c>
      <c r="R40" s="253">
        <v>110</v>
      </c>
      <c r="S40" s="256">
        <v>-112.5</v>
      </c>
      <c r="T40" s="176">
        <f t="shared" si="22"/>
        <v>110</v>
      </c>
      <c r="U40" s="176">
        <f t="shared" si="23"/>
        <v>280</v>
      </c>
      <c r="V40" s="253">
        <v>230</v>
      </c>
      <c r="W40" s="260">
        <v>-240</v>
      </c>
      <c r="X40" s="256">
        <v>-240</v>
      </c>
      <c r="Y40" s="179">
        <f t="shared" si="24"/>
        <v>230</v>
      </c>
      <c r="Z40" s="176">
        <f t="shared" ca="1" si="25"/>
        <v>510</v>
      </c>
      <c r="AA40" s="180">
        <f t="shared" ca="1" si="26"/>
        <v>330.32700598239899</v>
      </c>
      <c r="AB40" s="180">
        <f t="shared" ca="1" si="27"/>
        <v>336.93354610204699</v>
      </c>
      <c r="AC40" s="170">
        <f ca="1">OFFSET(Setup!$F$1,MATCH(D40,INDIRECT("Setup!B1:B100"),0)-1,0)</f>
        <v>2</v>
      </c>
      <c r="AD40" s="181" t="str">
        <f t="shared" ca="1" si="28"/>
        <v>21-M-BL-PL</v>
      </c>
      <c r="AE40" s="172" t="s">
        <v>109</v>
      </c>
      <c r="AH40" s="182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3">
        <f t="shared" ca="1" si="33"/>
        <v>26</v>
      </c>
      <c r="AO40" s="183">
        <f t="shared" si="34"/>
        <v>87.55</v>
      </c>
      <c r="AP40" s="183">
        <f t="shared" ca="1" si="35"/>
        <v>25</v>
      </c>
      <c r="AQ40" s="183">
        <f t="shared" ca="1" si="36"/>
        <v>41</v>
      </c>
      <c r="AU40" s="183">
        <f t="shared" ca="1" si="37"/>
        <v>1</v>
      </c>
      <c r="AW40" s="183"/>
      <c r="AX40" s="185"/>
      <c r="AY40" s="185"/>
      <c r="AZ40" s="185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6">
        <v>43050.655555555553</v>
      </c>
      <c r="BQ40" s="118">
        <v>1</v>
      </c>
      <c r="BR40" s="118">
        <v>1</v>
      </c>
      <c r="BS40" s="118">
        <v>-1</v>
      </c>
      <c r="BT40" s="186">
        <v>43050.701041666667</v>
      </c>
      <c r="BV40" s="118">
        <v>1</v>
      </c>
      <c r="BW40" s="118">
        <v>-1</v>
      </c>
      <c r="BX40" s="118">
        <v>-1</v>
      </c>
      <c r="BY40" s="186">
        <v>43050.742673611108</v>
      </c>
      <c r="BZ40" s="186">
        <f t="shared" ca="1" si="40"/>
        <v>43050.742673611108</v>
      </c>
      <c r="CA40" s="254">
        <v>0.75457175925925923</v>
      </c>
    </row>
    <row r="41" spans="1:79" ht="19.5" customHeight="1" x14ac:dyDescent="0.2">
      <c r="A41" s="170" t="s">
        <v>44</v>
      </c>
      <c r="B41" s="171" t="s">
        <v>328</v>
      </c>
      <c r="C41" s="171" t="s">
        <v>219</v>
      </c>
      <c r="D41" s="172" t="s">
        <v>223</v>
      </c>
      <c r="E41" s="172">
        <v>103.6</v>
      </c>
      <c r="F41" s="172">
        <f>IF(LEFT(D41,1)="M",VLOOKUP(IF($E$7="Bwt (kg)",E41,E41/2.2046),Lists!$B$16:$D$24,IF(ISERROR(FIND("J",D41)),3,2)),VLOOKUP(IF($E$7="Bwt (kg)",E41,E41/2.2046),Lists!$B$26:$D$33,IF(ISERROR(FIND("J",D41)),3,2)))</f>
        <v>105</v>
      </c>
      <c r="G41" s="172">
        <v>28</v>
      </c>
      <c r="H41" s="173">
        <f>IF(AND(VALUE(E41)&gt;0,OR(LEFT(D41,1)="M",LEFT(D41,1)="F")),IF(LEFT(D41,1)="M",Wilks_Men(IF(RIGHT($F$7,4)="(lb)",E41/2.2046,E41)),Wilks_Women(IF(RIGHT($F$7,4)="(lb)",E41/2.2046,E41))),0)</f>
        <v>0.60039997100830078</v>
      </c>
      <c r="I41" s="251">
        <v>35442</v>
      </c>
      <c r="J41" s="128">
        <f ca="1">IF(I41,VLOOKUP(INT((NOW()-I41)/365.25),DATA!$A$2:$B$53,2,TRUE),0)</f>
        <v>1.03</v>
      </c>
      <c r="K41" s="172">
        <v>12</v>
      </c>
      <c r="L41" s="253">
        <v>160</v>
      </c>
      <c r="M41" s="253">
        <v>170</v>
      </c>
      <c r="N41" s="253">
        <v>175</v>
      </c>
      <c r="O41" s="176">
        <f t="shared" si="21"/>
        <v>175</v>
      </c>
      <c r="P41" s="177" t="s">
        <v>329</v>
      </c>
      <c r="Q41" s="253">
        <v>127.5</v>
      </c>
      <c r="R41" s="253">
        <v>135</v>
      </c>
      <c r="S41" s="256">
        <v>-140</v>
      </c>
      <c r="T41" s="176">
        <f t="shared" si="22"/>
        <v>135</v>
      </c>
      <c r="U41" s="176">
        <f t="shared" si="23"/>
        <v>310</v>
      </c>
      <c r="V41" s="253">
        <v>200</v>
      </c>
      <c r="W41" s="260">
        <v>-230</v>
      </c>
      <c r="X41" s="253">
        <v>230</v>
      </c>
      <c r="Y41" s="179">
        <f t="shared" si="24"/>
        <v>230</v>
      </c>
      <c r="Z41" s="176">
        <f t="shared" ca="1" si="25"/>
        <v>540</v>
      </c>
      <c r="AA41" s="180">
        <f t="shared" ca="1" si="26"/>
        <v>324.21598434448242</v>
      </c>
      <c r="AB41" s="180">
        <f t="shared" ca="1" si="27"/>
        <v>333.94246387481689</v>
      </c>
      <c r="AC41" s="170">
        <f ca="1">OFFSET(Setup!$F$1,MATCH(D41,INDIRECT("Setup!B1:B100"),0)-1,0)</f>
        <v>2</v>
      </c>
      <c r="AD41" s="181" t="str">
        <f t="shared" ca="1" si="28"/>
        <v>22-M-BL-PL</v>
      </c>
      <c r="AE41" s="172" t="s">
        <v>109</v>
      </c>
      <c r="AH41" s="182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3">
        <f t="shared" ca="1" si="33"/>
        <v>32</v>
      </c>
      <c r="AO41" s="183">
        <f t="shared" si="34"/>
        <v>103.6</v>
      </c>
      <c r="AP41" s="183">
        <f t="shared" ca="1" si="35"/>
        <v>9</v>
      </c>
      <c r="AQ41" s="183">
        <f t="shared" ca="1" si="36"/>
        <v>47</v>
      </c>
      <c r="AU41" s="183">
        <f t="shared" ca="1" si="37"/>
        <v>1</v>
      </c>
      <c r="AW41" s="183"/>
      <c r="AX41" s="185"/>
      <c r="AY41" s="185"/>
      <c r="AZ41" s="185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6">
        <v>43050.662129629629</v>
      </c>
      <c r="BQ41" s="118">
        <v>1</v>
      </c>
      <c r="BR41" s="118">
        <v>1</v>
      </c>
      <c r="BS41" s="118">
        <v>-1</v>
      </c>
      <c r="BT41" s="186">
        <v>43050.70385416667</v>
      </c>
      <c r="BV41" s="118">
        <v>1</v>
      </c>
      <c r="BW41" s="118">
        <v>-1</v>
      </c>
      <c r="BX41" s="118">
        <v>1</v>
      </c>
      <c r="BY41" s="186">
        <v>43050.75309027778</v>
      </c>
      <c r="BZ41" s="186">
        <f t="shared" ca="1" si="40"/>
        <v>43050.75309027778</v>
      </c>
      <c r="CA41" s="254">
        <v>0.75378472222222215</v>
      </c>
    </row>
    <row r="42" spans="1:79" ht="19.5" customHeight="1" x14ac:dyDescent="0.2">
      <c r="A42" s="170" t="s">
        <v>44</v>
      </c>
      <c r="B42" s="171" t="s">
        <v>321</v>
      </c>
      <c r="C42" s="171" t="s">
        <v>213</v>
      </c>
      <c r="D42" s="172" t="s">
        <v>223</v>
      </c>
      <c r="E42" s="172">
        <v>109.75</v>
      </c>
      <c r="F42" s="172">
        <f>IF(LEFT(D42,1)="M",VLOOKUP(IF($E$7="Bwt (kg)",E42,E42/2.2046),Lists!$B$16:$D$24,IF(ISERROR(FIND("J",D42)),3,2)),VLOOKUP(IF($E$7="Bwt (kg)",E42,E42/2.2046),Lists!$B$26:$D$33,IF(ISERROR(FIND("J",D42)),3,2)))</f>
        <v>120</v>
      </c>
      <c r="G42" s="172">
        <v>11</v>
      </c>
      <c r="H42" s="173">
        <f>IF(AND(VALUE(E42)&gt;0,OR(LEFT(D42,1)="M",LEFT(D42,1)="F")),IF(LEFT(D42,1)="M",Wilks_Men(IF(RIGHT($F$7,4)="(lb)",E42/2.2046,E42)),Wilks_Women(IF(RIGHT($F$7,4)="(lb)",E42/2.2046,E42))),0)</f>
        <v>0.58890002965927124</v>
      </c>
      <c r="I42" s="251">
        <v>33421</v>
      </c>
      <c r="J42" s="128">
        <f ca="1">IF(I42,VLOOKUP(INT((NOW()-I42)/365.25),DATA!$A$2:$B$53,2,TRUE),0)</f>
        <v>1</v>
      </c>
      <c r="K42" s="172">
        <v>9</v>
      </c>
      <c r="L42" s="256">
        <v>-165</v>
      </c>
      <c r="M42" s="253">
        <v>165</v>
      </c>
      <c r="N42" s="253">
        <v>185</v>
      </c>
      <c r="O42" s="176">
        <f t="shared" si="21"/>
        <v>185</v>
      </c>
      <c r="P42" s="177" t="s">
        <v>288</v>
      </c>
      <c r="Q42" s="253">
        <v>150</v>
      </c>
      <c r="R42" s="253">
        <v>160</v>
      </c>
      <c r="S42" s="253">
        <v>165</v>
      </c>
      <c r="T42" s="176">
        <f t="shared" si="22"/>
        <v>165</v>
      </c>
      <c r="U42" s="176">
        <f t="shared" si="23"/>
        <v>350</v>
      </c>
      <c r="V42" s="253">
        <v>210</v>
      </c>
      <c r="W42" s="259">
        <v>220</v>
      </c>
      <c r="X42" s="170"/>
      <c r="Y42" s="179">
        <f t="shared" si="24"/>
        <v>220</v>
      </c>
      <c r="Z42" s="176">
        <f t="shared" ca="1" si="25"/>
        <v>570</v>
      </c>
      <c r="AA42" s="180">
        <f t="shared" ca="1" si="26"/>
        <v>335.67301690578461</v>
      </c>
      <c r="AB42" s="180">
        <f t="shared" ca="1" si="27"/>
        <v>335.67301690578461</v>
      </c>
      <c r="AC42" s="170">
        <f ca="1">OFFSET(Setup!$F$1,MATCH(D42,INDIRECT("Setup!B1:B100"),0)-1,0)</f>
        <v>2</v>
      </c>
      <c r="AD42" s="181" t="str">
        <f t="shared" ca="1" si="28"/>
        <v>20-M-BL-PL</v>
      </c>
      <c r="AE42" s="172" t="s">
        <v>109</v>
      </c>
      <c r="AH42" s="182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3">
        <f t="shared" ca="1" si="33"/>
        <v>37</v>
      </c>
      <c r="AO42" s="183">
        <f t="shared" si="34"/>
        <v>109.75</v>
      </c>
      <c r="AP42" s="183">
        <f t="shared" ca="1" si="35"/>
        <v>7</v>
      </c>
      <c r="AQ42" s="183">
        <f t="shared" ca="1" si="36"/>
        <v>42</v>
      </c>
      <c r="AU42" s="183">
        <f t="shared" ca="1" si="37"/>
        <v>1</v>
      </c>
      <c r="AW42" s="183"/>
      <c r="AX42" s="185"/>
      <c r="AY42" s="185"/>
      <c r="AZ42" s="185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6">
        <v>43050.662824074076</v>
      </c>
      <c r="BQ42" s="118">
        <v>1</v>
      </c>
      <c r="BR42" s="118">
        <v>1</v>
      </c>
      <c r="BS42" s="118">
        <v>1</v>
      </c>
      <c r="BT42" s="186">
        <v>43050.711122685185</v>
      </c>
      <c r="BV42" s="118">
        <v>1</v>
      </c>
      <c r="BW42" s="118">
        <v>1</v>
      </c>
      <c r="BX42" s="118">
        <v>0</v>
      </c>
      <c r="BY42" s="186">
        <v>43050.746851851851</v>
      </c>
      <c r="BZ42" s="186">
        <f t="shared" ca="1" si="40"/>
        <v>43050.746851851851</v>
      </c>
      <c r="CA42" s="254">
        <v>0.74754629629629632</v>
      </c>
    </row>
    <row r="43" spans="1:79" ht="19.5" customHeight="1" x14ac:dyDescent="0.2">
      <c r="A43" s="170" t="s">
        <v>44</v>
      </c>
      <c r="B43" s="171" t="s">
        <v>323</v>
      </c>
      <c r="C43" s="171" t="s">
        <v>211</v>
      </c>
      <c r="D43" s="172" t="s">
        <v>223</v>
      </c>
      <c r="E43" s="172">
        <v>125.05</v>
      </c>
      <c r="F43" s="172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2">
        <v>32</v>
      </c>
      <c r="H43" s="173">
        <f>IF(AND(VALUE(E43)&gt;0,OR(LEFT(D43,1)="M",LEFT(D43,1)="F")),IF(LEFT(D43,1)="M",Wilks_Men(IF(RIGHT($F$7,4)="(lb)",E43/2.2046,E43)),Wilks_Women(IF(RIGHT($F$7,4)="(lb)",E43/2.2046,E43))),0)</f>
        <v>0.56980001926422119</v>
      </c>
      <c r="I43" s="251">
        <v>23786</v>
      </c>
      <c r="J43" s="128">
        <f ca="1">IF(I43,VLOOKUP(INT((NOW()-I43)/365.25),DATA!$A$2:$B$53,2,TRUE),0)</f>
        <v>1.165</v>
      </c>
      <c r="K43" s="172">
        <v>12</v>
      </c>
      <c r="L43" s="253">
        <v>185</v>
      </c>
      <c r="M43" s="253">
        <v>200</v>
      </c>
      <c r="N43" s="253">
        <v>215</v>
      </c>
      <c r="O43" s="176">
        <f t="shared" si="21"/>
        <v>215</v>
      </c>
      <c r="P43" s="177" t="s">
        <v>324</v>
      </c>
      <c r="Q43" s="253">
        <v>120</v>
      </c>
      <c r="R43" s="256">
        <v>-125</v>
      </c>
      <c r="S43" s="256">
        <v>-125</v>
      </c>
      <c r="T43" s="176">
        <f t="shared" si="22"/>
        <v>120</v>
      </c>
      <c r="U43" s="176">
        <f t="shared" si="23"/>
        <v>335</v>
      </c>
      <c r="V43" s="253">
        <v>220</v>
      </c>
      <c r="W43" s="260">
        <v>-230</v>
      </c>
      <c r="X43" s="170"/>
      <c r="Y43" s="179">
        <f t="shared" si="24"/>
        <v>220</v>
      </c>
      <c r="Z43" s="176">
        <f t="shared" ca="1" si="25"/>
        <v>555</v>
      </c>
      <c r="AA43" s="180">
        <f t="shared" ca="1" si="26"/>
        <v>316.23901069164276</v>
      </c>
      <c r="AB43" s="180">
        <f t="shared" ca="1" si="27"/>
        <v>368.41844745576384</v>
      </c>
      <c r="AC43" s="170">
        <f ca="1">OFFSET(Setup!$F$1,MATCH(D43,INDIRECT("Setup!B1:B100"),0)-1,0)</f>
        <v>2</v>
      </c>
      <c r="AD43" s="181" t="str">
        <f t="shared" ca="1" si="28"/>
        <v>23-M-BL-PL</v>
      </c>
      <c r="AE43" s="172" t="s">
        <v>109</v>
      </c>
      <c r="AH43" s="182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3">
        <f t="shared" ca="1" si="33"/>
        <v>33</v>
      </c>
      <c r="AO43" s="183">
        <f t="shared" si="34"/>
        <v>125.05</v>
      </c>
      <c r="AP43" s="183">
        <f t="shared" ca="1" si="35"/>
        <v>2</v>
      </c>
      <c r="AQ43" s="183">
        <f t="shared" ca="1" si="36"/>
        <v>40</v>
      </c>
      <c r="AU43" s="183">
        <f t="shared" ca="1" si="37"/>
        <v>1</v>
      </c>
      <c r="AW43" s="183"/>
      <c r="AX43" s="185"/>
      <c r="AY43" s="185"/>
      <c r="AZ43" s="185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6">
        <v>43050.66337962963</v>
      </c>
      <c r="BQ43" s="118">
        <v>1</v>
      </c>
      <c r="BR43" s="118">
        <v>-1</v>
      </c>
      <c r="BS43" s="118">
        <v>-1</v>
      </c>
      <c r="BT43" s="186">
        <v>43050.696284722224</v>
      </c>
      <c r="BV43" s="118">
        <v>1</v>
      </c>
      <c r="BW43" s="118">
        <v>-1</v>
      </c>
      <c r="BX43" s="118">
        <v>0</v>
      </c>
      <c r="BY43" s="186">
        <v>43050.741516203707</v>
      </c>
      <c r="BZ43" s="186">
        <f t="shared" ca="1" si="40"/>
        <v>43050.741516203707</v>
      </c>
      <c r="CA43" s="254">
        <v>0.74849537037037039</v>
      </c>
    </row>
    <row r="44" spans="1:79" ht="19.5" customHeight="1" x14ac:dyDescent="0.2">
      <c r="A44" s="170" t="s">
        <v>44</v>
      </c>
      <c r="B44" s="171" t="s">
        <v>327</v>
      </c>
      <c r="C44" s="171" t="s">
        <v>213</v>
      </c>
      <c r="D44" s="172" t="s">
        <v>223</v>
      </c>
      <c r="E44" s="172">
        <v>95.55</v>
      </c>
      <c r="F44" s="172">
        <f>IF(LEFT(D44,1)="M",VLOOKUP(IF($E$7="Bwt (kg)",E44,E44/2.2046),Lists!$B$16:$D$24,IF(ISERROR(FIND("J",D44)),3,2)),VLOOKUP(IF($E$7="Bwt (kg)",E44,E44/2.2046),Lists!$B$26:$D$33,IF(ISERROR(FIND("J",D44)),3,2)))</f>
        <v>105</v>
      </c>
      <c r="G44" s="172">
        <v>4</v>
      </c>
      <c r="H44" s="173">
        <f>IF(AND(VALUE(E44)&gt;0,OR(LEFT(D44,1)="M",LEFT(D44,1)="F")),IF(LEFT(D44,1)="M",Wilks_Men(IF(RIGHT($F$7,4)="(lb)",E44/2.2046,E44)),Wilks_Women(IF(RIGHT($F$7,4)="(lb)",E44/2.2046,E44))),0)</f>
        <v>0.62040001153945923</v>
      </c>
      <c r="I44" s="251">
        <v>31540</v>
      </c>
      <c r="J44" s="128">
        <f ca="1">IF(I44,VLOOKUP(INT((NOW()-I44)/365.25),DATA!$A$2:$B$53,2,TRUE),0)</f>
        <v>1</v>
      </c>
      <c r="K44" s="172">
        <v>9</v>
      </c>
      <c r="L44" s="253">
        <v>220</v>
      </c>
      <c r="M44" s="253">
        <v>230</v>
      </c>
      <c r="N44" s="253">
        <v>235</v>
      </c>
      <c r="O44" s="176">
        <f t="shared" si="21"/>
        <v>235</v>
      </c>
      <c r="P44" s="177" t="s">
        <v>285</v>
      </c>
      <c r="Q44" s="253">
        <v>120</v>
      </c>
      <c r="R44" s="253">
        <v>130</v>
      </c>
      <c r="S44" s="253">
        <v>135</v>
      </c>
      <c r="T44" s="176">
        <f t="shared" si="22"/>
        <v>135</v>
      </c>
      <c r="U44" s="176">
        <f t="shared" si="23"/>
        <v>370</v>
      </c>
      <c r="V44" s="253">
        <v>230</v>
      </c>
      <c r="W44" s="259">
        <v>240</v>
      </c>
      <c r="X44" s="170"/>
      <c r="Y44" s="179">
        <f t="shared" si="24"/>
        <v>240</v>
      </c>
      <c r="Z44" s="176">
        <f t="shared" ca="1" si="25"/>
        <v>610</v>
      </c>
      <c r="AA44" s="180">
        <f t="shared" ca="1" si="26"/>
        <v>378.44400703907013</v>
      </c>
      <c r="AB44" s="180">
        <f t="shared" ca="1" si="27"/>
        <v>378.44400703907013</v>
      </c>
      <c r="AC44" s="170">
        <f ca="1">OFFSET(Setup!$F$1,MATCH(D44,INDIRECT("Setup!B1:B100"),0)-1,0)</f>
        <v>2</v>
      </c>
      <c r="AD44" s="181" t="str">
        <f t="shared" ca="1" si="28"/>
        <v>11-M-BL-PL</v>
      </c>
      <c r="AE44" s="172" t="s">
        <v>109</v>
      </c>
      <c r="AH44" s="182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3">
        <f t="shared" ca="1" si="33"/>
        <v>41</v>
      </c>
      <c r="AO44" s="183">
        <f t="shared" si="34"/>
        <v>95.55</v>
      </c>
      <c r="AP44" s="183">
        <f t="shared" ca="1" si="35"/>
        <v>11</v>
      </c>
      <c r="AQ44" s="183">
        <f t="shared" ca="1" si="36"/>
        <v>43</v>
      </c>
      <c r="AU44" s="183">
        <f t="shared" ca="1" si="37"/>
        <v>1</v>
      </c>
      <c r="AW44" s="183"/>
      <c r="AX44" s="185"/>
      <c r="AY44" s="185"/>
      <c r="AZ44" s="185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6">
        <v>43050.664085648146</v>
      </c>
      <c r="BQ44" s="118">
        <v>1</v>
      </c>
      <c r="BR44" s="118">
        <v>1</v>
      </c>
      <c r="BS44" s="118">
        <v>1</v>
      </c>
      <c r="BT44" s="186">
        <v>43050.709085648145</v>
      </c>
      <c r="BV44" s="118">
        <v>1</v>
      </c>
      <c r="BW44" s="118">
        <v>1</v>
      </c>
      <c r="BX44" s="118">
        <v>0</v>
      </c>
      <c r="BY44" s="186">
        <v>43050.748414351852</v>
      </c>
      <c r="BZ44" s="186">
        <f t="shared" ca="1" si="40"/>
        <v>43050.748414351852</v>
      </c>
      <c r="CA44" s="254">
        <v>0.74910879629629623</v>
      </c>
    </row>
    <row r="45" spans="1:79" ht="19.5" customHeight="1" x14ac:dyDescent="0.2">
      <c r="A45" s="170" t="s">
        <v>44</v>
      </c>
      <c r="B45" s="171" t="s">
        <v>261</v>
      </c>
      <c r="C45" s="171" t="s">
        <v>211</v>
      </c>
      <c r="D45" s="172" t="s">
        <v>223</v>
      </c>
      <c r="E45" s="172">
        <v>123.9</v>
      </c>
      <c r="F45" s="172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2">
        <v>5</v>
      </c>
      <c r="H45" s="173">
        <f>IF(AND(VALUE(E45)&gt;0,OR(LEFT(D45,1)="M",LEFT(D45,1)="F")),IF(LEFT(D45,1)="M",Wilks_Men(IF(RIGHT($F$7,4)="(lb)",E45/2.2046,E45)),Wilks_Women(IF(RIGHT($F$7,4)="(lb)",E45/2.2046,E45))),0)</f>
        <v>0.57090002298355103</v>
      </c>
      <c r="I45" s="251">
        <v>28146</v>
      </c>
      <c r="J45" s="128">
        <f ca="1">IF(I45,VLOOKUP(INT((NOW()-I45)/365.25),DATA!$A$2:$B$53,2,TRUE),0)</f>
        <v>1</v>
      </c>
      <c r="K45" s="172">
        <v>10</v>
      </c>
      <c r="L45" s="253">
        <v>235</v>
      </c>
      <c r="M45" s="253">
        <v>250</v>
      </c>
      <c r="N45" s="256">
        <v>-260</v>
      </c>
      <c r="O45" s="176">
        <f t="shared" si="21"/>
        <v>250</v>
      </c>
      <c r="P45" s="177" t="s">
        <v>258</v>
      </c>
      <c r="Q45" s="253">
        <v>150</v>
      </c>
      <c r="R45" s="253">
        <v>155</v>
      </c>
      <c r="S45" s="253">
        <v>160</v>
      </c>
      <c r="T45" s="176">
        <f t="shared" si="22"/>
        <v>160</v>
      </c>
      <c r="U45" s="176">
        <f t="shared" si="23"/>
        <v>410</v>
      </c>
      <c r="V45" s="253">
        <v>265</v>
      </c>
      <c r="W45" s="259">
        <v>280</v>
      </c>
      <c r="X45" s="256">
        <v>-290</v>
      </c>
      <c r="Y45" s="179">
        <f t="shared" si="24"/>
        <v>280</v>
      </c>
      <c r="Z45" s="176">
        <f t="shared" ca="1" si="25"/>
        <v>690</v>
      </c>
      <c r="AA45" s="180">
        <f t="shared" ca="1" si="26"/>
        <v>393.92101585865021</v>
      </c>
      <c r="AB45" s="180">
        <f t="shared" ca="1" si="27"/>
        <v>393.92101585865021</v>
      </c>
      <c r="AC45" s="170">
        <f ca="1">OFFSET(Setup!$F$1,MATCH(D45,INDIRECT("Setup!B1:B100"),0)-1,0)</f>
        <v>2</v>
      </c>
      <c r="AD45" s="181" t="str">
        <f t="shared" ca="1" si="28"/>
        <v>6-M-BL-PL</v>
      </c>
      <c r="AE45" s="172" t="s">
        <v>109</v>
      </c>
      <c r="AH45" s="182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3">
        <f t="shared" ca="1" si="33"/>
        <v>47</v>
      </c>
      <c r="AO45" s="183">
        <f t="shared" si="34"/>
        <v>123.9</v>
      </c>
      <c r="AP45" s="183">
        <f t="shared" ca="1" si="35"/>
        <v>3</v>
      </c>
      <c r="AQ45" s="183">
        <f t="shared" ca="1" si="36"/>
        <v>44</v>
      </c>
      <c r="AU45" s="183">
        <f t="shared" ca="1" si="37"/>
        <v>1</v>
      </c>
      <c r="AW45" s="183"/>
      <c r="AX45" s="185"/>
      <c r="AY45" s="185"/>
      <c r="AZ45" s="185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6">
        <v>43050.658182870371</v>
      </c>
      <c r="BQ45" s="118">
        <v>1</v>
      </c>
      <c r="BR45" s="118">
        <v>1</v>
      </c>
      <c r="BS45" s="118">
        <v>1</v>
      </c>
      <c r="BT45" s="186">
        <v>43050.710497685184</v>
      </c>
      <c r="BV45" s="118">
        <v>1</v>
      </c>
      <c r="BW45" s="118">
        <v>1</v>
      </c>
      <c r="BX45" s="118">
        <v>-1</v>
      </c>
      <c r="BY45" s="186">
        <v>43050.749560185184</v>
      </c>
      <c r="BZ45" s="186">
        <f t="shared" ca="1" si="40"/>
        <v>43050.749560185184</v>
      </c>
      <c r="CA45" s="254">
        <v>0.75616898148148148</v>
      </c>
    </row>
    <row r="46" spans="1:79" ht="19.5" customHeight="1" x14ac:dyDescent="0.2">
      <c r="A46" s="170" t="s">
        <v>44</v>
      </c>
      <c r="B46" s="171" t="s">
        <v>319</v>
      </c>
      <c r="C46" s="171" t="s">
        <v>213</v>
      </c>
      <c r="D46" s="172" t="s">
        <v>223</v>
      </c>
      <c r="E46" s="172">
        <v>92.65</v>
      </c>
      <c r="F46" s="172">
        <f>IF(LEFT(D46,1)="M",VLOOKUP(IF($E$7="Bwt (kg)",E46,E46/2.2046),Lists!$B$16:$D$24,IF(ISERROR(FIND("J",D46)),3,2)),VLOOKUP(IF($E$7="Bwt (kg)",E46,E46/2.2046),Lists!$B$26:$D$33,IF(ISERROR(FIND("J",D46)),3,2)))</f>
        <v>93</v>
      </c>
      <c r="G46" s="172">
        <v>49</v>
      </c>
      <c r="H46" s="173">
        <f>IF(AND(VALUE(E46)&gt;0,OR(LEFT(D46,1)="M",LEFT(D46,1)="F")),IF(LEFT(D46,1)="M",Wilks_Men(IF(RIGHT($F$7,4)="(lb)",E46/2.2046,E46)),Wilks_Women(IF(RIGHT($F$7,4)="(lb)",E46/2.2046,E46))),0)</f>
        <v>0.62929999828338623</v>
      </c>
      <c r="I46" s="251">
        <v>32253</v>
      </c>
      <c r="J46" s="128">
        <f ca="1">IF(I46,VLOOKUP(INT((NOW()-I46)/365.25),DATA!$A$2:$B$53,2,TRUE),0)</f>
        <v>1</v>
      </c>
      <c r="K46" s="172">
        <v>9</v>
      </c>
      <c r="L46" s="253">
        <v>240</v>
      </c>
      <c r="M46" s="256">
        <v>-260</v>
      </c>
      <c r="N46" s="175"/>
      <c r="O46" s="176">
        <f t="shared" si="21"/>
        <v>240</v>
      </c>
      <c r="P46" s="177" t="s">
        <v>320</v>
      </c>
      <c r="Q46" s="253">
        <v>160</v>
      </c>
      <c r="R46" s="253">
        <v>167.5</v>
      </c>
      <c r="S46" s="170"/>
      <c r="T46" s="176">
        <f t="shared" si="22"/>
        <v>167.5</v>
      </c>
      <c r="U46" s="176">
        <f t="shared" si="23"/>
        <v>407.5</v>
      </c>
      <c r="V46" s="253">
        <v>290</v>
      </c>
      <c r="W46" s="259">
        <v>327.5</v>
      </c>
      <c r="X46" s="256">
        <v>-332.5</v>
      </c>
      <c r="Y46" s="179">
        <f t="shared" si="24"/>
        <v>327.5</v>
      </c>
      <c r="Z46" s="176">
        <f t="shared" ca="1" si="25"/>
        <v>735</v>
      </c>
      <c r="AA46" s="180">
        <f t="shared" ca="1" si="26"/>
        <v>462.53549873828888</v>
      </c>
      <c r="AB46" s="180">
        <f t="shared" ca="1" si="27"/>
        <v>462.53549873828888</v>
      </c>
      <c r="AC46" s="170">
        <f ca="1">OFFSET(Setup!$F$1,MATCH(D46,INDIRECT("Setup!B1:B100"),0)-1,0)</f>
        <v>2</v>
      </c>
      <c r="AD46" s="181" t="str">
        <f t="shared" ca="1" si="28"/>
        <v>1-M-BL-PL</v>
      </c>
      <c r="AE46" s="172" t="s">
        <v>109</v>
      </c>
      <c r="AH46" s="182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3">
        <f t="shared" ca="1" si="33"/>
        <v>48</v>
      </c>
      <c r="AO46" s="183">
        <f t="shared" si="34"/>
        <v>92.65</v>
      </c>
      <c r="AP46" s="183">
        <f t="shared" ca="1" si="35"/>
        <v>15</v>
      </c>
      <c r="AQ46" s="183">
        <f t="shared" ca="1" si="36"/>
        <v>45</v>
      </c>
      <c r="AU46" s="183">
        <f t="shared" ca="1" si="37"/>
        <v>1</v>
      </c>
      <c r="AW46" s="183"/>
      <c r="AX46" s="185"/>
      <c r="AY46" s="185"/>
      <c r="AZ46" s="185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6">
        <v>43050.652280092596</v>
      </c>
      <c r="BQ46" s="118">
        <v>1</v>
      </c>
      <c r="BR46" s="118">
        <v>1</v>
      </c>
      <c r="BS46" s="118">
        <v>0</v>
      </c>
      <c r="BT46" s="186">
        <v>43050.706296296295</v>
      </c>
      <c r="BV46" s="118">
        <v>1</v>
      </c>
      <c r="BW46" s="118">
        <v>1</v>
      </c>
      <c r="BX46" s="118">
        <v>-1</v>
      </c>
      <c r="BY46" s="186">
        <v>43050.751273148147</v>
      </c>
      <c r="BZ46" s="186">
        <f t="shared" ca="1" si="40"/>
        <v>43050.751273148147</v>
      </c>
      <c r="CA46" s="254">
        <v>0.75788194444444434</v>
      </c>
    </row>
    <row r="47" spans="1:79" ht="19.5" customHeight="1" x14ac:dyDescent="0.2">
      <c r="A47" s="170" t="s">
        <v>44</v>
      </c>
      <c r="B47" s="171" t="s">
        <v>330</v>
      </c>
      <c r="C47" s="171" t="s">
        <v>211</v>
      </c>
      <c r="D47" s="172" t="s">
        <v>223</v>
      </c>
      <c r="E47" s="172">
        <v>116.45</v>
      </c>
      <c r="F47" s="172">
        <f>IF(LEFT(D47,1)="M",VLOOKUP(IF($E$7="Bwt (kg)",E47,E47/2.2046),Lists!$B$16:$D$24,IF(ISERROR(FIND("J",D47)),3,2)),VLOOKUP(IF($E$7="Bwt (kg)",E47,E47/2.2046),Lists!$B$26:$D$33,IF(ISERROR(FIND("J",D47)),3,2)))</f>
        <v>120</v>
      </c>
      <c r="G47" s="172">
        <v>33</v>
      </c>
      <c r="H47" s="173">
        <f>IF(AND(VALUE(E47)&gt;0,OR(LEFT(D47,1)="M",LEFT(D47,1)="F")),IF(LEFT(D47,1)="M",Wilks_Men(IF(RIGHT($F$7,4)="(lb)",E47/2.2046,E47)),Wilks_Women(IF(RIGHT($F$7,4)="(lb)",E47/2.2046,E47))),0)</f>
        <v>0.57920002937316895</v>
      </c>
      <c r="I47" s="251">
        <v>22596</v>
      </c>
      <c r="J47" s="128">
        <f ca="1">IF(I47,VLOOKUP(INT((NOW()-I47)/365.25),DATA!$A$2:$B$53,2,TRUE),0)</f>
        <v>1.246</v>
      </c>
      <c r="K47" s="172">
        <v>10</v>
      </c>
      <c r="L47" s="253">
        <v>250</v>
      </c>
      <c r="M47" s="253">
        <v>260</v>
      </c>
      <c r="N47" s="256">
        <v>-270</v>
      </c>
      <c r="O47" s="176">
        <f t="shared" si="21"/>
        <v>260</v>
      </c>
      <c r="P47" s="177" t="s">
        <v>329</v>
      </c>
      <c r="Q47" s="253">
        <v>110</v>
      </c>
      <c r="R47" s="256">
        <v>-115</v>
      </c>
      <c r="S47" s="170"/>
      <c r="T47" s="176">
        <f t="shared" si="22"/>
        <v>110</v>
      </c>
      <c r="U47" s="176">
        <f t="shared" si="23"/>
        <v>370</v>
      </c>
      <c r="V47" s="253">
        <v>270</v>
      </c>
      <c r="W47" s="259">
        <v>280</v>
      </c>
      <c r="X47" s="253">
        <v>285</v>
      </c>
      <c r="Y47" s="179">
        <f t="shared" si="24"/>
        <v>285</v>
      </c>
      <c r="Z47" s="176">
        <f t="shared" ca="1" si="25"/>
        <v>655</v>
      </c>
      <c r="AA47" s="180">
        <f t="shared" ca="1" si="26"/>
        <v>379.37601923942566</v>
      </c>
      <c r="AB47" s="180">
        <f t="shared" ca="1" si="27"/>
        <v>472.70251997232435</v>
      </c>
      <c r="AC47" s="170">
        <f ca="1">OFFSET(Setup!$F$1,MATCH(D47,INDIRECT("Setup!B1:B100"),0)-1,0)</f>
        <v>2</v>
      </c>
      <c r="AD47" s="181" t="str">
        <f t="shared" ca="1" si="28"/>
        <v>10-M-BL-PL</v>
      </c>
      <c r="AE47" s="172" t="s">
        <v>109</v>
      </c>
      <c r="AH47" s="182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3">
        <f t="shared" ca="1" si="33"/>
        <v>45</v>
      </c>
      <c r="AO47" s="183">
        <f t="shared" si="34"/>
        <v>116.45</v>
      </c>
      <c r="AP47" s="183">
        <f t="shared" ca="1" si="35"/>
        <v>5</v>
      </c>
      <c r="AQ47" s="183">
        <f t="shared" ca="1" si="36"/>
        <v>48</v>
      </c>
      <c r="AU47" s="183">
        <f t="shared" ca="1" si="37"/>
        <v>1</v>
      </c>
      <c r="AW47" s="183"/>
      <c r="AX47" s="185"/>
      <c r="AY47" s="185"/>
      <c r="AZ47" s="185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6">
        <v>43050.658888888887</v>
      </c>
      <c r="BQ47" s="118">
        <v>1</v>
      </c>
      <c r="BR47" s="118">
        <v>-1</v>
      </c>
      <c r="BS47" s="118">
        <v>0</v>
      </c>
      <c r="BT47" s="186">
        <v>43050.694861111115</v>
      </c>
      <c r="BV47" s="118">
        <v>1</v>
      </c>
      <c r="BW47" s="118">
        <v>1</v>
      </c>
      <c r="BX47" s="118">
        <v>1</v>
      </c>
      <c r="BY47" s="186">
        <v>43050.754699074074</v>
      </c>
      <c r="BZ47" s="186">
        <f t="shared" ca="1" si="40"/>
        <v>43050.754699074074</v>
      </c>
      <c r="CA47" s="254">
        <v>0.75539351851851855</v>
      </c>
    </row>
    <row r="48" spans="1:79" ht="19.5" customHeight="1" x14ac:dyDescent="0.2">
      <c r="A48" s="170" t="s">
        <v>44</v>
      </c>
      <c r="B48" s="171" t="s">
        <v>326</v>
      </c>
      <c r="C48" s="171" t="s">
        <v>211</v>
      </c>
      <c r="D48" s="172" t="s">
        <v>223</v>
      </c>
      <c r="E48" s="172">
        <v>131.69999999999999</v>
      </c>
      <c r="F48" s="172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2">
        <v>27</v>
      </c>
      <c r="H48" s="173">
        <f>IF(AND(VALUE(E48)&gt;0,OR(LEFT(D48,1)="M",LEFT(D48,1)="F")),IF(LEFT(D48,1)="M",Wilks_Men(IF(RIGHT($F$7,4)="(lb)",E48/2.2046,E48)),Wilks_Women(IF(RIGHT($F$7,4)="(lb)",E48/2.2046,E48))),0)</f>
        <v>0.56430000066757202</v>
      </c>
      <c r="I48" s="251">
        <v>31571</v>
      </c>
      <c r="J48" s="128">
        <f ca="1">IF(I48,VLOOKUP(INT((NOW()-I48)/365.25),DATA!$A$2:$B$53,2,TRUE),0)</f>
        <v>1</v>
      </c>
      <c r="K48" s="172">
        <v>10</v>
      </c>
      <c r="L48" s="253">
        <v>260</v>
      </c>
      <c r="M48" s="253">
        <v>275</v>
      </c>
      <c r="N48" s="253">
        <v>290</v>
      </c>
      <c r="O48" s="176">
        <f t="shared" si="21"/>
        <v>290</v>
      </c>
      <c r="P48" s="177" t="s">
        <v>258</v>
      </c>
      <c r="Q48" s="253">
        <v>160</v>
      </c>
      <c r="R48" s="253">
        <v>167.5</v>
      </c>
      <c r="S48" s="253">
        <v>175</v>
      </c>
      <c r="T48" s="176">
        <f t="shared" si="22"/>
        <v>175</v>
      </c>
      <c r="U48" s="176">
        <f t="shared" si="23"/>
        <v>465</v>
      </c>
      <c r="V48" s="253">
        <v>300</v>
      </c>
      <c r="W48" s="259">
        <v>315</v>
      </c>
      <c r="X48" s="253">
        <v>325</v>
      </c>
      <c r="Y48" s="179">
        <f t="shared" si="24"/>
        <v>325</v>
      </c>
      <c r="Z48" s="176">
        <f t="shared" ca="1" si="25"/>
        <v>790</v>
      </c>
      <c r="AA48" s="180">
        <f t="shared" ca="1" si="26"/>
        <v>445.7970005273819</v>
      </c>
      <c r="AB48" s="180">
        <f t="shared" ca="1" si="27"/>
        <v>445.7970005273819</v>
      </c>
      <c r="AC48" s="170">
        <f ca="1">OFFSET(Setup!$F$1,MATCH(D48,INDIRECT("Setup!B1:B100"),0)-1,0)</f>
        <v>2</v>
      </c>
      <c r="AD48" s="181" t="str">
        <f t="shared" ca="1" si="28"/>
        <v>2-M-BL-PL</v>
      </c>
      <c r="AE48" s="172" t="s">
        <v>109</v>
      </c>
      <c r="AH48" s="182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3">
        <f t="shared" ca="1" si="33"/>
        <v>49</v>
      </c>
      <c r="AO48" s="183">
        <f t="shared" si="34"/>
        <v>131.69999999999999</v>
      </c>
      <c r="AP48" s="183">
        <f t="shared" ca="1" si="35"/>
        <v>1</v>
      </c>
      <c r="AQ48" s="183">
        <f t="shared" ca="1" si="36"/>
        <v>49</v>
      </c>
      <c r="AU48" s="183">
        <f t="shared" ca="1" si="37"/>
        <v>1</v>
      </c>
      <c r="AW48" s="183"/>
      <c r="AX48" s="185"/>
      <c r="AY48" s="185"/>
      <c r="AZ48" s="185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6">
        <v>43050.666365740741</v>
      </c>
      <c r="BQ48" s="118">
        <v>1</v>
      </c>
      <c r="BR48" s="118">
        <v>1</v>
      </c>
      <c r="BS48" s="118">
        <v>1</v>
      </c>
      <c r="BT48" s="186">
        <v>43050.711782407408</v>
      </c>
      <c r="BV48" s="118">
        <v>1</v>
      </c>
      <c r="BW48" s="118">
        <v>1</v>
      </c>
      <c r="BX48" s="118">
        <v>1</v>
      </c>
      <c r="BY48" s="186">
        <v>43050.75640046296</v>
      </c>
      <c r="BZ48" s="186">
        <f t="shared" ca="1" si="40"/>
        <v>43050.75640046296</v>
      </c>
      <c r="CA48" s="254">
        <v>0.75709490740740737</v>
      </c>
    </row>
    <row r="49" spans="1:79" ht="19.5" customHeight="1" x14ac:dyDescent="0.2">
      <c r="A49" s="170" t="s">
        <v>23</v>
      </c>
      <c r="B49" s="171" t="s">
        <v>256</v>
      </c>
      <c r="C49" s="171" t="s">
        <v>211</v>
      </c>
      <c r="D49" s="172" t="s">
        <v>223</v>
      </c>
      <c r="E49" s="172">
        <v>79.150000000000006</v>
      </c>
      <c r="F49" s="172">
        <f>IF(LEFT(D49,1)="M",VLOOKUP(IF($E$7="Bwt (kg)",E49,E49/2.2046),Lists!$B$16:$D$24,IF(ISERROR(FIND("J",D49)),3,2)),VLOOKUP(IF($E$7="Bwt (kg)",E49,E49/2.2046),Lists!$B$26:$D$33,IF(ISERROR(FIND("J",D49)),3,2)))</f>
        <v>83</v>
      </c>
      <c r="G49" s="172">
        <v>38</v>
      </c>
      <c r="H49" s="173">
        <f>IF(AND(VALUE(E49)&gt;0,OR(LEFT(D49,1)="M",LEFT(D49,1)="F")),IF(LEFT(D49,1)="M",Wilks_Men(IF(RIGHT($F$7,4)="(lb)",E49/2.2046,E49)),Wilks_Women(IF(RIGHT($F$7,4)="(lb)",E49/2.2046,E49))),0)</f>
        <v>0.68739998340606689</v>
      </c>
      <c r="I49" s="251">
        <v>21109</v>
      </c>
      <c r="J49" s="128">
        <f ca="1">IF(I49,VLOOKUP(INT((NOW()-I49)/365.25),DATA!$A$2:$B$53,2,TRUE),0)</f>
        <v>1.34</v>
      </c>
      <c r="K49" s="172"/>
      <c r="L49" s="175"/>
      <c r="M49" s="175"/>
      <c r="N49" s="175"/>
      <c r="O49" s="176">
        <f t="shared" si="21"/>
        <v>0</v>
      </c>
      <c r="P49" s="177" t="s">
        <v>255</v>
      </c>
      <c r="Q49" s="253">
        <v>115</v>
      </c>
      <c r="R49" s="253">
        <v>120</v>
      </c>
      <c r="S49" s="256">
        <v>-122.5</v>
      </c>
      <c r="T49" s="176">
        <f t="shared" si="22"/>
        <v>120</v>
      </c>
      <c r="U49" s="176">
        <f t="shared" si="23"/>
        <v>0</v>
      </c>
      <c r="V49" s="170"/>
      <c r="W49" s="178"/>
      <c r="X49" s="170"/>
      <c r="Y49" s="179">
        <f t="shared" si="24"/>
        <v>0</v>
      </c>
      <c r="Z49" s="176">
        <f t="shared" ca="1" si="25"/>
        <v>0</v>
      </c>
      <c r="AA49" s="180">
        <f t="shared" ca="1" si="26"/>
        <v>0</v>
      </c>
      <c r="AB49" s="180">
        <f t="shared" ca="1" si="27"/>
        <v>0</v>
      </c>
      <c r="AC49" s="170">
        <f ca="1">OFFSET(Setup!$F$1,MATCH(D49,INDIRECT("Setup!B1:B100"),0)-1,0)</f>
        <v>2</v>
      </c>
      <c r="AD49" s="181" t="str">
        <f t="shared" ca="1" si="28"/>
        <v/>
      </c>
      <c r="AE49" s="172" t="s">
        <v>117</v>
      </c>
      <c r="AH49" s="182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3">
        <f t="shared" ca="1" si="33"/>
        <v>1</v>
      </c>
      <c r="AO49" s="183">
        <f t="shared" si="34"/>
        <v>79.150000000000006</v>
      </c>
      <c r="AP49" s="183">
        <f t="shared" ca="1" si="35"/>
        <v>35</v>
      </c>
      <c r="AQ49" s="183">
        <f t="shared" ca="1" si="36"/>
        <v>1</v>
      </c>
      <c r="AU49" s="183">
        <f t="shared" ca="1" si="37"/>
        <v>0</v>
      </c>
      <c r="AW49" s="183"/>
      <c r="AX49" s="185"/>
      <c r="AY49" s="185"/>
      <c r="AZ49" s="185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6">
        <v>43050.422534722224</v>
      </c>
      <c r="BV49" s="118">
        <v>0</v>
      </c>
      <c r="BW49" s="118">
        <v>0</v>
      </c>
      <c r="BX49" s="118">
        <v>0</v>
      </c>
      <c r="BY49" s="186">
        <f t="shared" ref="BY49:BY56" si="41">IF(BX49=1,3,IF(BW49=1,2,IF(BV49=1,1,0)))</f>
        <v>0</v>
      </c>
      <c r="BZ49" s="186">
        <f t="shared" ca="1" si="40"/>
        <v>0</v>
      </c>
      <c r="CA49" s="254">
        <v>0.42950231481481477</v>
      </c>
    </row>
    <row r="50" spans="1:79" ht="19.5" customHeight="1" x14ac:dyDescent="0.2">
      <c r="A50" s="170" t="s">
        <v>23</v>
      </c>
      <c r="B50" s="171" t="s">
        <v>261</v>
      </c>
      <c r="C50" s="171" t="s">
        <v>211</v>
      </c>
      <c r="D50" s="172" t="s">
        <v>221</v>
      </c>
      <c r="E50" s="172">
        <v>123.85</v>
      </c>
      <c r="F50" s="172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2">
        <v>44</v>
      </c>
      <c r="H50" s="173">
        <f>IF(AND(VALUE(E50)&gt;0,OR(LEFT(D50,1)="M",LEFT(D50,1)="F")),IF(LEFT(D50,1)="M",Wilks_Men(IF(RIGHT($F$7,4)="(lb)",E50/2.2046,E50)),Wilks_Women(IF(RIGHT($F$7,4)="(lb)",E50/2.2046,E50))),0)</f>
        <v>0.57090002298355103</v>
      </c>
      <c r="I50" s="251">
        <v>28146</v>
      </c>
      <c r="J50" s="128">
        <f ca="1">IF(I50,VLOOKUP(INT((NOW()-I50)/365.25),DATA!$A$2:$B$53,2,TRUE),0)</f>
        <v>1</v>
      </c>
      <c r="K50" s="172"/>
      <c r="L50" s="175"/>
      <c r="M50" s="175"/>
      <c r="N50" s="175"/>
      <c r="O50" s="176">
        <f t="shared" si="21"/>
        <v>0</v>
      </c>
      <c r="P50" s="177" t="s">
        <v>258</v>
      </c>
      <c r="Q50" s="253">
        <v>140</v>
      </c>
      <c r="R50" s="253">
        <v>150</v>
      </c>
      <c r="S50" s="253">
        <v>160</v>
      </c>
      <c r="T50" s="176">
        <f t="shared" si="22"/>
        <v>160</v>
      </c>
      <c r="U50" s="176">
        <f t="shared" si="23"/>
        <v>0</v>
      </c>
      <c r="V50" s="170"/>
      <c r="W50" s="178"/>
      <c r="X50" s="170"/>
      <c r="Y50" s="179">
        <f t="shared" si="24"/>
        <v>0</v>
      </c>
      <c r="Z50" s="176">
        <f t="shared" ca="1" si="25"/>
        <v>0</v>
      </c>
      <c r="AA50" s="180">
        <f t="shared" ca="1" si="26"/>
        <v>0</v>
      </c>
      <c r="AB50" s="180">
        <f t="shared" ca="1" si="27"/>
        <v>0</v>
      </c>
      <c r="AC50" s="170">
        <f ca="1">OFFSET(Setup!$F$1,MATCH(D50,INDIRECT("Setup!B1:B100"),0)-1,0)</f>
        <v>2</v>
      </c>
      <c r="AD50" s="181" t="str">
        <f t="shared" ca="1" si="28"/>
        <v/>
      </c>
      <c r="AE50" s="172" t="s">
        <v>117</v>
      </c>
      <c r="AH50" s="182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3">
        <f t="shared" ca="1" si="33"/>
        <v>1</v>
      </c>
      <c r="AO50" s="183">
        <f t="shared" si="34"/>
        <v>123.85</v>
      </c>
      <c r="AP50" s="183">
        <f t="shared" ca="1" si="35"/>
        <v>4</v>
      </c>
      <c r="AQ50" s="183">
        <f t="shared" ca="1" si="36"/>
        <v>1</v>
      </c>
      <c r="AU50" s="183">
        <f t="shared" ca="1" si="37"/>
        <v>0</v>
      </c>
      <c r="AW50" s="183"/>
      <c r="AX50" s="185"/>
      <c r="AY50" s="185"/>
      <c r="AZ50" s="185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6">
        <v>43050.43109953704</v>
      </c>
      <c r="BV50" s="118">
        <v>0</v>
      </c>
      <c r="BW50" s="118">
        <v>0</v>
      </c>
      <c r="BX50" s="118">
        <v>0</v>
      </c>
      <c r="BY50" s="186">
        <f t="shared" si="41"/>
        <v>0</v>
      </c>
      <c r="BZ50" s="186">
        <f t="shared" ca="1" si="40"/>
        <v>0</v>
      </c>
      <c r="CA50" s="254">
        <v>0.43179398148148151</v>
      </c>
    </row>
    <row r="51" spans="1:79" ht="19.5" customHeight="1" x14ac:dyDescent="0.2">
      <c r="A51" s="170" t="s">
        <v>23</v>
      </c>
      <c r="B51" s="171" t="s">
        <v>252</v>
      </c>
      <c r="C51" s="171" t="s">
        <v>183</v>
      </c>
      <c r="D51" s="172" t="s">
        <v>223</v>
      </c>
      <c r="E51" s="172">
        <v>92.5</v>
      </c>
      <c r="F51" s="172">
        <f>IF(LEFT(D51,1)="M",VLOOKUP(IF($E$7="Bwt (kg)",E51,E51/2.2046),Lists!$B$16:$D$24,IF(ISERROR(FIND("J",D51)),3,2)),VLOOKUP(IF($E$7="Bwt (kg)",E51,E51/2.2046),Lists!$B$26:$D$33,IF(ISERROR(FIND("J",D51)),3,2)))</f>
        <v>93</v>
      </c>
      <c r="G51" s="172">
        <v>2</v>
      </c>
      <c r="H51" s="173">
        <f>IF(AND(VALUE(E51)&gt;0,OR(LEFT(D51,1)="M",LEFT(D51,1)="F")),IF(LEFT(D51,1)="M",Wilks_Men(IF(RIGHT($F$7,4)="(lb)",E51/2.2046,E51)),Wilks_Women(IF(RIGHT($F$7,4)="(lb)",E51/2.2046,E51))),0)</f>
        <v>0.62980002164840698</v>
      </c>
      <c r="I51" s="251">
        <v>31899</v>
      </c>
      <c r="J51" s="128">
        <f ca="1">IF(I51,VLOOKUP(INT((NOW()-I51)/365.25),DATA!$A$2:$B$53,2,TRUE),0)</f>
        <v>1</v>
      </c>
      <c r="K51" s="172"/>
      <c r="L51" s="175"/>
      <c r="M51" s="175"/>
      <c r="N51" s="175"/>
      <c r="O51" s="176">
        <f t="shared" si="21"/>
        <v>0</v>
      </c>
      <c r="P51" s="177" t="s">
        <v>253</v>
      </c>
      <c r="Q51" s="253">
        <v>145</v>
      </c>
      <c r="R51" s="256">
        <v>-152.5</v>
      </c>
      <c r="S51" s="253">
        <v>152.5</v>
      </c>
      <c r="T51" s="176">
        <f t="shared" si="22"/>
        <v>152.5</v>
      </c>
      <c r="U51" s="176">
        <f t="shared" si="23"/>
        <v>0</v>
      </c>
      <c r="V51" s="170"/>
      <c r="W51" s="178"/>
      <c r="X51" s="170"/>
      <c r="Y51" s="179">
        <f t="shared" si="24"/>
        <v>0</v>
      </c>
      <c r="Z51" s="176">
        <f t="shared" ca="1" si="25"/>
        <v>0</v>
      </c>
      <c r="AA51" s="180">
        <f t="shared" ca="1" si="26"/>
        <v>0</v>
      </c>
      <c r="AB51" s="180">
        <f t="shared" ca="1" si="27"/>
        <v>0</v>
      </c>
      <c r="AC51" s="170">
        <f ca="1">OFFSET(Setup!$F$1,MATCH(D51,INDIRECT("Setup!B1:B100"),0)-1,0)</f>
        <v>2</v>
      </c>
      <c r="AD51" s="181" t="str">
        <f t="shared" ca="1" si="28"/>
        <v/>
      </c>
      <c r="AE51" s="172" t="s">
        <v>117</v>
      </c>
      <c r="AH51" s="182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3">
        <f t="shared" ca="1" si="33"/>
        <v>1</v>
      </c>
      <c r="AO51" s="183">
        <f t="shared" si="34"/>
        <v>92.5</v>
      </c>
      <c r="AP51" s="183">
        <f t="shared" ca="1" si="35"/>
        <v>16</v>
      </c>
      <c r="AQ51" s="183">
        <f t="shared" ca="1" si="36"/>
        <v>1</v>
      </c>
      <c r="AU51" s="183">
        <f t="shared" ca="1" si="37"/>
        <v>0</v>
      </c>
      <c r="AW51" s="183"/>
      <c r="AX51" s="185"/>
      <c r="AY51" s="185"/>
      <c r="AZ51" s="185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6">
        <v>43050.429594907408</v>
      </c>
      <c r="BV51" s="118">
        <v>0</v>
      </c>
      <c r="BW51" s="118">
        <v>0</v>
      </c>
      <c r="BX51" s="118">
        <v>0</v>
      </c>
      <c r="BY51" s="186">
        <f t="shared" si="41"/>
        <v>0</v>
      </c>
      <c r="BZ51" s="186">
        <f t="shared" ca="1" si="40"/>
        <v>0</v>
      </c>
      <c r="CA51" s="254">
        <v>0.43028935185185185</v>
      </c>
    </row>
    <row r="52" spans="1:79" ht="19.5" customHeight="1" x14ac:dyDescent="0.2">
      <c r="A52" s="170" t="s">
        <v>23</v>
      </c>
      <c r="B52" s="171" t="s">
        <v>259</v>
      </c>
      <c r="C52" s="171" t="s">
        <v>119</v>
      </c>
      <c r="D52" s="172" t="s">
        <v>223</v>
      </c>
      <c r="E52" s="172">
        <v>83.55</v>
      </c>
      <c r="F52" s="172">
        <f>IF(LEFT(D52,1)="M",VLOOKUP(IF($E$7="Bwt (kg)",E52,E52/2.2046),Lists!$B$16:$D$24,IF(ISERROR(FIND("J",D52)),3,2)),VLOOKUP(IF($E$7="Bwt (kg)",E52,E52/2.2046),Lists!$B$26:$D$33,IF(ISERROR(FIND("J",D52)),3,2)))</f>
        <v>93</v>
      </c>
      <c r="G52" s="172">
        <v>36</v>
      </c>
      <c r="H52" s="173">
        <f>IF(AND(VALUE(E52)&gt;0,OR(LEFT(D52,1)="M",LEFT(D52,1)="F")),IF(LEFT(D52,1)="M",Wilks_Men(IF(RIGHT($F$7,4)="(lb)",E52/2.2046,E52)),Wilks_Women(IF(RIGHT($F$7,4)="(lb)",E52/2.2046,E52))),0)</f>
        <v>0.66490000486373901</v>
      </c>
      <c r="I52" s="251">
        <v>30089</v>
      </c>
      <c r="J52" s="128">
        <f ca="1">IF(I52,VLOOKUP(INT((NOW()-I52)/365.25),DATA!$A$2:$B$53,2,TRUE),0)</f>
        <v>1</v>
      </c>
      <c r="K52" s="172"/>
      <c r="L52" s="175"/>
      <c r="M52" s="175"/>
      <c r="N52" s="175"/>
      <c r="O52" s="176">
        <f t="shared" si="21"/>
        <v>0</v>
      </c>
      <c r="P52" s="177" t="s">
        <v>260</v>
      </c>
      <c r="Q52" s="253">
        <v>145</v>
      </c>
      <c r="R52" s="253">
        <v>152.5</v>
      </c>
      <c r="S52" s="256">
        <v>-155</v>
      </c>
      <c r="T52" s="176">
        <f t="shared" si="22"/>
        <v>152.5</v>
      </c>
      <c r="U52" s="176">
        <f t="shared" si="23"/>
        <v>0</v>
      </c>
      <c r="V52" s="170"/>
      <c r="W52" s="178"/>
      <c r="X52" s="170"/>
      <c r="Y52" s="179">
        <f t="shared" si="24"/>
        <v>0</v>
      </c>
      <c r="Z52" s="176">
        <f t="shared" ca="1" si="25"/>
        <v>0</v>
      </c>
      <c r="AA52" s="180">
        <f t="shared" ca="1" si="26"/>
        <v>0</v>
      </c>
      <c r="AB52" s="180">
        <f t="shared" ca="1" si="27"/>
        <v>0</v>
      </c>
      <c r="AC52" s="170">
        <f ca="1">OFFSET(Setup!$F$1,MATCH(D52,INDIRECT("Setup!B1:B100"),0)-1,0)</f>
        <v>2</v>
      </c>
      <c r="AD52" s="181" t="str">
        <f t="shared" ca="1" si="28"/>
        <v/>
      </c>
      <c r="AE52" s="172" t="s">
        <v>117</v>
      </c>
      <c r="AH52" s="182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3">
        <f t="shared" ca="1" si="33"/>
        <v>1</v>
      </c>
      <c r="AO52" s="183">
        <f t="shared" si="34"/>
        <v>83.55</v>
      </c>
      <c r="AP52" s="183">
        <f t="shared" ca="1" si="35"/>
        <v>30</v>
      </c>
      <c r="AQ52" s="183">
        <f t="shared" ca="1" si="36"/>
        <v>1</v>
      </c>
      <c r="AU52" s="183">
        <f t="shared" ca="1" si="37"/>
        <v>0</v>
      </c>
      <c r="AW52" s="183"/>
      <c r="AX52" s="185"/>
      <c r="AY52" s="185"/>
      <c r="AZ52" s="185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6">
        <v>43050.42491898148</v>
      </c>
      <c r="BV52" s="118">
        <v>0</v>
      </c>
      <c r="BW52" s="118">
        <v>0</v>
      </c>
      <c r="BX52" s="118">
        <v>0</v>
      </c>
      <c r="BY52" s="186">
        <f t="shared" si="41"/>
        <v>0</v>
      </c>
      <c r="BZ52" s="186">
        <f t="shared" ca="1" si="40"/>
        <v>0</v>
      </c>
      <c r="CA52" s="254">
        <v>0.43093749999999997</v>
      </c>
    </row>
    <row r="53" spans="1:79" ht="19.5" customHeight="1" x14ac:dyDescent="0.2">
      <c r="A53" s="170" t="s">
        <v>23</v>
      </c>
      <c r="B53" s="171" t="s">
        <v>257</v>
      </c>
      <c r="C53" s="171" t="s">
        <v>219</v>
      </c>
      <c r="D53" s="172" t="s">
        <v>223</v>
      </c>
      <c r="E53" s="172">
        <v>101</v>
      </c>
      <c r="F53" s="172">
        <f>IF(LEFT(D53,1)="M",VLOOKUP(IF($E$7="Bwt (kg)",E53,E53/2.2046),Lists!$B$16:$D$24,IF(ISERROR(FIND("J",D53)),3,2)),VLOOKUP(IF($E$7="Bwt (kg)",E53,E53/2.2046),Lists!$B$26:$D$33,IF(ISERROR(FIND("J",D53)),3,2)))</f>
        <v>105</v>
      </c>
      <c r="G53" s="172">
        <v>26</v>
      </c>
      <c r="H53" s="173">
        <f>IF(AND(VALUE(E53)&gt;0,OR(LEFT(D53,1)="M",LEFT(D53,1)="F")),IF(LEFT(D53,1)="M",Wilks_Men(IF(RIGHT($F$7,4)="(lb)",E53/2.2046,E53)),Wilks_Women(IF(RIGHT($F$7,4)="(lb)",E53/2.2046,E53))),0)</f>
        <v>0.60619997978210449</v>
      </c>
      <c r="I53" s="251">
        <v>28809</v>
      </c>
      <c r="J53" s="128">
        <f ca="1">IF(I53,VLOOKUP(INT((NOW()-I53)/365.25),DATA!$A$2:$B$53,2,TRUE),0)</f>
        <v>1</v>
      </c>
      <c r="K53" s="172"/>
      <c r="L53" s="175"/>
      <c r="M53" s="175"/>
      <c r="N53" s="175"/>
      <c r="O53" s="176">
        <f t="shared" si="21"/>
        <v>0</v>
      </c>
      <c r="P53" s="177" t="s">
        <v>258</v>
      </c>
      <c r="Q53" s="253">
        <v>150</v>
      </c>
      <c r="R53" s="253">
        <v>160</v>
      </c>
      <c r="S53" s="256">
        <v>-170</v>
      </c>
      <c r="T53" s="176">
        <f t="shared" si="22"/>
        <v>160</v>
      </c>
      <c r="U53" s="176">
        <f t="shared" si="23"/>
        <v>0</v>
      </c>
      <c r="V53" s="170"/>
      <c r="W53" s="178"/>
      <c r="X53" s="170"/>
      <c r="Y53" s="179">
        <f t="shared" si="24"/>
        <v>0</v>
      </c>
      <c r="Z53" s="176">
        <f t="shared" ca="1" si="25"/>
        <v>0</v>
      </c>
      <c r="AA53" s="180">
        <f t="shared" ca="1" si="26"/>
        <v>0</v>
      </c>
      <c r="AB53" s="180">
        <f t="shared" ca="1" si="27"/>
        <v>0</v>
      </c>
      <c r="AC53" s="170">
        <f ca="1">OFFSET(Setup!$F$1,MATCH(D53,INDIRECT("Setup!B1:B100"),0)-1,0)</f>
        <v>2</v>
      </c>
      <c r="AD53" s="181" t="str">
        <f t="shared" ca="1" si="28"/>
        <v/>
      </c>
      <c r="AE53" s="172" t="s">
        <v>117</v>
      </c>
      <c r="AH53" s="182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3">
        <f t="shared" ca="1" si="33"/>
        <v>1</v>
      </c>
      <c r="AO53" s="183">
        <f t="shared" si="34"/>
        <v>101</v>
      </c>
      <c r="AP53" s="183">
        <f t="shared" ca="1" si="35"/>
        <v>10</v>
      </c>
      <c r="AQ53" s="183">
        <f t="shared" ca="1" si="36"/>
        <v>1</v>
      </c>
      <c r="AU53" s="183">
        <f t="shared" ca="1" si="37"/>
        <v>0</v>
      </c>
      <c r="AW53" s="183"/>
      <c r="AX53" s="185"/>
      <c r="AY53" s="185"/>
      <c r="AZ53" s="185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6">
        <v>43050.426516203705</v>
      </c>
      <c r="BV53" s="118">
        <v>0</v>
      </c>
      <c r="BW53" s="118">
        <v>0</v>
      </c>
      <c r="BX53" s="118">
        <v>0</v>
      </c>
      <c r="BY53" s="186">
        <f t="shared" si="41"/>
        <v>0</v>
      </c>
      <c r="BZ53" s="186">
        <f t="shared" ca="1" si="40"/>
        <v>0</v>
      </c>
      <c r="CA53" s="254">
        <v>0.43326388888888889</v>
      </c>
    </row>
    <row r="54" spans="1:79" ht="19.5" customHeight="1" x14ac:dyDescent="0.2">
      <c r="A54" s="170" t="s">
        <v>23</v>
      </c>
      <c r="B54" s="171" t="s">
        <v>262</v>
      </c>
      <c r="C54" s="171" t="s">
        <v>211</v>
      </c>
      <c r="D54" s="172" t="s">
        <v>223</v>
      </c>
      <c r="E54" s="172">
        <v>92.35</v>
      </c>
      <c r="F54" s="172">
        <f>IF(LEFT(D54,1)="M",VLOOKUP(IF($E$7="Bwt (kg)",E54,E54/2.2046),Lists!$B$16:$D$24,IF(ISERROR(FIND("J",D54)),3,2)),VLOOKUP(IF($E$7="Bwt (kg)",E54,E54/2.2046),Lists!$B$26:$D$33,IF(ISERROR(FIND("J",D54)),3,2)))</f>
        <v>93</v>
      </c>
      <c r="G54" s="172">
        <v>47</v>
      </c>
      <c r="H54" s="173">
        <f>IF(AND(VALUE(E54)&gt;0,OR(LEFT(D54,1)="M",LEFT(D54,1)="F")),IF(LEFT(D54,1)="M",Wilks_Men(IF(RIGHT($F$7,4)="(lb)",E54/2.2046,E54)),Wilks_Women(IF(RIGHT($F$7,4)="(lb)",E54/2.2046,E54))),0)</f>
        <v>0.63029998540878296</v>
      </c>
      <c r="I54" s="251">
        <v>24142</v>
      </c>
      <c r="J54" s="128">
        <f ca="1">IF(I54,VLOOKUP(INT((NOW()-I54)/365.25),DATA!$A$2:$B$53,2,TRUE),0)</f>
        <v>1.147</v>
      </c>
      <c r="K54" s="172"/>
      <c r="L54" s="175"/>
      <c r="M54" s="175"/>
      <c r="N54" s="175"/>
      <c r="O54" s="176">
        <f t="shared" si="21"/>
        <v>0</v>
      </c>
      <c r="P54" s="177" t="s">
        <v>260</v>
      </c>
      <c r="Q54" s="253">
        <v>150</v>
      </c>
      <c r="R54" s="253">
        <v>157.5</v>
      </c>
      <c r="S54" s="253">
        <v>165</v>
      </c>
      <c r="T54" s="176">
        <f t="shared" si="22"/>
        <v>165</v>
      </c>
      <c r="U54" s="176">
        <f t="shared" si="23"/>
        <v>0</v>
      </c>
      <c r="V54" s="170"/>
      <c r="W54" s="178"/>
      <c r="X54" s="170"/>
      <c r="Y54" s="179">
        <f t="shared" si="24"/>
        <v>0</v>
      </c>
      <c r="Z54" s="176">
        <f t="shared" ca="1" si="25"/>
        <v>0</v>
      </c>
      <c r="AA54" s="180">
        <f t="shared" ca="1" si="26"/>
        <v>0</v>
      </c>
      <c r="AB54" s="180">
        <f t="shared" ca="1" si="27"/>
        <v>0</v>
      </c>
      <c r="AC54" s="170">
        <f ca="1">OFFSET(Setup!$F$1,MATCH(D54,INDIRECT("Setup!B1:B100"),0)-1,0)</f>
        <v>2</v>
      </c>
      <c r="AD54" s="181" t="str">
        <f t="shared" ca="1" si="28"/>
        <v/>
      </c>
      <c r="AE54" s="172" t="s">
        <v>117</v>
      </c>
      <c r="AH54" s="182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3">
        <f t="shared" ca="1" si="33"/>
        <v>1</v>
      </c>
      <c r="AO54" s="183">
        <f t="shared" si="34"/>
        <v>92.35</v>
      </c>
      <c r="AP54" s="183">
        <f t="shared" ca="1" si="35"/>
        <v>17</v>
      </c>
      <c r="AQ54" s="183">
        <f t="shared" ca="1" si="36"/>
        <v>1</v>
      </c>
      <c r="AU54" s="183">
        <f t="shared" ca="1" si="37"/>
        <v>0</v>
      </c>
      <c r="AW54" s="183"/>
      <c r="AX54" s="185"/>
      <c r="AY54" s="185"/>
      <c r="AZ54" s="185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6">
        <v>43050.431956018518</v>
      </c>
      <c r="BV54" s="118">
        <v>0</v>
      </c>
      <c r="BW54" s="118">
        <v>0</v>
      </c>
      <c r="BX54" s="118">
        <v>0</v>
      </c>
      <c r="BY54" s="186">
        <f t="shared" si="41"/>
        <v>0</v>
      </c>
      <c r="BZ54" s="186">
        <f t="shared" ca="1" si="40"/>
        <v>0</v>
      </c>
      <c r="CA54" s="254">
        <v>0.432650462962963</v>
      </c>
    </row>
    <row r="55" spans="1:79" ht="19.5" customHeight="1" x14ac:dyDescent="0.2">
      <c r="A55" s="170" t="s">
        <v>23</v>
      </c>
      <c r="B55" s="171" t="s">
        <v>254</v>
      </c>
      <c r="C55" s="171" t="s">
        <v>212</v>
      </c>
      <c r="D55" s="172" t="s">
        <v>223</v>
      </c>
      <c r="E55" s="172">
        <v>104.95</v>
      </c>
      <c r="F55" s="172">
        <f>IF(LEFT(D55,1)="M",VLOOKUP(IF($E$7="Bwt (kg)",E55,E55/2.2046),Lists!$B$16:$D$24,IF(ISERROR(FIND("J",D55)),3,2)),VLOOKUP(IF($E$7="Bwt (kg)",E55,E55/2.2046),Lists!$B$26:$D$33,IF(ISERROR(FIND("J",D55)),3,2)))</f>
        <v>105</v>
      </c>
      <c r="G55" s="172">
        <v>30</v>
      </c>
      <c r="H55" s="173">
        <f>IF(AND(VALUE(E55)&gt;0,OR(LEFT(D55,1)="M",LEFT(D55,1)="F")),IF(LEFT(D55,1)="M",Wilks_Men(IF(RIGHT($F$7,4)="(lb)",E55/2.2046,E55)),Wilks_Women(IF(RIGHT($F$7,4)="(lb)",E55/2.2046,E55))),0)</f>
        <v>0.59769999980926514</v>
      </c>
      <c r="I55" s="251">
        <v>27345</v>
      </c>
      <c r="J55" s="128">
        <f ca="1">IF(I55,VLOOKUP(INT((NOW()-I55)/365.25),DATA!$A$2:$B$53,2,TRUE),0)</f>
        <v>1.0309999999999999</v>
      </c>
      <c r="K55" s="172"/>
      <c r="L55" s="175"/>
      <c r="M55" s="175"/>
      <c r="N55" s="175"/>
      <c r="O55" s="176">
        <f t="shared" si="21"/>
        <v>0</v>
      </c>
      <c r="P55" s="177" t="s">
        <v>255</v>
      </c>
      <c r="Q55" s="253">
        <v>172.5</v>
      </c>
      <c r="R55" s="253">
        <v>177.5</v>
      </c>
      <c r="S55" s="256">
        <v>-182.5</v>
      </c>
      <c r="T55" s="176">
        <f t="shared" si="22"/>
        <v>177.5</v>
      </c>
      <c r="U55" s="176">
        <f t="shared" si="23"/>
        <v>0</v>
      </c>
      <c r="V55" s="170"/>
      <c r="W55" s="178"/>
      <c r="X55" s="170"/>
      <c r="Y55" s="179">
        <f t="shared" si="24"/>
        <v>0</v>
      </c>
      <c r="Z55" s="176">
        <f t="shared" ca="1" si="25"/>
        <v>0</v>
      </c>
      <c r="AA55" s="180">
        <f t="shared" ca="1" si="26"/>
        <v>0</v>
      </c>
      <c r="AB55" s="180">
        <f t="shared" ca="1" si="27"/>
        <v>0</v>
      </c>
      <c r="AC55" s="170">
        <f ca="1">OFFSET(Setup!$F$1,MATCH(D55,INDIRECT("Setup!B1:B100"),0)-1,0)</f>
        <v>2</v>
      </c>
      <c r="AD55" s="181" t="str">
        <f t="shared" ca="1" si="28"/>
        <v/>
      </c>
      <c r="AE55" s="172" t="s">
        <v>117</v>
      </c>
      <c r="AH55" s="182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3">
        <f t="shared" ca="1" si="33"/>
        <v>1</v>
      </c>
      <c r="AO55" s="183">
        <f t="shared" si="34"/>
        <v>104.95</v>
      </c>
      <c r="AP55" s="183">
        <f t="shared" ca="1" si="35"/>
        <v>8</v>
      </c>
      <c r="AQ55" s="183">
        <f t="shared" ca="1" si="36"/>
        <v>1</v>
      </c>
      <c r="AU55" s="183">
        <f t="shared" ca="1" si="37"/>
        <v>0</v>
      </c>
      <c r="AW55" s="183"/>
      <c r="AX55" s="185"/>
      <c r="AY55" s="185"/>
      <c r="AZ55" s="185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6">
        <v>43050.427372685182</v>
      </c>
      <c r="BV55" s="118">
        <v>0</v>
      </c>
      <c r="BW55" s="118">
        <v>0</v>
      </c>
      <c r="BX55" s="118">
        <v>0</v>
      </c>
      <c r="BY55" s="186">
        <f t="shared" si="41"/>
        <v>0</v>
      </c>
      <c r="BZ55" s="186">
        <f t="shared" ca="1" si="40"/>
        <v>0</v>
      </c>
      <c r="CA55" s="254">
        <v>0.43398148148148147</v>
      </c>
    </row>
    <row r="56" spans="1:79" ht="19.5" customHeight="1" x14ac:dyDescent="0.2">
      <c r="A56" s="170" t="s">
        <v>23</v>
      </c>
      <c r="B56" s="171" t="s">
        <v>263</v>
      </c>
      <c r="C56" s="171" t="s">
        <v>211</v>
      </c>
      <c r="D56" s="172" t="s">
        <v>221</v>
      </c>
      <c r="E56" s="172">
        <v>110.95</v>
      </c>
      <c r="F56" s="172">
        <f>IF(LEFT(D56,1)="M",VLOOKUP(IF($E$7="Bwt (kg)",E56,E56/2.2046),Lists!$B$16:$D$24,IF(ISERROR(FIND("J",D56)),3,2)),VLOOKUP(IF($E$7="Bwt (kg)",E56,E56/2.2046),Lists!$B$26:$D$33,IF(ISERROR(FIND("J",D56)),3,2)))</f>
        <v>120</v>
      </c>
      <c r="G56" s="172">
        <v>52</v>
      </c>
      <c r="H56" s="173">
        <f>IF(AND(VALUE(E56)&gt;0,OR(LEFT(D56,1)="M",LEFT(D56,1)="F")),IF(LEFT(D56,1)="M",Wilks_Men(IF(RIGHT($F$7,4)="(lb)",E56/2.2046,E56)),Wilks_Women(IF(RIGHT($F$7,4)="(lb)",E56/2.2046,E56))),0)</f>
        <v>0.58700001239776611</v>
      </c>
      <c r="I56" s="251">
        <v>22826</v>
      </c>
      <c r="J56" s="128">
        <f ca="1">IF(I56,VLOOKUP(INT((NOW()-I56)/365.25),DATA!$A$2:$B$53,2,TRUE),0)</f>
        <v>1.2250000000000001</v>
      </c>
      <c r="K56" s="172"/>
      <c r="L56" s="175"/>
      <c r="M56" s="175"/>
      <c r="N56" s="175"/>
      <c r="O56" s="176">
        <f t="shared" si="21"/>
        <v>0</v>
      </c>
      <c r="P56" s="177" t="s">
        <v>264</v>
      </c>
      <c r="Q56" s="253">
        <v>175</v>
      </c>
      <c r="R56" s="253">
        <v>180</v>
      </c>
      <c r="S56" s="255"/>
      <c r="T56" s="176">
        <f t="shared" si="22"/>
        <v>180</v>
      </c>
      <c r="U56" s="176">
        <f t="shared" si="23"/>
        <v>0</v>
      </c>
      <c r="V56" s="170"/>
      <c r="W56" s="178"/>
      <c r="X56" s="170"/>
      <c r="Y56" s="179">
        <f t="shared" si="24"/>
        <v>0</v>
      </c>
      <c r="Z56" s="176">
        <f t="shared" ca="1" si="25"/>
        <v>0</v>
      </c>
      <c r="AA56" s="180">
        <f t="shared" ca="1" si="26"/>
        <v>0</v>
      </c>
      <c r="AB56" s="180">
        <f t="shared" ca="1" si="27"/>
        <v>0</v>
      </c>
      <c r="AC56" s="170">
        <f ca="1">OFFSET(Setup!$F$1,MATCH(D56,INDIRECT("Setup!B1:B100"),0)-1,0)</f>
        <v>2</v>
      </c>
      <c r="AD56" s="181" t="str">
        <f t="shared" ca="1" si="28"/>
        <v/>
      </c>
      <c r="AE56" s="172" t="s">
        <v>117</v>
      </c>
      <c r="AH56" s="182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3">
        <f t="shared" ca="1" si="33"/>
        <v>1</v>
      </c>
      <c r="AO56" s="183">
        <f t="shared" si="34"/>
        <v>110.95</v>
      </c>
      <c r="AP56" s="183">
        <f t="shared" ca="1" si="35"/>
        <v>6</v>
      </c>
      <c r="AQ56" s="183">
        <f t="shared" ca="1" si="36"/>
        <v>1</v>
      </c>
      <c r="AU56" s="183">
        <f t="shared" ca="1" si="37"/>
        <v>0</v>
      </c>
      <c r="AW56" s="183"/>
      <c r="AX56" s="185"/>
      <c r="AY56" s="185"/>
      <c r="AZ56" s="185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6">
        <v>43050.428020833337</v>
      </c>
      <c r="BV56" s="118">
        <v>0</v>
      </c>
      <c r="BW56" s="118">
        <v>0</v>
      </c>
      <c r="BX56" s="118">
        <v>0</v>
      </c>
      <c r="BY56" s="186">
        <f t="shared" si="41"/>
        <v>0</v>
      </c>
      <c r="BZ56" s="186">
        <f t="shared" ca="1" si="40"/>
        <v>0</v>
      </c>
      <c r="CA56" s="254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4:E4"/>
    <mergeCell ref="C2:E3"/>
    <mergeCell ref="F2:G3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7" customWidth="1"/>
    <col min="2" max="2" width="7.7109375" style="277" customWidth="1"/>
    <col min="3" max="3" width="6.85546875" style="277" customWidth="1"/>
    <col min="4" max="4" width="23.42578125" style="277" bestFit="1" customWidth="1"/>
    <col min="5" max="5" width="7.85546875" style="277" bestFit="1" customWidth="1"/>
    <col min="6" max="6" width="8.5703125" style="277" customWidth="1"/>
    <col min="7" max="7" width="9.140625" style="207"/>
    <col min="8" max="16" width="8.7109375" style="203" customWidth="1"/>
    <col min="17" max="17" width="8.7109375" style="211" customWidth="1"/>
    <col min="18" max="18" width="8.7109375" style="203" hidden="1" customWidth="1"/>
    <col min="19" max="26" width="9.140625" style="207" hidden="1" customWidth="1"/>
    <col min="27" max="27" width="1.7109375" style="207" customWidth="1"/>
    <col min="28" max="16384" width="9.140625" style="207"/>
  </cols>
  <sheetData>
    <row r="1" spans="2:18" s="202" customFormat="1" ht="9" customHeight="1" x14ac:dyDescent="0.2">
      <c r="B1" s="271"/>
      <c r="C1" s="262"/>
      <c r="D1" s="262"/>
      <c r="E1" s="262"/>
      <c r="F1" s="262"/>
      <c r="G1" s="199"/>
      <c r="H1" s="198"/>
      <c r="I1" s="200"/>
      <c r="J1" s="200"/>
      <c r="K1" s="200"/>
      <c r="L1" s="200"/>
      <c r="M1" s="200"/>
      <c r="N1" s="200"/>
      <c r="O1" s="198"/>
      <c r="P1" s="198"/>
      <c r="Q1" s="201"/>
    </row>
    <row r="2" spans="2:18" ht="9" customHeight="1" x14ac:dyDescent="0.75">
      <c r="B2" s="368"/>
      <c r="C2" s="368"/>
      <c r="D2" s="368"/>
      <c r="E2" s="368"/>
      <c r="F2" s="368"/>
      <c r="G2" s="368"/>
      <c r="H2" s="369" t="str">
        <f ca="1">IF(Lifting!C2="","",CONCATENATE(ABS(Lifting!C2)," kg"))</f>
        <v>70 kg</v>
      </c>
      <c r="I2" s="369"/>
      <c r="J2" s="369"/>
      <c r="K2" s="199"/>
      <c r="O2" s="204"/>
      <c r="P2" s="205"/>
      <c r="Q2" s="206"/>
      <c r="R2" s="205"/>
    </row>
    <row r="3" spans="2:18" ht="15" customHeight="1" x14ac:dyDescent="0.75">
      <c r="B3" s="368"/>
      <c r="C3" s="368"/>
      <c r="D3" s="368"/>
      <c r="E3" s="368"/>
      <c r="F3" s="368"/>
      <c r="G3" s="368"/>
      <c r="H3" s="369"/>
      <c r="I3" s="369"/>
      <c r="J3" s="369"/>
      <c r="K3" s="199"/>
      <c r="O3" s="205"/>
      <c r="P3" s="205"/>
      <c r="Q3" s="206"/>
      <c r="R3" s="205"/>
    </row>
    <row r="4" spans="2:18" ht="9" customHeight="1" x14ac:dyDescent="0.75">
      <c r="B4" s="368"/>
      <c r="C4" s="368"/>
      <c r="D4" s="368"/>
      <c r="E4" s="368"/>
      <c r="F4" s="368"/>
      <c r="G4" s="368"/>
      <c r="H4" s="369"/>
      <c r="I4" s="369"/>
      <c r="J4" s="369"/>
      <c r="K4" s="199"/>
      <c r="O4" s="205"/>
      <c r="P4" s="205"/>
      <c r="Q4" s="206"/>
      <c r="R4" s="205"/>
    </row>
    <row r="5" spans="2:18" ht="15" customHeight="1" x14ac:dyDescent="0.75">
      <c r="B5" s="370"/>
      <c r="C5" s="370"/>
      <c r="D5" s="370"/>
      <c r="E5" s="370"/>
      <c r="F5" s="370"/>
      <c r="G5" s="370"/>
      <c r="H5" s="369"/>
      <c r="I5" s="369"/>
      <c r="J5" s="369"/>
      <c r="O5" s="205"/>
      <c r="P5" s="205"/>
      <c r="Q5" s="206"/>
      <c r="R5" s="205"/>
    </row>
    <row r="6" spans="2:18" ht="15" customHeight="1" x14ac:dyDescent="0.2">
      <c r="B6" s="370"/>
      <c r="C6" s="370"/>
      <c r="D6" s="370"/>
      <c r="E6" s="370"/>
      <c r="F6" s="370"/>
      <c r="G6" s="370"/>
      <c r="H6" s="371" t="str">
        <f ca="1">IF(Lifting!G4="","",CONCATENATE("Höjd: ",Lifting!G4))</f>
        <v>Höjd: 9</v>
      </c>
      <c r="I6" s="371"/>
      <c r="J6" s="371"/>
      <c r="K6" s="208"/>
      <c r="O6" s="209"/>
      <c r="P6" s="209"/>
      <c r="Q6" s="210"/>
      <c r="R6" s="202"/>
    </row>
    <row r="7" spans="2:18" ht="15" customHeight="1" x14ac:dyDescent="0.2">
      <c r="B7" s="372"/>
      <c r="C7" s="372"/>
      <c r="D7" s="372"/>
      <c r="E7" s="372"/>
      <c r="F7" s="372"/>
      <c r="G7" s="372"/>
      <c r="H7" s="371"/>
      <c r="I7" s="371"/>
      <c r="J7" s="371"/>
      <c r="R7" s="207"/>
    </row>
    <row r="8" spans="2:18" ht="3" customHeight="1" x14ac:dyDescent="0.25">
      <c r="B8" s="264"/>
      <c r="C8" s="272"/>
      <c r="D8" s="264"/>
      <c r="E8" s="263"/>
      <c r="F8" s="263"/>
      <c r="G8" s="212"/>
      <c r="H8" s="371"/>
      <c r="I8" s="371"/>
      <c r="J8" s="371"/>
      <c r="K8" s="213"/>
      <c r="L8" s="213"/>
      <c r="M8" s="213"/>
      <c r="N8" s="213"/>
      <c r="R8" s="207"/>
    </row>
    <row r="9" spans="2:18" ht="9" customHeight="1" x14ac:dyDescent="0.2">
      <c r="B9" s="263"/>
      <c r="C9" s="272"/>
      <c r="D9" s="263"/>
      <c r="E9" s="263"/>
      <c r="F9" s="263"/>
      <c r="G9" s="214"/>
      <c r="H9" s="214"/>
      <c r="I9" s="214"/>
      <c r="J9" s="214"/>
      <c r="K9" s="215"/>
      <c r="L9" s="215"/>
      <c r="M9" s="215"/>
      <c r="R9" s="207"/>
    </row>
    <row r="10" spans="2:18" ht="15" x14ac:dyDescent="0.2">
      <c r="B10" s="273" t="s">
        <v>188</v>
      </c>
      <c r="C10" s="274" t="s">
        <v>189</v>
      </c>
      <c r="D10" s="274" t="s">
        <v>190</v>
      </c>
      <c r="E10" s="274" t="s">
        <v>191</v>
      </c>
      <c r="F10" s="274" t="s">
        <v>192</v>
      </c>
      <c r="G10" s="216" t="s">
        <v>193</v>
      </c>
      <c r="H10" s="216" t="s">
        <v>194</v>
      </c>
      <c r="I10" s="216" t="s">
        <v>195</v>
      </c>
      <c r="J10" s="216" t="s">
        <v>196</v>
      </c>
      <c r="K10" s="216" t="s">
        <v>197</v>
      </c>
      <c r="L10" s="216" t="s">
        <v>198</v>
      </c>
      <c r="M10" s="216" t="s">
        <v>199</v>
      </c>
      <c r="N10" s="216" t="s">
        <v>200</v>
      </c>
      <c r="O10" s="217" t="s">
        <v>201</v>
      </c>
      <c r="P10" s="217" t="s">
        <v>202</v>
      </c>
      <c r="Q10" s="218" t="s">
        <v>186</v>
      </c>
      <c r="R10" s="207"/>
    </row>
    <row r="11" spans="2:18" ht="15.75" x14ac:dyDescent="0.25">
      <c r="B11" s="275" t="str">
        <f ca="1">IF(INDIRECT("Lifting!A9")="","",INDIRECT("Lifting!A9"))</f>
        <v>B</v>
      </c>
      <c r="C11" s="275">
        <f ca="1">IF(INDIRECT("Lifting!G9")="","",INDIRECT("Lifting!G9"))</f>
        <v>42</v>
      </c>
      <c r="D11" s="275" t="str">
        <f ca="1">IF(INDIRECT("Lifting!B9")="","",INDIRECT("Lifting!B9"))</f>
        <v>Emma Johansson</v>
      </c>
      <c r="E11" s="275" t="str">
        <f ca="1">IF(INDIRECT("Lifting!C9")="","",INDIRECT("Lifting!C9"))</f>
        <v>SKS</v>
      </c>
      <c r="F11" s="278">
        <f ca="1">IF(INDIRECT("Lifting!E9")="","",INDIRECT("Lifting!E9"))</f>
        <v>73.75</v>
      </c>
      <c r="G11" s="219">
        <f ca="1">IF(INDIRECT("Lifting!L9")="","",ABS(INDIRECT("Lifting!L9")))</f>
        <v>70</v>
      </c>
      <c r="H11" s="219">
        <f ca="1">IF(INDIRECT("Lifting!M9")="","",ABS(INDIRECT("Lifting!M9")))</f>
        <v>75</v>
      </c>
      <c r="I11" s="219">
        <f ca="1">IF(INDIRECT("Lifting!N9")="","",ABS(INDIRECT("Lifting!N9")))</f>
        <v>90</v>
      </c>
      <c r="J11" s="219">
        <f ca="1">IF(INDIRECT("Lifting!Q9")="","",ABS(INDIRECT("Lifting!Q9")))</f>
        <v>50</v>
      </c>
      <c r="K11" s="219">
        <f ca="1">IF(INDIRECT("Lifting!R9")="","",ABS(INDIRECT("Lifting!R9")))</f>
        <v>60</v>
      </c>
      <c r="L11" s="219">
        <f ca="1">IF(INDIRECT("Lifting!S9")="","",ABS(INDIRECT("Lifting!S9")))</f>
        <v>60</v>
      </c>
      <c r="M11" s="219">
        <f ca="1">IF(INDIRECT("Lifting!V9")="","",ABS(INDIRECT("Lifting!V9")))</f>
        <v>100</v>
      </c>
      <c r="N11" s="219">
        <f ca="1">IF(INDIRECT("Lifting!W9")="","",ABS(INDIRECT("Lifting!W9")))</f>
        <v>105</v>
      </c>
      <c r="O11" s="219">
        <f ca="1">IF(INDIRECT("Lifting!X9")="","",ABS(INDIRECT("Lifting!X9")))</f>
        <v>110</v>
      </c>
      <c r="P11" s="219">
        <f ca="1">IF(INDIRECT("Lifting!O9")+INDIRECT("Lifting!T9")+INDIRECT("Lifting!Y9")&gt;0,INDIRECT("Lifting!O9")+INDIRECT("Lifting!T9")+INDIRECT("Lifting!Y9"),"")</f>
        <v>245</v>
      </c>
      <c r="Q11" s="220">
        <f ca="1">IF(P11="","",P11*INDIRECT("Lifting!H9"))</f>
        <v>235.39599806070328</v>
      </c>
      <c r="R11" s="207"/>
    </row>
    <row r="12" spans="2:18" ht="15.75" x14ac:dyDescent="0.25">
      <c r="B12" s="276" t="str">
        <f ca="1">IF(INDIRECT("Lifting!A10")="","",INDIRECT("Lifting!A10"))</f>
        <v>B</v>
      </c>
      <c r="C12" s="276">
        <f ca="1">IF(INDIRECT("Lifting!G10")="","",INDIRECT("Lifting!G10"))</f>
        <v>25</v>
      </c>
      <c r="D12" s="275" t="str">
        <f ca="1">IF(INDIRECT("Lifting!B10")="","",INDIRECT("Lifting!B10"))</f>
        <v>Elsa Marin Karlsson</v>
      </c>
      <c r="E12" s="276" t="str">
        <f ca="1">IF(INDIRECT("Lifting!C10")="","",INDIRECT("Lifting!C10"))</f>
        <v>SKS</v>
      </c>
      <c r="F12" s="278">
        <f ca="1">IF(INDIRECT("Lifting!E10")="","",INDIRECT("Lifting!E10"))</f>
        <v>57</v>
      </c>
      <c r="G12" s="221">
        <f ca="1">IF(INDIRECT("Lifting!L10")="","",ABS(INDIRECT("Lifting!L10")))</f>
        <v>80</v>
      </c>
      <c r="H12" s="221">
        <f ca="1">IF(INDIRECT("Lifting!M10")="","",ABS(INDIRECT("Lifting!M10")))</f>
        <v>85</v>
      </c>
      <c r="I12" s="221">
        <f ca="1">IF(INDIRECT("Lifting!N10")="","",ABS(INDIRECT("Lifting!N10")))</f>
        <v>92.5</v>
      </c>
      <c r="J12" s="221">
        <f ca="1">IF(INDIRECT("Lifting!Q10")="","",ABS(INDIRECT("Lifting!Q10")))</f>
        <v>70</v>
      </c>
      <c r="K12" s="221">
        <f ca="1">IF(INDIRECT("Lifting!R10")="","",ABS(INDIRECT("Lifting!R10")))</f>
        <v>75</v>
      </c>
      <c r="L12" s="221">
        <f ca="1">IF(INDIRECT("Lifting!S10")="","",ABS(INDIRECT("Lifting!S10")))</f>
        <v>80</v>
      </c>
      <c r="M12" s="221">
        <f ca="1">IF(INDIRECT("Lifting!V10")="","",ABS(INDIRECT("Lifting!V10")))</f>
        <v>80</v>
      </c>
      <c r="N12" s="221">
        <f ca="1">IF(INDIRECT("Lifting!W10")="","",ABS(INDIRECT("Lifting!W10")))</f>
        <v>85</v>
      </c>
      <c r="O12" s="221">
        <f ca="1">IF(INDIRECT("Lifting!X10")="","",ABS(INDIRECT("Lifting!X10")))</f>
        <v>92.5</v>
      </c>
      <c r="P12" s="221">
        <f ca="1">IF(INDIRECT("Lifting!O10")+INDIRECT("Lifting!T10")+INDIRECT("Lifting!Y10")&gt;0,INDIRECT("Lifting!O10")+INDIRECT("Lifting!T10")+INDIRECT("Lifting!Y10"),"")</f>
        <v>265</v>
      </c>
      <c r="Q12" s="222">
        <f ca="1">IF(P12="","",P12*INDIRECT("Lifting!H10"))</f>
        <v>307.50600874423981</v>
      </c>
      <c r="R12" s="207"/>
    </row>
    <row r="13" spans="2:18" ht="15.75" x14ac:dyDescent="0.25">
      <c r="B13" s="276" t="str">
        <f ca="1">IF(INDIRECT("Lifting!A11")="","",INDIRECT("Lifting!A11"))</f>
        <v>B</v>
      </c>
      <c r="C13" s="276">
        <f ca="1">IF(INDIRECT("Lifting!G11")="","",INDIRECT("Lifting!G11"))</f>
        <v>34</v>
      </c>
      <c r="D13" s="275" t="str">
        <f ca="1">IF(INDIRECT("Lifting!B11")="","",INDIRECT("Lifting!B11"))</f>
        <v>Sara Johansson</v>
      </c>
      <c r="E13" s="276" t="str">
        <f ca="1">IF(INDIRECT("Lifting!C11")="","",INDIRECT("Lifting!C11"))</f>
        <v>VAIS</v>
      </c>
      <c r="F13" s="278">
        <f ca="1">IF(INDIRECT("Lifting!E11")="","",INDIRECT("Lifting!E11"))</f>
        <v>69.849999999999994</v>
      </c>
      <c r="G13" s="221">
        <f ca="1">IF(INDIRECT("Lifting!L11")="","",ABS(INDIRECT("Lifting!L11")))</f>
        <v>80</v>
      </c>
      <c r="H13" s="221">
        <f ca="1">IF(INDIRECT("Lifting!M11")="","",ABS(INDIRECT("Lifting!M11")))</f>
        <v>90</v>
      </c>
      <c r="I13" s="221" t="str">
        <f ca="1">IF(INDIRECT("Lifting!N11")="","",ABS(INDIRECT("Lifting!N11")))</f>
        <v/>
      </c>
      <c r="J13" s="221">
        <f ca="1">IF(INDIRECT("Lifting!Q11")="","",ABS(INDIRECT("Lifting!Q11")))</f>
        <v>57.5</v>
      </c>
      <c r="K13" s="221">
        <f ca="1">IF(INDIRECT("Lifting!R11")="","",ABS(INDIRECT("Lifting!R11")))</f>
        <v>57.5</v>
      </c>
      <c r="L13" s="221">
        <f ca="1">IF(INDIRECT("Lifting!S11")="","",ABS(INDIRECT("Lifting!S11")))</f>
        <v>62.5</v>
      </c>
      <c r="M13" s="221">
        <f ca="1">IF(INDIRECT("Lifting!V11")="","",ABS(INDIRECT("Lifting!V11")))</f>
        <v>115</v>
      </c>
      <c r="N13" s="221">
        <f ca="1">IF(INDIRECT("Lifting!W11")="","",ABS(INDIRECT("Lifting!W11")))</f>
        <v>130</v>
      </c>
      <c r="O13" s="221">
        <f ca="1">IF(INDIRECT("Lifting!X11")="","",ABS(INDIRECT("Lifting!X11")))</f>
        <v>140</v>
      </c>
      <c r="P13" s="221">
        <f ca="1">IF(INDIRECT("Lifting!O11")+INDIRECT("Lifting!T11")+INDIRECT("Lifting!Y11")&gt;0,INDIRECT("Lifting!O11")+INDIRECT("Lifting!T11")+INDIRECT("Lifting!Y11"),"")</f>
        <v>277.5</v>
      </c>
      <c r="Q13" s="222">
        <f ca="1">IF(P13="","",P13*INDIRECT("Lifting!H11"))</f>
        <v>276.47324502468109</v>
      </c>
      <c r="R13" s="207"/>
    </row>
    <row r="14" spans="2:18" ht="15.75" x14ac:dyDescent="0.25">
      <c r="B14" s="276" t="str">
        <f ca="1">IF(INDIRECT("Lifting!A12")="","",INDIRECT("Lifting!A12"))</f>
        <v>B</v>
      </c>
      <c r="C14" s="276">
        <f ca="1">IF(INDIRECT("Lifting!G12")="","",INDIRECT("Lifting!G12"))</f>
        <v>9</v>
      </c>
      <c r="D14" s="275" t="str">
        <f ca="1">IF(INDIRECT("Lifting!B12")="","",INDIRECT("Lifting!B12"))</f>
        <v>Johanna Jilsén</v>
      </c>
      <c r="E14" s="276" t="str">
        <f ca="1">IF(INDIRECT("Lifting!C12")="","",INDIRECT("Lifting!C12"))</f>
        <v>GKK</v>
      </c>
      <c r="F14" s="278">
        <f ca="1">IF(INDIRECT("Lifting!E12")="","",INDIRECT("Lifting!E12"))</f>
        <v>86.95</v>
      </c>
      <c r="G14" s="221">
        <f ca="1">IF(INDIRECT("Lifting!L12")="","",ABS(INDIRECT("Lifting!L12")))</f>
        <v>90</v>
      </c>
      <c r="H14" s="221">
        <f ca="1">IF(INDIRECT("Lifting!M12")="","",ABS(INDIRECT("Lifting!M12")))</f>
        <v>100</v>
      </c>
      <c r="I14" s="221">
        <f ca="1">IF(INDIRECT("Lifting!N12")="","",ABS(INDIRECT("Lifting!N12")))</f>
        <v>105</v>
      </c>
      <c r="J14" s="221">
        <f ca="1">IF(INDIRECT("Lifting!Q12")="","",ABS(INDIRECT("Lifting!Q12")))</f>
        <v>57.5</v>
      </c>
      <c r="K14" s="221">
        <f ca="1">IF(INDIRECT("Lifting!R12")="","",ABS(INDIRECT("Lifting!R12")))</f>
        <v>62.5</v>
      </c>
      <c r="L14" s="221">
        <f ca="1">IF(INDIRECT("Lifting!S12")="","",ABS(INDIRECT("Lifting!S12")))</f>
        <v>65</v>
      </c>
      <c r="M14" s="221">
        <f ca="1">IF(INDIRECT("Lifting!V12")="","",ABS(INDIRECT("Lifting!V12")))</f>
        <v>115</v>
      </c>
      <c r="N14" s="221">
        <f ca="1">IF(INDIRECT("Lifting!W12")="","",ABS(INDIRECT("Lifting!W12")))</f>
        <v>120</v>
      </c>
      <c r="O14" s="221">
        <f ca="1">IF(INDIRECT("Lifting!X12")="","",ABS(INDIRECT("Lifting!X12")))</f>
        <v>125</v>
      </c>
      <c r="P14" s="221">
        <f ca="1">IF(INDIRECT("Lifting!O12")+INDIRECT("Lifting!T12")+INDIRECT("Lifting!Y12")&gt;0,INDIRECT("Lifting!O12")+INDIRECT("Lifting!T12")+INDIRECT("Lifting!Y12"),"")</f>
        <v>290</v>
      </c>
      <c r="Q14" s="222">
        <f ca="1">IF(P14="","",P14*INDIRECT("Lifting!H12"))</f>
        <v>254.3589973449707</v>
      </c>
      <c r="R14" s="207"/>
    </row>
    <row r="15" spans="2:18" ht="15.75" x14ac:dyDescent="0.25">
      <c r="B15" s="276" t="str">
        <f ca="1">IF(INDIRECT("Lifting!A13")="","",INDIRECT("Lifting!A13"))</f>
        <v>B</v>
      </c>
      <c r="C15" s="276">
        <f ca="1">IF(INDIRECT("Lifting!G13")="","",INDIRECT("Lifting!G13"))</f>
        <v>13</v>
      </c>
      <c r="D15" s="275" t="str">
        <f ca="1">IF(INDIRECT("Lifting!B13")="","",INDIRECT("Lifting!B13"))</f>
        <v>Malin Carlsson</v>
      </c>
      <c r="E15" s="276" t="str">
        <f ca="1">IF(INDIRECT("Lifting!C13")="","",INDIRECT("Lifting!C13"))</f>
        <v>VAIS</v>
      </c>
      <c r="F15" s="278">
        <f ca="1">IF(INDIRECT("Lifting!E13")="","",INDIRECT("Lifting!E13"))</f>
        <v>48.55</v>
      </c>
      <c r="G15" s="221">
        <f ca="1">IF(INDIRECT("Lifting!L13")="","",ABS(INDIRECT("Lifting!L13")))</f>
        <v>95</v>
      </c>
      <c r="H15" s="221">
        <f ca="1">IF(INDIRECT("Lifting!M13")="","",ABS(INDIRECT("Lifting!M13")))</f>
        <v>100</v>
      </c>
      <c r="I15" s="221">
        <f ca="1">IF(INDIRECT("Lifting!N13")="","",ABS(INDIRECT("Lifting!N13")))</f>
        <v>105</v>
      </c>
      <c r="J15" s="221">
        <f ca="1">IF(INDIRECT("Lifting!Q13")="","",ABS(INDIRECT("Lifting!Q13")))</f>
        <v>55</v>
      </c>
      <c r="K15" s="221">
        <f ca="1">IF(INDIRECT("Lifting!R13")="","",ABS(INDIRECT("Lifting!R13")))</f>
        <v>60</v>
      </c>
      <c r="L15" s="221">
        <f ca="1">IF(INDIRECT("Lifting!S13")="","",ABS(INDIRECT("Lifting!S13")))</f>
        <v>62.5</v>
      </c>
      <c r="M15" s="221">
        <f ca="1">IF(INDIRECT("Lifting!V13")="","",ABS(INDIRECT("Lifting!V13")))</f>
        <v>115</v>
      </c>
      <c r="N15" s="221">
        <f ca="1">IF(INDIRECT("Lifting!W13")="","",ABS(INDIRECT("Lifting!W13")))</f>
        <v>120</v>
      </c>
      <c r="O15" s="221">
        <f ca="1">IF(INDIRECT("Lifting!X13")="","",ABS(INDIRECT("Lifting!X13")))</f>
        <v>122.5</v>
      </c>
      <c r="P15" s="221">
        <f ca="1">IF(INDIRECT("Lifting!O13")+INDIRECT("Lifting!T13")+INDIRECT("Lifting!Y13")&gt;0,INDIRECT("Lifting!O13")+INDIRECT("Lifting!T13")+INDIRECT("Lifting!Y13"),"")</f>
        <v>285</v>
      </c>
      <c r="Q15" s="222">
        <f ca="1">IF(P15="","",P15*INDIRECT("Lifting!H13"))</f>
        <v>374.29050385951996</v>
      </c>
      <c r="R15" s="207"/>
    </row>
    <row r="16" spans="2:18" ht="15.75" x14ac:dyDescent="0.25">
      <c r="B16" s="276" t="str">
        <f ca="1">IF(INDIRECT("Lifting!A14")="","",INDIRECT("Lifting!A14"))</f>
        <v>B</v>
      </c>
      <c r="C16" s="276">
        <f ca="1">IF(INDIRECT("Lifting!G14")="","",INDIRECT("Lifting!G14"))</f>
        <v>55</v>
      </c>
      <c r="D16" s="275" t="str">
        <f ca="1">IF(INDIRECT("Lifting!B14")="","",INDIRECT("Lifting!B14"))</f>
        <v>Johanna Wessman</v>
      </c>
      <c r="E16" s="276" t="str">
        <f ca="1">IF(INDIRECT("Lifting!C14")="","",INDIRECT("Lifting!C14"))</f>
        <v>SKS</v>
      </c>
      <c r="F16" s="278">
        <f ca="1">IF(INDIRECT("Lifting!E14")="","",INDIRECT("Lifting!E14"))</f>
        <v>61.95</v>
      </c>
      <c r="G16" s="221">
        <f ca="1">IF(INDIRECT("Lifting!L14")="","",ABS(INDIRECT("Lifting!L14")))</f>
        <v>95</v>
      </c>
      <c r="H16" s="221">
        <f ca="1">IF(INDIRECT("Lifting!M14")="","",ABS(INDIRECT("Lifting!M14")))</f>
        <v>102.5</v>
      </c>
      <c r="I16" s="221">
        <f ca="1">IF(INDIRECT("Lifting!N14")="","",ABS(INDIRECT("Lifting!N14")))</f>
        <v>110</v>
      </c>
      <c r="J16" s="221">
        <f ca="1">IF(INDIRECT("Lifting!Q14")="","",ABS(INDIRECT("Lifting!Q14")))</f>
        <v>85</v>
      </c>
      <c r="K16" s="221">
        <f ca="1">IF(INDIRECT("Lifting!R14")="","",ABS(INDIRECT("Lifting!R14")))</f>
        <v>90</v>
      </c>
      <c r="L16" s="221">
        <f ca="1">IF(INDIRECT("Lifting!S14")="","",ABS(INDIRECT("Lifting!S14")))</f>
        <v>90</v>
      </c>
      <c r="M16" s="221">
        <f ca="1">IF(INDIRECT("Lifting!V14")="","",ABS(INDIRECT("Lifting!V14")))</f>
        <v>105</v>
      </c>
      <c r="N16" s="221">
        <f ca="1">IF(INDIRECT("Lifting!W14")="","",ABS(INDIRECT("Lifting!W14")))</f>
        <v>117.5</v>
      </c>
      <c r="O16" s="221">
        <f ca="1">IF(INDIRECT("Lifting!X14")="","",ABS(INDIRECT("Lifting!X14")))</f>
        <v>127.5</v>
      </c>
      <c r="P16" s="221">
        <f ca="1">IF(INDIRECT("Lifting!O14")+INDIRECT("Lifting!T14")+INDIRECT("Lifting!Y14")&gt;0,INDIRECT("Lifting!O14")+INDIRECT("Lifting!T14")+INDIRECT("Lifting!Y14"),"")</f>
        <v>327.5</v>
      </c>
      <c r="Q16" s="222">
        <f ca="1">IF(P16="","",P16*INDIRECT("Lifting!H14"))</f>
        <v>356.25450849533081</v>
      </c>
      <c r="R16" s="207"/>
    </row>
    <row r="17" spans="2:18" ht="15" x14ac:dyDescent="0.2">
      <c r="B17" s="276" t="str">
        <f ca="1">IF(INDIRECT("Lifting!A15")="","",INDIRECT("Lifting!A15"))</f>
        <v>B</v>
      </c>
      <c r="C17" s="276">
        <f ca="1">IF(INDIRECT("Lifting!G15")="","",INDIRECT("Lifting!G15"))</f>
        <v>37</v>
      </c>
      <c r="D17" s="276" t="str">
        <f ca="1">IF(INDIRECT("Lifting!B15")="","",INDIRECT("Lifting!B15"))</f>
        <v>Veronica Gidlund</v>
      </c>
      <c r="E17" s="276" t="str">
        <f ca="1">IF(INDIRECT("Lifting!C15")="","",INDIRECT("Lifting!C15"))</f>
        <v>BAK</v>
      </c>
      <c r="F17" s="278">
        <f ca="1">IF(INDIRECT("Lifting!E15")="","",INDIRECT("Lifting!E15"))</f>
        <v>85.75</v>
      </c>
      <c r="G17" s="221">
        <f ca="1">IF(INDIRECT("Lifting!L15")="","",ABS(INDIRECT("Lifting!L15")))</f>
        <v>100</v>
      </c>
      <c r="H17" s="221">
        <f ca="1">IF(INDIRECT("Lifting!M15")="","",ABS(INDIRECT("Lifting!M15")))</f>
        <v>110</v>
      </c>
      <c r="I17" s="221">
        <f ca="1">IF(INDIRECT("Lifting!N15")="","",ABS(INDIRECT("Lifting!N15")))</f>
        <v>120</v>
      </c>
      <c r="J17" s="221">
        <f ca="1">IF(INDIRECT("Lifting!Q15")="","",ABS(INDIRECT("Lifting!Q15")))</f>
        <v>70</v>
      </c>
      <c r="K17" s="221">
        <f ca="1">IF(INDIRECT("Lifting!R15")="","",ABS(INDIRECT("Lifting!R15")))</f>
        <v>75</v>
      </c>
      <c r="L17" s="221" t="str">
        <f ca="1">IF(INDIRECT("Lifting!S15")="","",ABS(INDIRECT("Lifting!S15")))</f>
        <v/>
      </c>
      <c r="M17" s="221">
        <f ca="1">IF(INDIRECT("Lifting!V15")="","",ABS(INDIRECT("Lifting!V15")))</f>
        <v>130</v>
      </c>
      <c r="N17" s="221">
        <f ca="1">IF(INDIRECT("Lifting!W15")="","",ABS(INDIRECT("Lifting!W15")))</f>
        <v>140</v>
      </c>
      <c r="O17" s="221">
        <f ca="1">IF(INDIRECT("Lifting!X15")="","",ABS(INDIRECT("Lifting!X15")))</f>
        <v>150</v>
      </c>
      <c r="P17" s="221">
        <f ca="1">IF(INDIRECT("Lifting!O15")+INDIRECT("Lifting!T15")+INDIRECT("Lifting!Y15")&gt;0,INDIRECT("Lifting!O15")+INDIRECT("Lifting!T15")+INDIRECT("Lifting!Y15"),"")</f>
        <v>340</v>
      </c>
      <c r="Q17" s="222">
        <f ca="1">IF(P17="","",P17*INDIRECT("Lifting!H15"))</f>
        <v>300.15199422836304</v>
      </c>
      <c r="R17" s="207"/>
    </row>
    <row r="18" spans="2:18" ht="15" x14ac:dyDescent="0.2">
      <c r="B18" s="276" t="str">
        <f ca="1">IF(INDIRECT("Lifting!A16")="","",INDIRECT("Lifting!A16"))</f>
        <v>B</v>
      </c>
      <c r="C18" s="276">
        <f ca="1">IF(INDIRECT("Lifting!G16")="","",INDIRECT("Lifting!G16"))</f>
        <v>46</v>
      </c>
      <c r="D18" s="276" t="str">
        <f ca="1">IF(INDIRECT("Lifting!B16")="","",INDIRECT("Lifting!B16"))</f>
        <v>Isabelle Karlsson</v>
      </c>
      <c r="E18" s="276" t="str">
        <f ca="1">IF(INDIRECT("Lifting!C16")="","",INDIRECT("Lifting!C16"))</f>
        <v>GKK</v>
      </c>
      <c r="F18" s="278">
        <f ca="1">IF(INDIRECT("Lifting!E16")="","",INDIRECT("Lifting!E16"))</f>
        <v>61.75</v>
      </c>
      <c r="G18" s="221">
        <f ca="1">IF(INDIRECT("Lifting!L16")="","",ABS(INDIRECT("Lifting!L16")))</f>
        <v>107.5</v>
      </c>
      <c r="H18" s="221">
        <f ca="1">IF(INDIRECT("Lifting!M16")="","",ABS(INDIRECT("Lifting!M16")))</f>
        <v>112.5</v>
      </c>
      <c r="I18" s="221">
        <f ca="1">IF(INDIRECT("Lifting!N16")="","",ABS(INDIRECT("Lifting!N16")))</f>
        <v>117.5</v>
      </c>
      <c r="J18" s="221">
        <f ca="1">IF(INDIRECT("Lifting!Q16")="","",ABS(INDIRECT("Lifting!Q16")))</f>
        <v>65</v>
      </c>
      <c r="K18" s="221">
        <f ca="1">IF(INDIRECT("Lifting!R16")="","",ABS(INDIRECT("Lifting!R16")))</f>
        <v>67.5</v>
      </c>
      <c r="L18" s="221">
        <f ca="1">IF(INDIRECT("Lifting!S16")="","",ABS(INDIRECT("Lifting!S16")))</f>
        <v>70</v>
      </c>
      <c r="M18" s="221">
        <f ca="1">IF(INDIRECT("Lifting!V16")="","",ABS(INDIRECT("Lifting!V16")))</f>
        <v>135</v>
      </c>
      <c r="N18" s="221">
        <f ca="1">IF(INDIRECT("Lifting!W16")="","",ABS(INDIRECT("Lifting!W16")))</f>
        <v>145</v>
      </c>
      <c r="O18" s="221" t="str">
        <f ca="1">IF(INDIRECT("Lifting!X16")="","",ABS(INDIRECT("Lifting!X16")))</f>
        <v/>
      </c>
      <c r="P18" s="221">
        <f ca="1">IF(INDIRECT("Lifting!O16")+INDIRECT("Lifting!T16")+INDIRECT("Lifting!Y16")&gt;0,INDIRECT("Lifting!O16")+INDIRECT("Lifting!T16")+INDIRECT("Lifting!Y16"),"")</f>
        <v>330</v>
      </c>
      <c r="Q18" s="222">
        <f ca="1">IF(P18="","",P18*INDIRECT("Lifting!H16"))</f>
        <v>359.86499905586243</v>
      </c>
      <c r="R18" s="207"/>
    </row>
    <row r="19" spans="2:18" ht="15" x14ac:dyDescent="0.2">
      <c r="B19" s="276" t="str">
        <f ca="1">IF(INDIRECT("Lifting!A17")="","",INDIRECT("Lifting!A17"))</f>
        <v>B</v>
      </c>
      <c r="C19" s="276">
        <f ca="1">IF(INDIRECT("Lifting!G17")="","",INDIRECT("Lifting!G17"))</f>
        <v>10</v>
      </c>
      <c r="D19" s="276" t="str">
        <f ca="1">IF(INDIRECT("Lifting!B17")="","",INDIRECT("Lifting!B17"))</f>
        <v>Maria Vighagen</v>
      </c>
      <c r="E19" s="276" t="str">
        <f ca="1">IF(INDIRECT("Lifting!C17")="","",INDIRECT("Lifting!C17"))</f>
        <v>BAK</v>
      </c>
      <c r="F19" s="278">
        <f ca="1">IF(INDIRECT("Lifting!E17")="","",INDIRECT("Lifting!E17"))</f>
        <v>71.95</v>
      </c>
      <c r="G19" s="221">
        <f ca="1">IF(INDIRECT("Lifting!L17")="","",ABS(INDIRECT("Lifting!L17")))</f>
        <v>110</v>
      </c>
      <c r="H19" s="221">
        <f ca="1">IF(INDIRECT("Lifting!M17")="","",ABS(INDIRECT("Lifting!M17")))</f>
        <v>120</v>
      </c>
      <c r="I19" s="221">
        <f ca="1">IF(INDIRECT("Lifting!N17")="","",ABS(INDIRECT("Lifting!N17")))</f>
        <v>122.5</v>
      </c>
      <c r="J19" s="221">
        <f ca="1">IF(INDIRECT("Lifting!Q17")="","",ABS(INDIRECT("Lifting!Q17")))</f>
        <v>60</v>
      </c>
      <c r="K19" s="221">
        <f ca="1">IF(INDIRECT("Lifting!R17")="","",ABS(INDIRECT("Lifting!R17")))</f>
        <v>67.5</v>
      </c>
      <c r="L19" s="221" t="str">
        <f ca="1">IF(INDIRECT("Lifting!S17")="","",ABS(INDIRECT("Lifting!S17")))</f>
        <v/>
      </c>
      <c r="M19" s="221">
        <f ca="1">IF(INDIRECT("Lifting!V17")="","",ABS(INDIRECT("Lifting!V17")))</f>
        <v>130</v>
      </c>
      <c r="N19" s="221">
        <f ca="1">IF(INDIRECT("Lifting!W17")="","",ABS(INDIRECT("Lifting!W17")))</f>
        <v>142.5</v>
      </c>
      <c r="O19" s="221">
        <f ca="1">IF(INDIRECT("Lifting!X17")="","",ABS(INDIRECT("Lifting!X17")))</f>
        <v>150</v>
      </c>
      <c r="P19" s="221">
        <f ca="1">IF(INDIRECT("Lifting!O17")+INDIRECT("Lifting!T17")+INDIRECT("Lifting!Y17")&gt;0,INDIRECT("Lifting!O17")+INDIRECT("Lifting!T17")+INDIRECT("Lifting!Y17"),"")</f>
        <v>322.5</v>
      </c>
      <c r="Q19" s="222">
        <f ca="1">IF(P19="","",P19*INDIRECT("Lifting!H17"))</f>
        <v>314.92124184966087</v>
      </c>
      <c r="R19" s="207"/>
    </row>
    <row r="20" spans="2:18" ht="15" x14ac:dyDescent="0.2">
      <c r="B20" s="276" t="str">
        <f ca="1">IF(INDIRECT("Lifting!A18")="","",INDIRECT("Lifting!A18"))</f>
        <v>C</v>
      </c>
      <c r="C20" s="276">
        <f ca="1">IF(INDIRECT("Lifting!G18")="","",INDIRECT("Lifting!G18"))</f>
        <v>24</v>
      </c>
      <c r="D20" s="276" t="str">
        <f ca="1">IF(INDIRECT("Lifting!B18")="","",INDIRECT("Lifting!B18"))</f>
        <v>Mathias Smedberg</v>
      </c>
      <c r="E20" s="276" t="str">
        <f ca="1">IF(INDIRECT("Lifting!C18")="","",INDIRECT("Lifting!C18"))</f>
        <v>BAK</v>
      </c>
      <c r="F20" s="278">
        <f ca="1">IF(INDIRECT("Lifting!E18")="","",INDIRECT("Lifting!E18"))</f>
        <v>91.55</v>
      </c>
      <c r="G20" s="221">
        <f ca="1">IF(INDIRECT("Lifting!L18")="","",ABS(INDIRECT("Lifting!L18")))</f>
        <v>142.5</v>
      </c>
      <c r="H20" s="221">
        <f ca="1">IF(INDIRECT("Lifting!M18")="","",ABS(INDIRECT("Lifting!M18")))</f>
        <v>152.5</v>
      </c>
      <c r="I20" s="221">
        <f ca="1">IF(INDIRECT("Lifting!N18")="","",ABS(INDIRECT("Lifting!N18")))</f>
        <v>155</v>
      </c>
      <c r="J20" s="221">
        <f ca="1">IF(INDIRECT("Lifting!Q18")="","",ABS(INDIRECT("Lifting!Q18")))</f>
        <v>105</v>
      </c>
      <c r="K20" s="221">
        <f ca="1">IF(INDIRECT("Lifting!R18")="","",ABS(INDIRECT("Lifting!R18")))</f>
        <v>112.5</v>
      </c>
      <c r="L20" s="221">
        <f ca="1">IF(INDIRECT("Lifting!S18")="","",ABS(INDIRECT("Lifting!S18")))</f>
        <v>115</v>
      </c>
      <c r="M20" s="221">
        <f ca="1">IF(INDIRECT("Lifting!V18")="","",ABS(INDIRECT("Lifting!V18")))</f>
        <v>165</v>
      </c>
      <c r="N20" s="221">
        <f ca="1">IF(INDIRECT("Lifting!W18")="","",ABS(INDIRECT("Lifting!W18")))</f>
        <v>175</v>
      </c>
      <c r="O20" s="221">
        <f ca="1">IF(INDIRECT("Lifting!X18")="","",ABS(INDIRECT("Lifting!X18")))</f>
        <v>180</v>
      </c>
      <c r="P20" s="221">
        <f ca="1">IF(INDIRECT("Lifting!O18")+INDIRECT("Lifting!T18")+INDIRECT("Lifting!Y18")&gt;0,INDIRECT("Lifting!O18")+INDIRECT("Lifting!T18")+INDIRECT("Lifting!Y18"),"")</f>
        <v>450</v>
      </c>
      <c r="Q20" s="222">
        <f ca="1">IF(P20="","",P20*INDIRECT("Lifting!H18"))</f>
        <v>284.85000729560852</v>
      </c>
      <c r="R20" s="207"/>
    </row>
    <row r="21" spans="2:18" ht="15" x14ac:dyDescent="0.2">
      <c r="B21" s="276" t="str">
        <f ca="1">IF(INDIRECT("Lifting!A19")="","",INDIRECT("Lifting!A19"))</f>
        <v>C</v>
      </c>
      <c r="C21" s="276">
        <f ca="1">IF(INDIRECT("Lifting!G19")="","",INDIRECT("Lifting!G19"))</f>
        <v>23</v>
      </c>
      <c r="D21" s="276" t="str">
        <f ca="1">IF(INDIRECT("Lifting!B19")="","",INDIRECT("Lifting!B19"))</f>
        <v>Olof Gustavsson</v>
      </c>
      <c r="E21" s="276" t="str">
        <f ca="1">IF(INDIRECT("Lifting!C19")="","",INDIRECT("Lifting!C19"))</f>
        <v>SKK</v>
      </c>
      <c r="F21" s="278">
        <f ca="1">IF(INDIRECT("Lifting!E19")="","",INDIRECT("Lifting!E19"))</f>
        <v>73</v>
      </c>
      <c r="G21" s="221">
        <f ca="1">IF(INDIRECT("Lifting!L19")="","",ABS(INDIRECT("Lifting!L19")))</f>
        <v>145</v>
      </c>
      <c r="H21" s="221">
        <f ca="1">IF(INDIRECT("Lifting!M19")="","",ABS(INDIRECT("Lifting!M19")))</f>
        <v>155</v>
      </c>
      <c r="I21" s="221">
        <f ca="1">IF(INDIRECT("Lifting!N19")="","",ABS(INDIRECT("Lifting!N19")))</f>
        <v>160</v>
      </c>
      <c r="J21" s="221">
        <f ca="1">IF(INDIRECT("Lifting!Q19")="","",ABS(INDIRECT("Lifting!Q19")))</f>
        <v>100</v>
      </c>
      <c r="K21" s="221">
        <f ca="1">IF(INDIRECT("Lifting!R19")="","",ABS(INDIRECT("Lifting!R19")))</f>
        <v>105</v>
      </c>
      <c r="L21" s="221">
        <f ca="1">IF(INDIRECT("Lifting!S19")="","",ABS(INDIRECT("Lifting!S19")))</f>
        <v>107.5</v>
      </c>
      <c r="M21" s="221">
        <f ca="1">IF(INDIRECT("Lifting!V19")="","",ABS(INDIRECT("Lifting!V19")))</f>
        <v>197.5</v>
      </c>
      <c r="N21" s="221">
        <f ca="1">IF(INDIRECT("Lifting!W19")="","",ABS(INDIRECT("Lifting!W19")))</f>
        <v>207.5</v>
      </c>
      <c r="O21" s="221">
        <f ca="1">IF(INDIRECT("Lifting!X19")="","",ABS(INDIRECT("Lifting!X19")))</f>
        <v>212.5</v>
      </c>
      <c r="P21" s="221">
        <f ca="1">IF(INDIRECT("Lifting!O19")+INDIRECT("Lifting!T19")+INDIRECT("Lifting!Y19")&gt;0,INDIRECT("Lifting!O19")+INDIRECT("Lifting!T19")+INDIRECT("Lifting!Y19"),"")</f>
        <v>480</v>
      </c>
      <c r="Q21" s="222">
        <f ca="1">IF(P21="","",P21*INDIRECT("Lifting!H19"))</f>
        <v>348.6720085144043</v>
      </c>
      <c r="R21" s="207"/>
    </row>
    <row r="22" spans="2:18" ht="15" x14ac:dyDescent="0.2">
      <c r="B22" s="276" t="str">
        <f ca="1">IF(INDIRECT("Lifting!A20")="","",INDIRECT("Lifting!A20"))</f>
        <v>C</v>
      </c>
      <c r="C22" s="276">
        <f ca="1">IF(INDIRECT("Lifting!G20")="","",INDIRECT("Lifting!G20"))</f>
        <v>58</v>
      </c>
      <c r="D22" s="276" t="str">
        <f ca="1">IF(INDIRECT("Lifting!B20")="","",INDIRECT("Lifting!B20"))</f>
        <v>Pelle Jansson</v>
      </c>
      <c r="E22" s="276" t="str">
        <f ca="1">IF(INDIRECT("Lifting!C20")="","",INDIRECT("Lifting!C20"))</f>
        <v>GKK</v>
      </c>
      <c r="F22" s="278">
        <f ca="1">IF(INDIRECT("Lifting!E20")="","",INDIRECT("Lifting!E20"))</f>
        <v>80.2</v>
      </c>
      <c r="G22" s="221">
        <f ca="1">IF(INDIRECT("Lifting!L20")="","",ABS(INDIRECT("Lifting!L20")))</f>
        <v>145</v>
      </c>
      <c r="H22" s="221">
        <f ca="1">IF(INDIRECT("Lifting!M20")="","",ABS(INDIRECT("Lifting!M20")))</f>
        <v>150</v>
      </c>
      <c r="I22" s="221" t="str">
        <f ca="1">IF(INDIRECT("Lifting!N20")="","",ABS(INDIRECT("Lifting!N20")))</f>
        <v/>
      </c>
      <c r="J22" s="221">
        <f ca="1">IF(INDIRECT("Lifting!Q20")="","",ABS(INDIRECT("Lifting!Q20")))</f>
        <v>115</v>
      </c>
      <c r="K22" s="221" t="str">
        <f ca="1">IF(INDIRECT("Lifting!R20")="","",ABS(INDIRECT("Lifting!R20")))</f>
        <v/>
      </c>
      <c r="L22" s="221" t="str">
        <f ca="1">IF(INDIRECT("Lifting!S20")="","",ABS(INDIRECT("Lifting!S20")))</f>
        <v/>
      </c>
      <c r="M22" s="221">
        <f ca="1">IF(INDIRECT("Lifting!V20")="","",ABS(INDIRECT("Lifting!V20")))</f>
        <v>180</v>
      </c>
      <c r="N22" s="221" t="str">
        <f ca="1">IF(INDIRECT("Lifting!W20")="","",ABS(INDIRECT("Lifting!W20")))</f>
        <v/>
      </c>
      <c r="O22" s="221" t="str">
        <f ca="1">IF(INDIRECT("Lifting!X20")="","",ABS(INDIRECT("Lifting!X20")))</f>
        <v/>
      </c>
      <c r="P22" s="221">
        <f ca="1">IF(INDIRECT("Lifting!O20")+INDIRECT("Lifting!T20")+INDIRECT("Lifting!Y20")&gt;0,INDIRECT("Lifting!O20")+INDIRECT("Lifting!T20")+INDIRECT("Lifting!Y20"),"")</f>
        <v>150</v>
      </c>
      <c r="Q22" s="222">
        <f ca="1">IF(P22="","",P22*INDIRECT("Lifting!H20"))</f>
        <v>102.23999619483948</v>
      </c>
      <c r="R22" s="207"/>
    </row>
    <row r="23" spans="2:18" ht="15" x14ac:dyDescent="0.2">
      <c r="B23" s="276" t="str">
        <f ca="1">IF(INDIRECT("Lifting!A21")="","",INDIRECT("Lifting!A21"))</f>
        <v>C</v>
      </c>
      <c r="C23" s="276">
        <f ca="1">IF(INDIRECT("Lifting!G21")="","",INDIRECT("Lifting!G21"))</f>
        <v>29</v>
      </c>
      <c r="D23" s="276" t="str">
        <f ca="1">IF(INDIRECT("Lifting!B21")="","",INDIRECT("Lifting!B21"))</f>
        <v>Anton Rydberg</v>
      </c>
      <c r="E23" s="276" t="str">
        <f ca="1">IF(INDIRECT("Lifting!C21")="","",INDIRECT("Lifting!C21"))</f>
        <v>FTK</v>
      </c>
      <c r="F23" s="278">
        <f ca="1">IF(INDIRECT("Lifting!E21")="","",INDIRECT("Lifting!E21"))</f>
        <v>73.2</v>
      </c>
      <c r="G23" s="221">
        <f ca="1">IF(INDIRECT("Lifting!L21")="","",ABS(INDIRECT("Lifting!L21")))</f>
        <v>150</v>
      </c>
      <c r="H23" s="221">
        <f ca="1">IF(INDIRECT("Lifting!M21")="","",ABS(INDIRECT("Lifting!M21")))</f>
        <v>160</v>
      </c>
      <c r="I23" s="221">
        <f ca="1">IF(INDIRECT("Lifting!N21")="","",ABS(INDIRECT("Lifting!N21")))</f>
        <v>165</v>
      </c>
      <c r="J23" s="221">
        <f ca="1">IF(INDIRECT("Lifting!Q21")="","",ABS(INDIRECT("Lifting!Q21")))</f>
        <v>100</v>
      </c>
      <c r="K23" s="221">
        <f ca="1">IF(INDIRECT("Lifting!R21")="","",ABS(INDIRECT("Lifting!R21")))</f>
        <v>110</v>
      </c>
      <c r="L23" s="221">
        <f ca="1">IF(INDIRECT("Lifting!S21")="","",ABS(INDIRECT("Lifting!S21")))</f>
        <v>110</v>
      </c>
      <c r="M23" s="221">
        <f ca="1">IF(INDIRECT("Lifting!V21")="","",ABS(INDIRECT("Lifting!V21")))</f>
        <v>150</v>
      </c>
      <c r="N23" s="221">
        <f ca="1">IF(INDIRECT("Lifting!W21")="","",ABS(INDIRECT("Lifting!W21")))</f>
        <v>160</v>
      </c>
      <c r="O23" s="221">
        <f ca="1">IF(INDIRECT("Lifting!X21")="","",ABS(INDIRECT("Lifting!X21")))</f>
        <v>160</v>
      </c>
      <c r="P23" s="221">
        <f ca="1">IF(INDIRECT("Lifting!O21")+INDIRECT("Lifting!T21")+INDIRECT("Lifting!Y21")&gt;0,INDIRECT("Lifting!O21")+INDIRECT("Lifting!T21")+INDIRECT("Lifting!Y21"),"")</f>
        <v>420</v>
      </c>
      <c r="Q23" s="222">
        <f ca="1">IF(P23="","",P23*INDIRECT("Lifting!H21"))</f>
        <v>304.45800304412842</v>
      </c>
      <c r="R23" s="207"/>
    </row>
    <row r="24" spans="2:18" ht="15" x14ac:dyDescent="0.2">
      <c r="B24" s="276" t="str">
        <f ca="1">IF(INDIRECT("Lifting!A22")="","",INDIRECT("Lifting!A22"))</f>
        <v>C</v>
      </c>
      <c r="C24" s="276">
        <f ca="1">IF(INDIRECT("Lifting!G22")="","",INDIRECT("Lifting!G22"))</f>
        <v>19</v>
      </c>
      <c r="D24" s="276" t="str">
        <f ca="1">IF(INDIRECT("Lifting!B22")="","",INDIRECT("Lifting!B22"))</f>
        <v>Karl Erik Malmberg</v>
      </c>
      <c r="E24" s="276" t="str">
        <f ca="1">IF(INDIRECT("Lifting!C22")="","",INDIRECT("Lifting!C22"))</f>
        <v>GKK</v>
      </c>
      <c r="F24" s="278">
        <f ca="1">IF(INDIRECT("Lifting!E22")="","",INDIRECT("Lifting!E22"))</f>
        <v>82.4</v>
      </c>
      <c r="G24" s="221">
        <f ca="1">IF(INDIRECT("Lifting!L22")="","",ABS(INDIRECT("Lifting!L22")))</f>
        <v>152.5</v>
      </c>
      <c r="H24" s="221">
        <f ca="1">IF(INDIRECT("Lifting!M22")="","",ABS(INDIRECT("Lifting!M22")))</f>
        <v>162.5</v>
      </c>
      <c r="I24" s="221">
        <f ca="1">IF(INDIRECT("Lifting!N22")="","",ABS(INDIRECT("Lifting!N22")))</f>
        <v>170</v>
      </c>
      <c r="J24" s="221">
        <f ca="1">IF(INDIRECT("Lifting!Q22")="","",ABS(INDIRECT("Lifting!Q22")))</f>
        <v>165</v>
      </c>
      <c r="K24" s="221">
        <f ca="1">IF(INDIRECT("Lifting!R22")="","",ABS(INDIRECT("Lifting!R22")))</f>
        <v>170</v>
      </c>
      <c r="L24" s="221">
        <f ca="1">IF(INDIRECT("Lifting!S22")="","",ABS(INDIRECT("Lifting!S22")))</f>
        <v>175</v>
      </c>
      <c r="M24" s="221">
        <f ca="1">IF(INDIRECT("Lifting!V22")="","",ABS(INDIRECT("Lifting!V22")))</f>
        <v>200</v>
      </c>
      <c r="N24" s="221">
        <f ca="1">IF(INDIRECT("Lifting!W22")="","",ABS(INDIRECT("Lifting!W22")))</f>
        <v>215</v>
      </c>
      <c r="O24" s="221">
        <f ca="1">IF(INDIRECT("Lifting!X22")="","",ABS(INDIRECT("Lifting!X22")))</f>
        <v>222.5</v>
      </c>
      <c r="P24" s="221">
        <f ca="1">IF(INDIRECT("Lifting!O22")+INDIRECT("Lifting!T22")+INDIRECT("Lifting!Y22")&gt;0,INDIRECT("Lifting!O22")+INDIRECT("Lifting!T22")+INDIRECT("Lifting!Y22"),"")</f>
        <v>567.5</v>
      </c>
      <c r="Q24" s="222">
        <f ca="1">IF(P24="","",P24*INDIRECT("Lifting!H22"))</f>
        <v>380.45201331377029</v>
      </c>
      <c r="R24" s="207"/>
    </row>
    <row r="25" spans="2:18" ht="15" x14ac:dyDescent="0.2">
      <c r="B25" s="276" t="str">
        <f ca="1">IF(INDIRECT("Lifting!A23")="","",INDIRECT("Lifting!A23"))</f>
        <v>C</v>
      </c>
      <c r="C25" s="276">
        <f ca="1">IF(INDIRECT("Lifting!G23")="","",INDIRECT("Lifting!G23"))</f>
        <v>51</v>
      </c>
      <c r="D25" s="276" t="str">
        <f ca="1">IF(INDIRECT("Lifting!B23")="","",INDIRECT("Lifting!B23"))</f>
        <v>Erik Fridén</v>
      </c>
      <c r="E25" s="276" t="str">
        <f ca="1">IF(INDIRECT("Lifting!C23")="","",INDIRECT("Lifting!C23"))</f>
        <v>BAK</v>
      </c>
      <c r="F25" s="278">
        <f ca="1">IF(INDIRECT("Lifting!E23")="","",INDIRECT("Lifting!E23"))</f>
        <v>81.900000000000006</v>
      </c>
      <c r="G25" s="221">
        <f ca="1">IF(INDIRECT("Lifting!L23")="","",ABS(INDIRECT("Lifting!L23")))</f>
        <v>170</v>
      </c>
      <c r="H25" s="221">
        <f ca="1">IF(INDIRECT("Lifting!M23")="","",ABS(INDIRECT("Lifting!M23")))</f>
        <v>180</v>
      </c>
      <c r="I25" s="221">
        <f ca="1">IF(INDIRECT("Lifting!N23")="","",ABS(INDIRECT("Lifting!N23")))</f>
        <v>182.5</v>
      </c>
      <c r="J25" s="221">
        <f ca="1">IF(INDIRECT("Lifting!Q23")="","",ABS(INDIRECT("Lifting!Q23")))</f>
        <v>120</v>
      </c>
      <c r="K25" s="221">
        <f ca="1">IF(INDIRECT("Lifting!R23")="","",ABS(INDIRECT("Lifting!R23")))</f>
        <v>130</v>
      </c>
      <c r="L25" s="221">
        <f ca="1">IF(INDIRECT("Lifting!S23")="","",ABS(INDIRECT("Lifting!S23")))</f>
        <v>130</v>
      </c>
      <c r="M25" s="221">
        <f ca="1">IF(INDIRECT("Lifting!V23")="","",ABS(INDIRECT("Lifting!V23")))</f>
        <v>215</v>
      </c>
      <c r="N25" s="221">
        <f ca="1">IF(INDIRECT("Lifting!W23")="","",ABS(INDIRECT("Lifting!W23")))</f>
        <v>225</v>
      </c>
      <c r="O25" s="221">
        <f ca="1">IF(INDIRECT("Lifting!X23")="","",ABS(INDIRECT("Lifting!X23")))</f>
        <v>225</v>
      </c>
      <c r="P25" s="221">
        <f ca="1">IF(INDIRECT("Lifting!O23")+INDIRECT("Lifting!T23")+INDIRECT("Lifting!Y23")&gt;0,INDIRECT("Lifting!O23")+INDIRECT("Lifting!T23")+INDIRECT("Lifting!Y23"),"")</f>
        <v>527.5</v>
      </c>
      <c r="Q25" s="222">
        <f ca="1">IF(P25="","",P25*INDIRECT("Lifting!H23"))</f>
        <v>354.95476111769676</v>
      </c>
      <c r="R25" s="207"/>
    </row>
    <row r="26" spans="2:18" ht="15" x14ac:dyDescent="0.2">
      <c r="B26" s="276" t="str">
        <f ca="1">IF(INDIRECT("Lifting!A24")="","",INDIRECT("Lifting!A24"))</f>
        <v>C</v>
      </c>
      <c r="C26" s="276">
        <f ca="1">IF(INDIRECT("Lifting!G24")="","",INDIRECT("Lifting!G24"))</f>
        <v>39</v>
      </c>
      <c r="D26" s="276" t="str">
        <f ca="1">IF(INDIRECT("Lifting!B24")="","",INDIRECT("Lifting!B24"))</f>
        <v>Jonas Holmström</v>
      </c>
      <c r="E26" s="276" t="str">
        <f ca="1">IF(INDIRECT("Lifting!C24")="","",INDIRECT("Lifting!C24"))</f>
        <v>VAIS</v>
      </c>
      <c r="F26" s="278">
        <f ca="1">IF(INDIRECT("Lifting!E24")="","",INDIRECT("Lifting!E24"))</f>
        <v>95.05</v>
      </c>
      <c r="G26" s="221">
        <f ca="1">IF(INDIRECT("Lifting!L24")="","",ABS(INDIRECT("Lifting!L24")))</f>
        <v>180</v>
      </c>
      <c r="H26" s="221">
        <f ca="1">IF(INDIRECT("Lifting!M24")="","",ABS(INDIRECT("Lifting!M24")))</f>
        <v>190</v>
      </c>
      <c r="I26" s="221">
        <f ca="1">IF(INDIRECT("Lifting!N24")="","",ABS(INDIRECT("Lifting!N24")))</f>
        <v>200</v>
      </c>
      <c r="J26" s="221">
        <f ca="1">IF(INDIRECT("Lifting!Q24")="","",ABS(INDIRECT("Lifting!Q24")))</f>
        <v>150</v>
      </c>
      <c r="K26" s="221">
        <f ca="1">IF(INDIRECT("Lifting!R24")="","",ABS(INDIRECT("Lifting!R24")))</f>
        <v>155</v>
      </c>
      <c r="L26" s="221">
        <f ca="1">IF(INDIRECT("Lifting!S24")="","",ABS(INDIRECT("Lifting!S24")))</f>
        <v>160</v>
      </c>
      <c r="M26" s="221">
        <f ca="1">IF(INDIRECT("Lifting!V24")="","",ABS(INDIRECT("Lifting!V24")))</f>
        <v>190</v>
      </c>
      <c r="N26" s="221">
        <f ca="1">IF(INDIRECT("Lifting!W24")="","",ABS(INDIRECT("Lifting!W24")))</f>
        <v>220</v>
      </c>
      <c r="O26" s="221">
        <f ca="1">IF(INDIRECT("Lifting!X24")="","",ABS(INDIRECT("Lifting!X24")))</f>
        <v>240</v>
      </c>
      <c r="P26" s="221">
        <f ca="1">IF(INDIRECT("Lifting!O24")+INDIRECT("Lifting!T24")+INDIRECT("Lifting!Y24")&gt;0,INDIRECT("Lifting!O24")+INDIRECT("Lifting!T24")+INDIRECT("Lifting!Y24"),"")</f>
        <v>595</v>
      </c>
      <c r="Q26" s="222">
        <f ca="1">IF(P26="","",P26*INDIRECT("Lifting!H24"))</f>
        <v>370.03051310777664</v>
      </c>
      <c r="R26" s="207"/>
    </row>
    <row r="27" spans="2:18" ht="15" x14ac:dyDescent="0.2">
      <c r="B27" s="276" t="str">
        <f ca="1">IF(INDIRECT("Lifting!A25")="","",INDIRECT("Lifting!A25"))</f>
        <v>C</v>
      </c>
      <c r="C27" s="276">
        <f ca="1">IF(INDIRECT("Lifting!G25")="","",INDIRECT("Lifting!G25"))</f>
        <v>41</v>
      </c>
      <c r="D27" s="276" t="str">
        <f ca="1">IF(INDIRECT("Lifting!B25")="","",INDIRECT("Lifting!B25"))</f>
        <v>Martin Krisell</v>
      </c>
      <c r="E27" s="276" t="str">
        <f ca="1">IF(INDIRECT("Lifting!C25")="","",INDIRECT("Lifting!C25"))</f>
        <v>GKK</v>
      </c>
      <c r="F27" s="278">
        <f ca="1">IF(INDIRECT("Lifting!E25")="","",INDIRECT("Lifting!E25"))</f>
        <v>73.400000000000006</v>
      </c>
      <c r="G27" s="221">
        <f ca="1">IF(INDIRECT("Lifting!L25")="","",ABS(INDIRECT("Lifting!L25")))</f>
        <v>180</v>
      </c>
      <c r="H27" s="221">
        <f ca="1">IF(INDIRECT("Lifting!M25")="","",ABS(INDIRECT("Lifting!M25")))</f>
        <v>190</v>
      </c>
      <c r="I27" s="221">
        <f ca="1">IF(INDIRECT("Lifting!N25")="","",ABS(INDIRECT("Lifting!N25")))</f>
        <v>200</v>
      </c>
      <c r="J27" s="221">
        <f ca="1">IF(INDIRECT("Lifting!Q25")="","",ABS(INDIRECT("Lifting!Q25")))</f>
        <v>115</v>
      </c>
      <c r="K27" s="221">
        <f ca="1">IF(INDIRECT("Lifting!R25")="","",ABS(INDIRECT("Lifting!R25")))</f>
        <v>122.5</v>
      </c>
      <c r="L27" s="221">
        <f ca="1">IF(INDIRECT("Lifting!S25")="","",ABS(INDIRECT("Lifting!S25")))</f>
        <v>127.5</v>
      </c>
      <c r="M27" s="221">
        <f ca="1">IF(INDIRECT("Lifting!V25")="","",ABS(INDIRECT("Lifting!V25")))</f>
        <v>200</v>
      </c>
      <c r="N27" s="221">
        <f ca="1">IF(INDIRECT("Lifting!W25")="","",ABS(INDIRECT("Lifting!W25")))</f>
        <v>210</v>
      </c>
      <c r="O27" s="221">
        <f ca="1">IF(INDIRECT("Lifting!X25")="","",ABS(INDIRECT("Lifting!X25")))</f>
        <v>220</v>
      </c>
      <c r="P27" s="221">
        <f ca="1">IF(INDIRECT("Lifting!O25")+INDIRECT("Lifting!T25")+INDIRECT("Lifting!Y25")&gt;0,INDIRECT("Lifting!O25")+INDIRECT("Lifting!T25")+INDIRECT("Lifting!Y25"),"")</f>
        <v>537.5</v>
      </c>
      <c r="Q27" s="222">
        <f ca="1">IF(P27="","",P27*INDIRECT("Lifting!H25"))</f>
        <v>388.88125717639923</v>
      </c>
      <c r="R27" s="207"/>
    </row>
    <row r="28" spans="2:18" ht="15" x14ac:dyDescent="0.2">
      <c r="B28" s="276" t="str">
        <f ca="1">IF(INDIRECT("Lifting!A26")="","",INDIRECT("Lifting!A26"))</f>
        <v>C</v>
      </c>
      <c r="C28" s="276">
        <f ca="1">IF(INDIRECT("Lifting!G26")="","",INDIRECT("Lifting!G26"))</f>
        <v>6</v>
      </c>
      <c r="D28" s="276" t="str">
        <f ca="1">IF(INDIRECT("Lifting!B26")="","",INDIRECT("Lifting!B26"))</f>
        <v>Youlong Li</v>
      </c>
      <c r="E28" s="276" t="str">
        <f ca="1">IF(INDIRECT("Lifting!C26")="","",INDIRECT("Lifting!C26"))</f>
        <v>VAIS</v>
      </c>
      <c r="F28" s="278">
        <f ca="1">IF(INDIRECT("Lifting!E26")="","",INDIRECT("Lifting!E26"))</f>
        <v>78.75</v>
      </c>
      <c r="G28" s="221">
        <f ca="1">IF(INDIRECT("Lifting!L26")="","",ABS(INDIRECT("Lifting!L26")))</f>
        <v>190</v>
      </c>
      <c r="H28" s="221">
        <f ca="1">IF(INDIRECT("Lifting!M26")="","",ABS(INDIRECT("Lifting!M26")))</f>
        <v>200</v>
      </c>
      <c r="I28" s="221">
        <f ca="1">IF(INDIRECT("Lifting!N26")="","",ABS(INDIRECT("Lifting!N26")))</f>
        <v>200</v>
      </c>
      <c r="J28" s="221">
        <f ca="1">IF(INDIRECT("Lifting!Q26")="","",ABS(INDIRECT("Lifting!Q26")))</f>
        <v>120</v>
      </c>
      <c r="K28" s="221">
        <f ca="1">IF(INDIRECT("Lifting!R26")="","",ABS(INDIRECT("Lifting!R26")))</f>
        <v>130</v>
      </c>
      <c r="L28" s="221">
        <f ca="1">IF(INDIRECT("Lifting!S26")="","",ABS(INDIRECT("Lifting!S26")))</f>
        <v>130</v>
      </c>
      <c r="M28" s="221">
        <f ca="1">IF(INDIRECT("Lifting!V26")="","",ABS(INDIRECT("Lifting!V26")))</f>
        <v>180</v>
      </c>
      <c r="N28" s="221">
        <f ca="1">IF(INDIRECT("Lifting!W26")="","",ABS(INDIRECT("Lifting!W26")))</f>
        <v>200</v>
      </c>
      <c r="O28" s="221">
        <f ca="1">IF(INDIRECT("Lifting!X26")="","",ABS(INDIRECT("Lifting!X26")))</f>
        <v>210</v>
      </c>
      <c r="P28" s="221">
        <f ca="1">IF(INDIRECT("Lifting!O26")+INDIRECT("Lifting!T26")+INDIRECT("Lifting!Y26")&gt;0,INDIRECT("Lifting!O26")+INDIRECT("Lifting!T26")+INDIRECT("Lifting!Y26"),"")</f>
        <v>530</v>
      </c>
      <c r="Q28" s="222">
        <f ca="1">IF(P28="","",P28*INDIRECT("Lifting!H26"))</f>
        <v>365.48799514770508</v>
      </c>
      <c r="R28" s="207"/>
    </row>
    <row r="29" spans="2:18" ht="15" x14ac:dyDescent="0.2">
      <c r="B29" s="276" t="str">
        <f ca="1">IF(INDIRECT("Lifting!A27")="","",INDIRECT("Lifting!A27"))</f>
        <v>C</v>
      </c>
      <c r="C29" s="276">
        <f ca="1">IF(INDIRECT("Lifting!G27")="","",INDIRECT("Lifting!G27"))</f>
        <v>21</v>
      </c>
      <c r="D29" s="276" t="str">
        <f ca="1">IF(INDIRECT("Lifting!B27")="","",INDIRECT("Lifting!B27"))</f>
        <v>Reino Puska</v>
      </c>
      <c r="E29" s="276" t="str">
        <f ca="1">IF(INDIRECT("Lifting!C27")="","",INDIRECT("Lifting!C27"))</f>
        <v>VAIS</v>
      </c>
      <c r="F29" s="278">
        <f ca="1">IF(INDIRECT("Lifting!E27")="","",INDIRECT("Lifting!E27"))</f>
        <v>74.650000000000006</v>
      </c>
      <c r="G29" s="221">
        <f ca="1">IF(INDIRECT("Lifting!L27")="","",ABS(INDIRECT("Lifting!L27")))</f>
        <v>195</v>
      </c>
      <c r="H29" s="221">
        <f ca="1">IF(INDIRECT("Lifting!M27")="","",ABS(INDIRECT("Lifting!M27")))</f>
        <v>205</v>
      </c>
      <c r="I29" s="221">
        <f ca="1">IF(INDIRECT("Lifting!N27")="","",ABS(INDIRECT("Lifting!N27")))</f>
        <v>212.5</v>
      </c>
      <c r="J29" s="221">
        <f ca="1">IF(INDIRECT("Lifting!Q27")="","",ABS(INDIRECT("Lifting!Q27")))</f>
        <v>120</v>
      </c>
      <c r="K29" s="221">
        <f ca="1">IF(INDIRECT("Lifting!R27")="","",ABS(INDIRECT("Lifting!R27")))</f>
        <v>127.5</v>
      </c>
      <c r="L29" s="221">
        <f ca="1">IF(INDIRECT("Lifting!S27")="","",ABS(INDIRECT("Lifting!S27")))</f>
        <v>132.5</v>
      </c>
      <c r="M29" s="221">
        <f ca="1">IF(INDIRECT("Lifting!V27")="","",ABS(INDIRECT("Lifting!V27")))</f>
        <v>200</v>
      </c>
      <c r="N29" s="221">
        <f ca="1">IF(INDIRECT("Lifting!W27")="","",ABS(INDIRECT("Lifting!W27")))</f>
        <v>215</v>
      </c>
      <c r="O29" s="221" t="str">
        <f ca="1">IF(INDIRECT("Lifting!X27")="","",ABS(INDIRECT("Lifting!X27")))</f>
        <v/>
      </c>
      <c r="P29" s="221">
        <f ca="1">IF(INDIRECT("Lifting!O27")+INDIRECT("Lifting!T27")+INDIRECT("Lifting!Y27")&gt;0,INDIRECT("Lifting!O27")+INDIRECT("Lifting!T27")+INDIRECT("Lifting!Y27"),"")</f>
        <v>560</v>
      </c>
      <c r="Q29" s="222">
        <f ca="1">IF(P29="","",P29*INDIRECT("Lifting!H27"))</f>
        <v>400.34400939941406</v>
      </c>
      <c r="R29" s="207"/>
    </row>
    <row r="30" spans="2:18" ht="15" x14ac:dyDescent="0.2">
      <c r="B30" s="276" t="str">
        <f ca="1">IF(INDIRECT("Lifting!A28")="","",INDIRECT("Lifting!A28"))</f>
        <v>C</v>
      </c>
      <c r="C30" s="276">
        <f ca="1">IF(INDIRECT("Lifting!G28")="","",INDIRECT("Lifting!G28"))</f>
        <v>35</v>
      </c>
      <c r="D30" s="276" t="str">
        <f ca="1">IF(INDIRECT("Lifting!B28")="","",INDIRECT("Lifting!B28"))</f>
        <v>Tomas Berg</v>
      </c>
      <c r="E30" s="276" t="str">
        <f ca="1">IF(INDIRECT("Lifting!C28")="","",INDIRECT("Lifting!C28"))</f>
        <v>VAIS</v>
      </c>
      <c r="F30" s="278">
        <f ca="1">IF(INDIRECT("Lifting!E28")="","",INDIRECT("Lifting!E28"))</f>
        <v>75.400000000000006</v>
      </c>
      <c r="G30" s="221">
        <f ca="1">IF(INDIRECT("Lifting!L28")="","",ABS(INDIRECT("Lifting!L28")))</f>
        <v>195</v>
      </c>
      <c r="H30" s="221">
        <f ca="1">IF(INDIRECT("Lifting!M28")="","",ABS(INDIRECT("Lifting!M28")))</f>
        <v>210</v>
      </c>
      <c r="I30" s="221">
        <f ca="1">IF(INDIRECT("Lifting!N28")="","",ABS(INDIRECT("Lifting!N28")))</f>
        <v>225</v>
      </c>
      <c r="J30" s="221">
        <f ca="1">IF(INDIRECT("Lifting!Q28")="","",ABS(INDIRECT("Lifting!Q28")))</f>
        <v>120</v>
      </c>
      <c r="K30" s="221">
        <f ca="1">IF(INDIRECT("Lifting!R28")="","",ABS(INDIRECT("Lifting!R28")))</f>
        <v>125</v>
      </c>
      <c r="L30" s="221">
        <f ca="1">IF(INDIRECT("Lifting!S28")="","",ABS(INDIRECT("Lifting!S28")))</f>
        <v>130</v>
      </c>
      <c r="M30" s="221">
        <f ca="1">IF(INDIRECT("Lifting!V28")="","",ABS(INDIRECT("Lifting!V28")))</f>
        <v>190</v>
      </c>
      <c r="N30" s="221">
        <f ca="1">IF(INDIRECT("Lifting!W28")="","",ABS(INDIRECT("Lifting!W28")))</f>
        <v>205</v>
      </c>
      <c r="O30" s="221">
        <f ca="1">IF(INDIRECT("Lifting!X28")="","",ABS(INDIRECT("Lifting!X28")))</f>
        <v>215</v>
      </c>
      <c r="P30" s="221">
        <f ca="1">IF(INDIRECT("Lifting!O28")+INDIRECT("Lifting!T28")+INDIRECT("Lifting!Y28")&gt;0,INDIRECT("Lifting!O28")+INDIRECT("Lifting!T28")+INDIRECT("Lifting!Y28"),"")</f>
        <v>570</v>
      </c>
      <c r="Q30" s="222">
        <f ca="1">IF(P30="","",P30*INDIRECT("Lifting!H28"))</f>
        <v>404.64301228523254</v>
      </c>
      <c r="R30" s="207"/>
    </row>
    <row r="31" spans="2:18" ht="15" x14ac:dyDescent="0.2">
      <c r="B31" s="276" t="str">
        <f ca="1">IF(INDIRECT("Lifting!A29")="","",INDIRECT("Lifting!A29"))</f>
        <v>D</v>
      </c>
      <c r="C31" s="276">
        <f ca="1">IF(INDIRECT("Lifting!G29")="","",INDIRECT("Lifting!G29"))</f>
        <v>14</v>
      </c>
      <c r="D31" s="276" t="str">
        <f ca="1">IF(INDIRECT("Lifting!B29")="","",INDIRECT("Lifting!B29"))</f>
        <v>Curt Carlsson</v>
      </c>
      <c r="E31" s="276" t="str">
        <f ca="1">IF(INDIRECT("Lifting!C29")="","",INDIRECT("Lifting!C29"))</f>
        <v>BAK</v>
      </c>
      <c r="F31" s="278">
        <f ca="1">IF(INDIRECT("Lifting!E29")="","",INDIRECT("Lifting!E29"))</f>
        <v>86.85</v>
      </c>
      <c r="G31" s="221">
        <f ca="1">IF(INDIRECT("Lifting!L29")="","",ABS(INDIRECT("Lifting!L29")))</f>
        <v>100</v>
      </c>
      <c r="H31" s="221">
        <f ca="1">IF(INDIRECT("Lifting!M29")="","",ABS(INDIRECT("Lifting!M29")))</f>
        <v>110</v>
      </c>
      <c r="I31" s="221" t="str">
        <f ca="1">IF(INDIRECT("Lifting!N29")="","",ABS(INDIRECT("Lifting!N29")))</f>
        <v/>
      </c>
      <c r="J31" s="221">
        <f ca="1">IF(INDIRECT("Lifting!Q29")="","",ABS(INDIRECT("Lifting!Q29")))</f>
        <v>55</v>
      </c>
      <c r="K31" s="221">
        <f ca="1">IF(INDIRECT("Lifting!R29")="","",ABS(INDIRECT("Lifting!R29")))</f>
        <v>65</v>
      </c>
      <c r="L31" s="221" t="str">
        <f ca="1">IF(INDIRECT("Lifting!S29")="","",ABS(INDIRECT("Lifting!S29")))</f>
        <v/>
      </c>
      <c r="M31" s="221">
        <f ca="1">IF(INDIRECT("Lifting!V29")="","",ABS(INDIRECT("Lifting!V29")))</f>
        <v>140</v>
      </c>
      <c r="N31" s="221">
        <f ca="1">IF(INDIRECT("Lifting!W29")="","",ABS(INDIRECT("Lifting!W29")))</f>
        <v>150</v>
      </c>
      <c r="O31" s="221" t="str">
        <f ca="1">IF(INDIRECT("Lifting!X29")="","",ABS(INDIRECT("Lifting!X29")))</f>
        <v/>
      </c>
      <c r="P31" s="221">
        <f ca="1">IF(INDIRECT("Lifting!O29")+INDIRECT("Lifting!T29")+INDIRECT("Lifting!Y29")&gt;0,INDIRECT("Lifting!O29")+INDIRECT("Lifting!T29")+INDIRECT("Lifting!Y29"),"")</f>
        <v>325</v>
      </c>
      <c r="Q31" s="222">
        <f ca="1">IF(P31="","",P31*INDIRECT("Lifting!H29"))</f>
        <v>211.41249984502792</v>
      </c>
      <c r="R31" s="207"/>
    </row>
    <row r="32" spans="2:18" ht="15" x14ac:dyDescent="0.2">
      <c r="B32" s="276" t="str">
        <f ca="1">IF(INDIRECT("Lifting!A30")="","",INDIRECT("Lifting!A30"))</f>
        <v>D</v>
      </c>
      <c r="C32" s="276">
        <f ca="1">IF(INDIRECT("Lifting!G30")="","",INDIRECT("Lifting!G30"))</f>
        <v>15</v>
      </c>
      <c r="D32" s="276" t="str">
        <f ca="1">IF(INDIRECT("Lifting!B30")="","",INDIRECT("Lifting!B30"))</f>
        <v>Mikael Jansson</v>
      </c>
      <c r="E32" s="276" t="str">
        <f ca="1">IF(INDIRECT("Lifting!C30")="","",INDIRECT("Lifting!C30"))</f>
        <v>GKK</v>
      </c>
      <c r="F32" s="278">
        <f ca="1">IF(INDIRECT("Lifting!E30")="","",INDIRECT("Lifting!E30"))</f>
        <v>87</v>
      </c>
      <c r="G32" s="221">
        <f ca="1">IF(INDIRECT("Lifting!L30")="","",ABS(INDIRECT("Lifting!L30")))</f>
        <v>155</v>
      </c>
      <c r="H32" s="221">
        <f ca="1">IF(INDIRECT("Lifting!M30")="","",ABS(INDIRECT("Lifting!M30")))</f>
        <v>165</v>
      </c>
      <c r="I32" s="221">
        <f ca="1">IF(INDIRECT("Lifting!N30")="","",ABS(INDIRECT("Lifting!N30")))</f>
        <v>175</v>
      </c>
      <c r="J32" s="221">
        <f ca="1">IF(INDIRECT("Lifting!Q30")="","",ABS(INDIRECT("Lifting!Q30")))</f>
        <v>115</v>
      </c>
      <c r="K32" s="221">
        <f ca="1">IF(INDIRECT("Lifting!R30")="","",ABS(INDIRECT("Lifting!R30")))</f>
        <v>125</v>
      </c>
      <c r="L32" s="221">
        <f ca="1">IF(INDIRECT("Lifting!S30")="","",ABS(INDIRECT("Lifting!S30")))</f>
        <v>130</v>
      </c>
      <c r="M32" s="221">
        <f ca="1">IF(INDIRECT("Lifting!V30")="","",ABS(INDIRECT("Lifting!V30")))</f>
        <v>180</v>
      </c>
      <c r="N32" s="221">
        <f ca="1">IF(INDIRECT("Lifting!W30")="","",ABS(INDIRECT("Lifting!W30")))</f>
        <v>210</v>
      </c>
      <c r="O32" s="221">
        <f ca="1">IF(INDIRECT("Lifting!X30")="","",ABS(INDIRECT("Lifting!X30")))</f>
        <v>220</v>
      </c>
      <c r="P32" s="221">
        <f ca="1">IF(INDIRECT("Lifting!O30")+INDIRECT("Lifting!T30")+INDIRECT("Lifting!Y30")&gt;0,INDIRECT("Lifting!O30")+INDIRECT("Lifting!T30")+INDIRECT("Lifting!Y30"),"")</f>
        <v>525</v>
      </c>
      <c r="Q32" s="222">
        <f ca="1">IF(P32="","",P32*INDIRECT("Lifting!H30"))</f>
        <v>341.19751006364822</v>
      </c>
      <c r="R32" s="207"/>
    </row>
    <row r="33" spans="2:18" ht="15" x14ac:dyDescent="0.2">
      <c r="B33" s="276" t="str">
        <f ca="1">IF(INDIRECT("Lifting!A31")="","",INDIRECT("Lifting!A31"))</f>
        <v>D</v>
      </c>
      <c r="C33" s="276">
        <f ca="1">IF(INDIRECT("Lifting!G31")="","",INDIRECT("Lifting!G31"))</f>
        <v>45</v>
      </c>
      <c r="D33" s="276" t="str">
        <f ca="1">IF(INDIRECT("Lifting!B31")="","",INDIRECT("Lifting!B31"))</f>
        <v>Emil Johansson</v>
      </c>
      <c r="E33" s="276" t="str">
        <f ca="1">IF(INDIRECT("Lifting!C31")="","",INDIRECT("Lifting!C31"))</f>
        <v>VAIS</v>
      </c>
      <c r="F33" s="278">
        <f ca="1">IF(INDIRECT("Lifting!E31")="","",INDIRECT("Lifting!E31"))</f>
        <v>92.15</v>
      </c>
      <c r="G33" s="221">
        <f ca="1">IF(INDIRECT("Lifting!L31")="","",ABS(INDIRECT("Lifting!L31")))</f>
        <v>170</v>
      </c>
      <c r="H33" s="221">
        <f ca="1">IF(INDIRECT("Lifting!M31")="","",ABS(INDIRECT("Lifting!M31")))</f>
        <v>177.5</v>
      </c>
      <c r="I33" s="221">
        <f ca="1">IF(INDIRECT("Lifting!N31")="","",ABS(INDIRECT("Lifting!N31")))</f>
        <v>182.5</v>
      </c>
      <c r="J33" s="221">
        <f ca="1">IF(INDIRECT("Lifting!Q31")="","",ABS(INDIRECT("Lifting!Q31")))</f>
        <v>107.5</v>
      </c>
      <c r="K33" s="221">
        <f ca="1">IF(INDIRECT("Lifting!R31")="","",ABS(INDIRECT("Lifting!R31")))</f>
        <v>112.5</v>
      </c>
      <c r="L33" s="221">
        <f ca="1">IF(INDIRECT("Lifting!S31")="","",ABS(INDIRECT("Lifting!S31")))</f>
        <v>115</v>
      </c>
      <c r="M33" s="221">
        <f ca="1">IF(INDIRECT("Lifting!V31")="","",ABS(INDIRECT("Lifting!V31")))</f>
        <v>190</v>
      </c>
      <c r="N33" s="221">
        <f ca="1">IF(INDIRECT("Lifting!W31")="","",ABS(INDIRECT("Lifting!W31")))</f>
        <v>200</v>
      </c>
      <c r="O33" s="221">
        <f ca="1">IF(INDIRECT("Lifting!X31")="","",ABS(INDIRECT("Lifting!X31")))</f>
        <v>210</v>
      </c>
      <c r="P33" s="221">
        <f ca="1">IF(INDIRECT("Lifting!O31")+INDIRECT("Lifting!T31")+INDIRECT("Lifting!Y31")&gt;0,INDIRECT("Lifting!O31")+INDIRECT("Lifting!T31")+INDIRECT("Lifting!Y31"),"")</f>
        <v>497.5</v>
      </c>
      <c r="Q33" s="222">
        <f ca="1">IF(P33="","",P33*INDIRECT("Lifting!H31"))</f>
        <v>313.92249122262001</v>
      </c>
      <c r="R33" s="207"/>
    </row>
    <row r="34" spans="2:18" ht="15" x14ac:dyDescent="0.2">
      <c r="B34" s="276" t="str">
        <f ca="1">IF(INDIRECT("Lifting!A32")="","",INDIRECT("Lifting!A32"))</f>
        <v>D</v>
      </c>
      <c r="C34" s="276">
        <f ca="1">IF(INDIRECT("Lifting!G32")="","",INDIRECT("Lifting!G32"))</f>
        <v>48</v>
      </c>
      <c r="D34" s="276" t="str">
        <f ca="1">IF(INDIRECT("Lifting!B32")="","",INDIRECT("Lifting!B32"))</f>
        <v>Patrik Davidsson</v>
      </c>
      <c r="E34" s="276" t="str">
        <f ca="1">IF(INDIRECT("Lifting!C32")="","",INDIRECT("Lifting!C32"))</f>
        <v>BAK</v>
      </c>
      <c r="F34" s="278">
        <f ca="1">IF(INDIRECT("Lifting!E32")="","",INDIRECT("Lifting!E32"))</f>
        <v>93.25</v>
      </c>
      <c r="G34" s="221">
        <f ca="1">IF(INDIRECT("Lifting!L32")="","",ABS(INDIRECT("Lifting!L32")))</f>
        <v>180</v>
      </c>
      <c r="H34" s="221">
        <f ca="1">IF(INDIRECT("Lifting!M32")="","",ABS(INDIRECT("Lifting!M32")))</f>
        <v>190</v>
      </c>
      <c r="I34" s="221">
        <f ca="1">IF(INDIRECT("Lifting!N32")="","",ABS(INDIRECT("Lifting!N32")))</f>
        <v>195</v>
      </c>
      <c r="J34" s="221">
        <f ca="1">IF(INDIRECT("Lifting!Q32")="","",ABS(INDIRECT("Lifting!Q32")))</f>
        <v>150</v>
      </c>
      <c r="K34" s="221">
        <f ca="1">IF(INDIRECT("Lifting!R32")="","",ABS(INDIRECT("Lifting!R32")))</f>
        <v>155</v>
      </c>
      <c r="L34" s="221">
        <f ca="1">IF(INDIRECT("Lifting!S32")="","",ABS(INDIRECT("Lifting!S32")))</f>
        <v>157.5</v>
      </c>
      <c r="M34" s="221">
        <f ca="1">IF(INDIRECT("Lifting!V32")="","",ABS(INDIRECT("Lifting!V32")))</f>
        <v>200</v>
      </c>
      <c r="N34" s="221">
        <f ca="1">IF(INDIRECT("Lifting!W32")="","",ABS(INDIRECT("Lifting!W32")))</f>
        <v>215</v>
      </c>
      <c r="O34" s="221">
        <f ca="1">IF(INDIRECT("Lifting!X32")="","",ABS(INDIRECT("Lifting!X32")))</f>
        <v>222.5</v>
      </c>
      <c r="P34" s="221">
        <f ca="1">IF(INDIRECT("Lifting!O32")+INDIRECT("Lifting!T32")+INDIRECT("Lifting!Y32")&gt;0,INDIRECT("Lifting!O32")+INDIRECT("Lifting!T32")+INDIRECT("Lifting!Y32"),"")</f>
        <v>567.5</v>
      </c>
      <c r="Q34" s="222">
        <f ca="1">IF(P34="","",P34*INDIRECT("Lifting!H32"))</f>
        <v>356.04948922991753</v>
      </c>
      <c r="R34" s="207"/>
    </row>
    <row r="35" spans="2:18" ht="15" x14ac:dyDescent="0.2">
      <c r="B35" s="276" t="str">
        <f ca="1">IF(INDIRECT("Lifting!A33")="","",INDIRECT("Lifting!A33"))</f>
        <v>D</v>
      </c>
      <c r="C35" s="276">
        <f ca="1">IF(INDIRECT("Lifting!G33")="","",INDIRECT("Lifting!G33"))</f>
        <v>57</v>
      </c>
      <c r="D35" s="276" t="str">
        <f ca="1">IF(INDIRECT("Lifting!B33")="","",INDIRECT("Lifting!B33"))</f>
        <v>Johan Lindh</v>
      </c>
      <c r="E35" s="276" t="str">
        <f ca="1">IF(INDIRECT("Lifting!C33")="","",INDIRECT("Lifting!C33"))</f>
        <v>GKK</v>
      </c>
      <c r="F35" s="278">
        <f ca="1">IF(INDIRECT("Lifting!E33")="","",INDIRECT("Lifting!E33"))</f>
        <v>82.75</v>
      </c>
      <c r="G35" s="221">
        <f ca="1">IF(INDIRECT("Lifting!L33")="","",ABS(INDIRECT("Lifting!L33")))</f>
        <v>185</v>
      </c>
      <c r="H35" s="221">
        <f ca="1">IF(INDIRECT("Lifting!M33")="","",ABS(INDIRECT("Lifting!M33")))</f>
        <v>195</v>
      </c>
      <c r="I35" s="221">
        <f ca="1">IF(INDIRECT("Lifting!N33")="","",ABS(INDIRECT("Lifting!N33")))</f>
        <v>205</v>
      </c>
      <c r="J35" s="221">
        <f ca="1">IF(INDIRECT("Lifting!Q33")="","",ABS(INDIRECT("Lifting!Q33")))</f>
        <v>120</v>
      </c>
      <c r="K35" s="221">
        <f ca="1">IF(INDIRECT("Lifting!R33")="","",ABS(INDIRECT("Lifting!R33")))</f>
        <v>127.5</v>
      </c>
      <c r="L35" s="221" t="str">
        <f ca="1">IF(INDIRECT("Lifting!S33")="","",ABS(INDIRECT("Lifting!S33")))</f>
        <v/>
      </c>
      <c r="M35" s="221">
        <f ca="1">IF(INDIRECT("Lifting!V33")="","",ABS(INDIRECT("Lifting!V33")))</f>
        <v>190</v>
      </c>
      <c r="N35" s="221">
        <f ca="1">IF(INDIRECT("Lifting!W33")="","",ABS(INDIRECT("Lifting!W33")))</f>
        <v>205</v>
      </c>
      <c r="O35" s="221">
        <f ca="1">IF(INDIRECT("Lifting!X33")="","",ABS(INDIRECT("Lifting!X33")))</f>
        <v>205</v>
      </c>
      <c r="P35" s="221">
        <f ca="1">IF(INDIRECT("Lifting!O33")+INDIRECT("Lifting!T33")+INDIRECT("Lifting!Y33")&gt;0,INDIRECT("Lifting!O33")+INDIRECT("Lifting!T33")+INDIRECT("Lifting!Y33"),"")</f>
        <v>537.5</v>
      </c>
      <c r="Q35" s="222">
        <f ca="1">IF(P35="","",P35*INDIRECT("Lifting!H33"))</f>
        <v>359.42623913288116</v>
      </c>
      <c r="R35" s="207"/>
    </row>
    <row r="36" spans="2:18" ht="15" x14ac:dyDescent="0.2">
      <c r="B36" s="276" t="str">
        <f ca="1">IF(INDIRECT("Lifting!A34")="","",INDIRECT("Lifting!A34"))</f>
        <v>D</v>
      </c>
      <c r="C36" s="276">
        <f ca="1">IF(INDIRECT("Lifting!G34")="","",INDIRECT("Lifting!G34"))</f>
        <v>3</v>
      </c>
      <c r="D36" s="276" t="str">
        <f ca="1">IF(INDIRECT("Lifting!B34")="","",INDIRECT("Lifting!B34"))</f>
        <v>Dag Stordalen</v>
      </c>
      <c r="E36" s="276" t="str">
        <f ca="1">IF(INDIRECT("Lifting!C34")="","",INDIRECT("Lifting!C34"))</f>
        <v>BAK</v>
      </c>
      <c r="F36" s="278">
        <f ca="1">IF(INDIRECT("Lifting!E34")="","",INDIRECT("Lifting!E34"))</f>
        <v>92.3</v>
      </c>
      <c r="G36" s="221">
        <f ca="1">IF(INDIRECT("Lifting!L34")="","",ABS(INDIRECT("Lifting!L34")))</f>
        <v>195</v>
      </c>
      <c r="H36" s="221">
        <f ca="1">IF(INDIRECT("Lifting!M34")="","",ABS(INDIRECT("Lifting!M34")))</f>
        <v>212.5</v>
      </c>
      <c r="I36" s="221">
        <f ca="1">IF(INDIRECT("Lifting!N34")="","",ABS(INDIRECT("Lifting!N34")))</f>
        <v>215</v>
      </c>
      <c r="J36" s="221">
        <f ca="1">IF(INDIRECT("Lifting!Q34")="","",ABS(INDIRECT("Lifting!Q34")))</f>
        <v>137.5</v>
      </c>
      <c r="K36" s="221">
        <f ca="1">IF(INDIRECT("Lifting!R34")="","",ABS(INDIRECT("Lifting!R34")))</f>
        <v>142.5</v>
      </c>
      <c r="L36" s="221">
        <f ca="1">IF(INDIRECT("Lifting!S34")="","",ABS(INDIRECT("Lifting!S34")))</f>
        <v>145</v>
      </c>
      <c r="M36" s="221">
        <f ca="1">IF(INDIRECT("Lifting!V34")="","",ABS(INDIRECT("Lifting!V34")))</f>
        <v>220</v>
      </c>
      <c r="N36" s="221">
        <f ca="1">IF(INDIRECT("Lifting!W34")="","",ABS(INDIRECT("Lifting!W34")))</f>
        <v>235</v>
      </c>
      <c r="O36" s="221">
        <f ca="1">IF(INDIRECT("Lifting!X34")="","",ABS(INDIRECT("Lifting!X34")))</f>
        <v>242.5</v>
      </c>
      <c r="P36" s="221">
        <f ca="1">IF(INDIRECT("Lifting!O34")+INDIRECT("Lifting!T34")+INDIRECT("Lifting!Y34")&gt;0,INDIRECT("Lifting!O34")+INDIRECT("Lifting!T34")+INDIRECT("Lifting!Y34"),"")</f>
        <v>592.5</v>
      </c>
      <c r="Q36" s="222">
        <f ca="1">IF(P36="","",P36*INDIRECT("Lifting!H34"))</f>
        <v>373.57126101851463</v>
      </c>
      <c r="R36" s="207"/>
    </row>
    <row r="37" spans="2:18" ht="15" x14ac:dyDescent="0.2">
      <c r="B37" s="276" t="str">
        <f ca="1">IF(INDIRECT("Lifting!A35")="","",INDIRECT("Lifting!A35"))</f>
        <v>D</v>
      </c>
      <c r="C37" s="276">
        <f ca="1">IF(INDIRECT("Lifting!G35")="","",INDIRECT("Lifting!G35"))</f>
        <v>20</v>
      </c>
      <c r="D37" s="276" t="str">
        <f ca="1">IF(INDIRECT("Lifting!B35")="","",INDIRECT("Lifting!B35"))</f>
        <v>Victor Alriksson</v>
      </c>
      <c r="E37" s="276" t="str">
        <f ca="1">IF(INDIRECT("Lifting!C35")="","",INDIRECT("Lifting!C35"))</f>
        <v>BAK</v>
      </c>
      <c r="F37" s="278">
        <f ca="1">IF(INDIRECT("Lifting!E35")="","",INDIRECT("Lifting!E35"))</f>
        <v>92.35</v>
      </c>
      <c r="G37" s="221">
        <f ca="1">IF(INDIRECT("Lifting!L35")="","",ABS(INDIRECT("Lifting!L35")))</f>
        <v>195</v>
      </c>
      <c r="H37" s="221">
        <f ca="1">IF(INDIRECT("Lifting!M35")="","",ABS(INDIRECT("Lifting!M35")))</f>
        <v>207.5</v>
      </c>
      <c r="I37" s="221">
        <f ca="1">IF(INDIRECT("Lifting!N35")="","",ABS(INDIRECT("Lifting!N35")))</f>
        <v>215</v>
      </c>
      <c r="J37" s="221">
        <f ca="1">IF(INDIRECT("Lifting!Q35")="","",ABS(INDIRECT("Lifting!Q35")))</f>
        <v>115</v>
      </c>
      <c r="K37" s="221">
        <f ca="1">IF(INDIRECT("Lifting!R35")="","",ABS(INDIRECT("Lifting!R35")))</f>
        <v>120</v>
      </c>
      <c r="L37" s="221">
        <f ca="1">IF(INDIRECT("Lifting!S35")="","",ABS(INDIRECT("Lifting!S35")))</f>
        <v>125</v>
      </c>
      <c r="M37" s="221">
        <f ca="1">IF(INDIRECT("Lifting!V35")="","",ABS(INDIRECT("Lifting!V35")))</f>
        <v>245</v>
      </c>
      <c r="N37" s="221">
        <f ca="1">IF(INDIRECT("Lifting!W35")="","",ABS(INDIRECT("Lifting!W35")))</f>
        <v>260</v>
      </c>
      <c r="O37" s="221">
        <f ca="1">IF(INDIRECT("Lifting!X35")="","",ABS(INDIRECT("Lifting!X35")))</f>
        <v>270</v>
      </c>
      <c r="P37" s="221">
        <f ca="1">IF(INDIRECT("Lifting!O35")+INDIRECT("Lifting!T35")+INDIRECT("Lifting!Y35")&gt;0,INDIRECT("Lifting!O35")+INDIRECT("Lifting!T35")+INDIRECT("Lifting!Y35"),"")</f>
        <v>610</v>
      </c>
      <c r="Q37" s="222">
        <f ca="1">IF(P37="","",P37*INDIRECT("Lifting!H35"))</f>
        <v>384.4829910993576</v>
      </c>
      <c r="R37" s="207"/>
    </row>
    <row r="38" spans="2:18" ht="15" x14ac:dyDescent="0.2">
      <c r="B38" s="276" t="str">
        <f ca="1">IF(INDIRECT("Lifting!A36")="","",INDIRECT("Lifting!A36"))</f>
        <v>D</v>
      </c>
      <c r="C38" s="276">
        <f ca="1">IF(INDIRECT("Lifting!G36")="","",INDIRECT("Lifting!G36"))</f>
        <v>50</v>
      </c>
      <c r="D38" s="276" t="str">
        <f ca="1">IF(INDIRECT("Lifting!B36")="","",INDIRECT("Lifting!B36"))</f>
        <v>Josef Sundberg</v>
      </c>
      <c r="E38" s="276" t="str">
        <f ca="1">IF(INDIRECT("Lifting!C36")="","",INDIRECT("Lifting!C36"))</f>
        <v>SKK</v>
      </c>
      <c r="F38" s="278">
        <f ca="1">IF(INDIRECT("Lifting!E36")="","",INDIRECT("Lifting!E36"))</f>
        <v>89.1</v>
      </c>
      <c r="G38" s="221">
        <f ca="1">IF(INDIRECT("Lifting!L36")="","",ABS(INDIRECT("Lifting!L36")))</f>
        <v>200</v>
      </c>
      <c r="H38" s="221">
        <f ca="1">IF(INDIRECT("Lifting!M36")="","",ABS(INDIRECT("Lifting!M36")))</f>
        <v>212.5</v>
      </c>
      <c r="I38" s="221">
        <f ca="1">IF(INDIRECT("Lifting!N36")="","",ABS(INDIRECT("Lifting!N36")))</f>
        <v>220</v>
      </c>
      <c r="J38" s="221">
        <f ca="1">IF(INDIRECT("Lifting!Q36")="","",ABS(INDIRECT("Lifting!Q36")))</f>
        <v>140</v>
      </c>
      <c r="K38" s="221">
        <f ca="1">IF(INDIRECT("Lifting!R36")="","",ABS(INDIRECT("Lifting!R36")))</f>
        <v>147.5</v>
      </c>
      <c r="L38" s="221">
        <f ca="1">IF(INDIRECT("Lifting!S36")="","",ABS(INDIRECT("Lifting!S36")))</f>
        <v>147.5</v>
      </c>
      <c r="M38" s="221">
        <f ca="1">IF(INDIRECT("Lifting!V36")="","",ABS(INDIRECT("Lifting!V36")))</f>
        <v>235</v>
      </c>
      <c r="N38" s="221">
        <f ca="1">IF(INDIRECT("Lifting!W36")="","",ABS(INDIRECT("Lifting!W36")))</f>
        <v>250</v>
      </c>
      <c r="O38" s="221">
        <f ca="1">IF(INDIRECT("Lifting!X36")="","",ABS(INDIRECT("Lifting!X36")))</f>
        <v>265</v>
      </c>
      <c r="P38" s="221">
        <f ca="1">IF(INDIRECT("Lifting!O36")+INDIRECT("Lifting!T36")+INDIRECT("Lifting!Y36")&gt;0,INDIRECT("Lifting!O36")+INDIRECT("Lifting!T36")+INDIRECT("Lifting!Y36"),"")</f>
        <v>625</v>
      </c>
      <c r="Q38" s="222">
        <f ca="1">IF(P38="","",P38*INDIRECT("Lifting!H36"))</f>
        <v>401.06251835823059</v>
      </c>
      <c r="R38" s="207"/>
    </row>
    <row r="39" spans="2:18" ht="15" x14ac:dyDescent="0.2">
      <c r="B39" s="276" t="str">
        <f ca="1">IF(INDIRECT("Lifting!A37")="","",INDIRECT("Lifting!A37"))</f>
        <v>D</v>
      </c>
      <c r="C39" s="276">
        <f ca="1">IF(INDIRECT("Lifting!G37")="","",INDIRECT("Lifting!G37"))</f>
        <v>12</v>
      </c>
      <c r="D39" s="276" t="str">
        <f ca="1">IF(INDIRECT("Lifting!B37")="","",INDIRECT("Lifting!B37"))</f>
        <v>Andreas Ekström</v>
      </c>
      <c r="E39" s="276" t="str">
        <f ca="1">IF(INDIRECT("Lifting!C37")="","",INDIRECT("Lifting!C37"))</f>
        <v>BAK</v>
      </c>
      <c r="F39" s="278">
        <f ca="1">IF(INDIRECT("Lifting!E37")="","",INDIRECT("Lifting!E37"))</f>
        <v>89.1</v>
      </c>
      <c r="G39" s="221">
        <f ca="1">IF(INDIRECT("Lifting!L37")="","",ABS(INDIRECT("Lifting!L37")))</f>
        <v>217.5</v>
      </c>
      <c r="H39" s="221">
        <f ca="1">IF(INDIRECT("Lifting!M37")="","",ABS(INDIRECT("Lifting!M37")))</f>
        <v>225</v>
      </c>
      <c r="I39" s="221">
        <f ca="1">IF(INDIRECT("Lifting!N37")="","",ABS(INDIRECT("Lifting!N37")))</f>
        <v>230</v>
      </c>
      <c r="J39" s="221">
        <f ca="1">IF(INDIRECT("Lifting!Q37")="","",ABS(INDIRECT("Lifting!Q37")))</f>
        <v>145</v>
      </c>
      <c r="K39" s="221">
        <f ca="1">IF(INDIRECT("Lifting!R37")="","",ABS(INDIRECT("Lifting!R37")))</f>
        <v>155</v>
      </c>
      <c r="L39" s="221" t="str">
        <f ca="1">IF(INDIRECT("Lifting!S37")="","",ABS(INDIRECT("Lifting!S37")))</f>
        <v/>
      </c>
      <c r="M39" s="221">
        <f ca="1">IF(INDIRECT("Lifting!V37")="","",ABS(INDIRECT("Lifting!V37")))</f>
        <v>240</v>
      </c>
      <c r="N39" s="221">
        <f ca="1">IF(INDIRECT("Lifting!W37")="","",ABS(INDIRECT("Lifting!W37")))</f>
        <v>250</v>
      </c>
      <c r="O39" s="221">
        <f ca="1">IF(INDIRECT("Lifting!X37")="","",ABS(INDIRECT("Lifting!X37")))</f>
        <v>260</v>
      </c>
      <c r="P39" s="221">
        <f ca="1">IF(INDIRECT("Lifting!O37")+INDIRECT("Lifting!T37")+INDIRECT("Lifting!Y37")&gt;0,INDIRECT("Lifting!O37")+INDIRECT("Lifting!T37")+INDIRECT("Lifting!Y37"),"")</f>
        <v>645</v>
      </c>
      <c r="Q39" s="222">
        <f ca="1">IF(P39="","",P39*INDIRECT("Lifting!H37"))</f>
        <v>413.89651894569397</v>
      </c>
      <c r="R39" s="207"/>
    </row>
    <row r="40" spans="2:18" ht="15" x14ac:dyDescent="0.2">
      <c r="B40" s="276" t="str">
        <f ca="1">IF(INDIRECT("Lifting!A38")="","",INDIRECT("Lifting!A38"))</f>
        <v>D</v>
      </c>
      <c r="C40" s="276">
        <f ca="1">IF(INDIRECT("Lifting!G38")="","",INDIRECT("Lifting!G38"))</f>
        <v>17</v>
      </c>
      <c r="D40" s="276" t="str">
        <f ca="1">IF(INDIRECT("Lifting!B38")="","",INDIRECT("Lifting!B38"))</f>
        <v>Thomas Edvinsson</v>
      </c>
      <c r="E40" s="276" t="str">
        <f ca="1">IF(INDIRECT("Lifting!C38")="","",INDIRECT("Lifting!C38"))</f>
        <v>VAIS</v>
      </c>
      <c r="F40" s="278">
        <f ca="1">IF(INDIRECT("Lifting!E38")="","",INDIRECT("Lifting!E38"))</f>
        <v>92.7</v>
      </c>
      <c r="G40" s="221">
        <f ca="1">IF(INDIRECT("Lifting!L38")="","",ABS(INDIRECT("Lifting!L38")))</f>
        <v>230</v>
      </c>
      <c r="H40" s="221">
        <f ca="1">IF(INDIRECT("Lifting!M38")="","",ABS(INDIRECT("Lifting!M38")))</f>
        <v>240</v>
      </c>
      <c r="I40" s="221">
        <f ca="1">IF(INDIRECT("Lifting!N38")="","",ABS(INDIRECT("Lifting!N38")))</f>
        <v>250</v>
      </c>
      <c r="J40" s="221">
        <f ca="1">IF(INDIRECT("Lifting!Q38")="","",ABS(INDIRECT("Lifting!Q38")))</f>
        <v>160</v>
      </c>
      <c r="K40" s="221">
        <f ca="1">IF(INDIRECT("Lifting!R38")="","",ABS(INDIRECT("Lifting!R38")))</f>
        <v>170</v>
      </c>
      <c r="L40" s="221">
        <f ca="1">IF(INDIRECT("Lifting!S38")="","",ABS(INDIRECT("Lifting!S38")))</f>
        <v>175</v>
      </c>
      <c r="M40" s="221">
        <f ca="1">IF(INDIRECT("Lifting!V38")="","",ABS(INDIRECT("Lifting!V38")))</f>
        <v>230</v>
      </c>
      <c r="N40" s="221">
        <f ca="1">IF(INDIRECT("Lifting!W38")="","",ABS(INDIRECT("Lifting!W38")))</f>
        <v>240</v>
      </c>
      <c r="O40" s="221">
        <f ca="1">IF(INDIRECT("Lifting!X38")="","",ABS(INDIRECT("Lifting!X38")))</f>
        <v>250</v>
      </c>
      <c r="P40" s="221">
        <f ca="1">IF(INDIRECT("Lifting!O38")+INDIRECT("Lifting!T38")+INDIRECT("Lifting!Y38")&gt;0,INDIRECT("Lifting!O38")+INDIRECT("Lifting!T38")+INDIRECT("Lifting!Y38"),"")</f>
        <v>665</v>
      </c>
      <c r="Q40" s="222">
        <f ca="1">IF(P40="","",P40*INDIRECT("Lifting!H38"))</f>
        <v>418.41798782348633</v>
      </c>
      <c r="R40" s="207"/>
    </row>
    <row r="41" spans="2:18" ht="15" x14ac:dyDescent="0.2">
      <c r="B41" s="276" t="str">
        <f ca="1">IF(INDIRECT("Lifting!A39")="","",INDIRECT("Lifting!A39"))</f>
        <v>E</v>
      </c>
      <c r="C41" s="276">
        <f ca="1">IF(INDIRECT("Lifting!G39")="","",INDIRECT("Lifting!G39"))</f>
        <v>40</v>
      </c>
      <c r="D41" s="276" t="str">
        <f ca="1">IF(INDIRECT("Lifting!B39")="","",INDIRECT("Lifting!B39"))</f>
        <v>Dennis Torstensson</v>
      </c>
      <c r="E41" s="276" t="str">
        <f ca="1">IF(INDIRECT("Lifting!C39")="","",INDIRECT("Lifting!C39"))</f>
        <v>FTK</v>
      </c>
      <c r="F41" s="278">
        <f ca="1">IF(INDIRECT("Lifting!E39")="","",INDIRECT("Lifting!E39"))</f>
        <v>88.8</v>
      </c>
      <c r="G41" s="221">
        <f ca="1">IF(INDIRECT("Lifting!L39")="","",ABS(INDIRECT("Lifting!L39")))</f>
        <v>130</v>
      </c>
      <c r="H41" s="221">
        <f ca="1">IF(INDIRECT("Lifting!M39")="","",ABS(INDIRECT("Lifting!M39")))</f>
        <v>140</v>
      </c>
      <c r="I41" s="221">
        <f ca="1">IF(INDIRECT("Lifting!N39")="","",ABS(INDIRECT("Lifting!N39")))</f>
        <v>150</v>
      </c>
      <c r="J41" s="221">
        <f ca="1">IF(INDIRECT("Lifting!Q39")="","",ABS(INDIRECT("Lifting!Q39")))</f>
        <v>100</v>
      </c>
      <c r="K41" s="221">
        <f ca="1">IF(INDIRECT("Lifting!R39")="","",ABS(INDIRECT("Lifting!R39")))</f>
        <v>107.5</v>
      </c>
      <c r="L41" s="221">
        <f ca="1">IF(INDIRECT("Lifting!S39")="","",ABS(INDIRECT("Lifting!S39")))</f>
        <v>110</v>
      </c>
      <c r="M41" s="221">
        <f ca="1">IF(INDIRECT("Lifting!V39")="","",ABS(INDIRECT("Lifting!V39")))</f>
        <v>160</v>
      </c>
      <c r="N41" s="221">
        <f ca="1">IF(INDIRECT("Lifting!W39")="","",ABS(INDIRECT("Lifting!W39")))</f>
        <v>170</v>
      </c>
      <c r="O41" s="221">
        <f ca="1">IF(INDIRECT("Lifting!X39")="","",ABS(INDIRECT("Lifting!X39")))</f>
        <v>180</v>
      </c>
      <c r="P41" s="221">
        <f ca="1">IF(INDIRECT("Lifting!O39")+INDIRECT("Lifting!T39")+INDIRECT("Lifting!Y39")&gt;0,INDIRECT("Lifting!O39")+INDIRECT("Lifting!T39")+INDIRECT("Lifting!Y39"),"")</f>
        <v>440</v>
      </c>
      <c r="Q41" s="222">
        <f ca="1">IF(P41="","",P41*INDIRECT("Lifting!H39"))</f>
        <v>282.83198833465576</v>
      </c>
      <c r="R41" s="207"/>
    </row>
    <row r="42" spans="2:18" ht="15" x14ac:dyDescent="0.2">
      <c r="B42" s="276" t="str">
        <f ca="1">IF(INDIRECT("Lifting!A40")="","",INDIRECT("Lifting!A40"))</f>
        <v>E</v>
      </c>
      <c r="C42" s="276">
        <f ca="1">IF(INDIRECT("Lifting!G40")="","",INDIRECT("Lifting!G40"))</f>
        <v>7</v>
      </c>
      <c r="D42" s="276" t="str">
        <f ca="1">IF(INDIRECT("Lifting!B40")="","",INDIRECT("Lifting!B40"))</f>
        <v>Karl-Erik Lantz</v>
      </c>
      <c r="E42" s="276" t="str">
        <f ca="1">IF(INDIRECT("Lifting!C40")="","",INDIRECT("Lifting!C40"))</f>
        <v>PP</v>
      </c>
      <c r="F42" s="278">
        <f ca="1">IF(INDIRECT("Lifting!E40")="","",INDIRECT("Lifting!E40"))</f>
        <v>87.55</v>
      </c>
      <c r="G42" s="221">
        <f ca="1">IF(INDIRECT("Lifting!L40")="","",ABS(INDIRECT("Lifting!L40")))</f>
        <v>150</v>
      </c>
      <c r="H42" s="221">
        <f ca="1">IF(INDIRECT("Lifting!M40")="","",ABS(INDIRECT("Lifting!M40")))</f>
        <v>170</v>
      </c>
      <c r="I42" s="221">
        <f ca="1">IF(INDIRECT("Lifting!N40")="","",ABS(INDIRECT("Lifting!N40")))</f>
        <v>175</v>
      </c>
      <c r="J42" s="221">
        <f ca="1">IF(INDIRECT("Lifting!Q40")="","",ABS(INDIRECT("Lifting!Q40")))</f>
        <v>105</v>
      </c>
      <c r="K42" s="221">
        <f ca="1">IF(INDIRECT("Lifting!R40")="","",ABS(INDIRECT("Lifting!R40")))</f>
        <v>110</v>
      </c>
      <c r="L42" s="221">
        <f ca="1">IF(INDIRECT("Lifting!S40")="","",ABS(INDIRECT("Lifting!S40")))</f>
        <v>112.5</v>
      </c>
      <c r="M42" s="221">
        <f ca="1">IF(INDIRECT("Lifting!V40")="","",ABS(INDIRECT("Lifting!V40")))</f>
        <v>230</v>
      </c>
      <c r="N42" s="221">
        <f ca="1">IF(INDIRECT("Lifting!W40")="","",ABS(INDIRECT("Lifting!W40")))</f>
        <v>240</v>
      </c>
      <c r="O42" s="221">
        <f ca="1">IF(INDIRECT("Lifting!X40")="","",ABS(INDIRECT("Lifting!X40")))</f>
        <v>240</v>
      </c>
      <c r="P42" s="221">
        <f ca="1">IF(INDIRECT("Lifting!O40")+INDIRECT("Lifting!T40")+INDIRECT("Lifting!Y40")&gt;0,INDIRECT("Lifting!O40")+INDIRECT("Lifting!T40")+INDIRECT("Lifting!Y40"),"")</f>
        <v>510</v>
      </c>
      <c r="Q42" s="222">
        <f ca="1">IF(P42="","",P42*INDIRECT("Lifting!H40"))</f>
        <v>330.32700598239899</v>
      </c>
      <c r="R42" s="207"/>
    </row>
    <row r="43" spans="2:18" ht="15" x14ac:dyDescent="0.2">
      <c r="B43" s="276" t="str">
        <f ca="1">IF(INDIRECT("Lifting!A41")="","",INDIRECT("Lifting!A41"))</f>
        <v>E</v>
      </c>
      <c r="C43" s="276">
        <f ca="1">IF(INDIRECT("Lifting!G41")="","",INDIRECT("Lifting!G41"))</f>
        <v>28</v>
      </c>
      <c r="D43" s="276" t="str">
        <f ca="1">IF(INDIRECT("Lifting!B41")="","",INDIRECT("Lifting!B41"))</f>
        <v>Vincent Forsman</v>
      </c>
      <c r="E43" s="276" t="str">
        <f ca="1">IF(INDIRECT("Lifting!C41")="","",INDIRECT("Lifting!C41"))</f>
        <v>FTK</v>
      </c>
      <c r="F43" s="278">
        <f ca="1">IF(INDIRECT("Lifting!E41")="","",INDIRECT("Lifting!E41"))</f>
        <v>103.6</v>
      </c>
      <c r="G43" s="221">
        <f ca="1">IF(INDIRECT("Lifting!L41")="","",ABS(INDIRECT("Lifting!L41")))</f>
        <v>160</v>
      </c>
      <c r="H43" s="221">
        <f ca="1">IF(INDIRECT("Lifting!M41")="","",ABS(INDIRECT("Lifting!M41")))</f>
        <v>170</v>
      </c>
      <c r="I43" s="221">
        <f ca="1">IF(INDIRECT("Lifting!N41")="","",ABS(INDIRECT("Lifting!N41")))</f>
        <v>175</v>
      </c>
      <c r="J43" s="221">
        <f ca="1">IF(INDIRECT("Lifting!Q41")="","",ABS(INDIRECT("Lifting!Q41")))</f>
        <v>127.5</v>
      </c>
      <c r="K43" s="221">
        <f ca="1">IF(INDIRECT("Lifting!R41")="","",ABS(INDIRECT("Lifting!R41")))</f>
        <v>135</v>
      </c>
      <c r="L43" s="221">
        <f ca="1">IF(INDIRECT("Lifting!S41")="","",ABS(INDIRECT("Lifting!S41")))</f>
        <v>140</v>
      </c>
      <c r="M43" s="221">
        <f ca="1">IF(INDIRECT("Lifting!V41")="","",ABS(INDIRECT("Lifting!V41")))</f>
        <v>200</v>
      </c>
      <c r="N43" s="221">
        <f ca="1">IF(INDIRECT("Lifting!W41")="","",ABS(INDIRECT("Lifting!W41")))</f>
        <v>230</v>
      </c>
      <c r="O43" s="221">
        <f ca="1">IF(INDIRECT("Lifting!X41")="","",ABS(INDIRECT("Lifting!X41")))</f>
        <v>230</v>
      </c>
      <c r="P43" s="221">
        <f ca="1">IF(INDIRECT("Lifting!O41")+INDIRECT("Lifting!T41")+INDIRECT("Lifting!Y41")&gt;0,INDIRECT("Lifting!O41")+INDIRECT("Lifting!T41")+INDIRECT("Lifting!Y41"),"")</f>
        <v>540</v>
      </c>
      <c r="Q43" s="222">
        <f ca="1">IF(P43="","",P43*INDIRECT("Lifting!H41"))</f>
        <v>324.21598434448242</v>
      </c>
      <c r="R43" s="207"/>
    </row>
    <row r="44" spans="2:18" ht="15" x14ac:dyDescent="0.2">
      <c r="B44" s="276" t="str">
        <f ca="1">IF(INDIRECT("Lifting!A42")="","",INDIRECT("Lifting!A42"))</f>
        <v>E</v>
      </c>
      <c r="C44" s="276">
        <f ca="1">IF(INDIRECT("Lifting!G42")="","",INDIRECT("Lifting!G42"))</f>
        <v>11</v>
      </c>
      <c r="D44" s="276" t="str">
        <f ca="1">IF(INDIRECT("Lifting!B42")="","",INDIRECT("Lifting!B42"))</f>
        <v>Stefan Ask</v>
      </c>
      <c r="E44" s="276" t="str">
        <f ca="1">IF(INDIRECT("Lifting!C42")="","",INDIRECT("Lifting!C42"))</f>
        <v>SKS</v>
      </c>
      <c r="F44" s="278">
        <f ca="1">IF(INDIRECT("Lifting!E42")="","",INDIRECT("Lifting!E42"))</f>
        <v>109.75</v>
      </c>
      <c r="G44" s="221">
        <f ca="1">IF(INDIRECT("Lifting!L42")="","",ABS(INDIRECT("Lifting!L42")))</f>
        <v>165</v>
      </c>
      <c r="H44" s="221">
        <f ca="1">IF(INDIRECT("Lifting!M42")="","",ABS(INDIRECT("Lifting!M42")))</f>
        <v>165</v>
      </c>
      <c r="I44" s="221">
        <f ca="1">IF(INDIRECT("Lifting!N42")="","",ABS(INDIRECT("Lifting!N42")))</f>
        <v>185</v>
      </c>
      <c r="J44" s="221">
        <f ca="1">IF(INDIRECT("Lifting!Q42")="","",ABS(INDIRECT("Lifting!Q42")))</f>
        <v>150</v>
      </c>
      <c r="K44" s="221">
        <f ca="1">IF(INDIRECT("Lifting!R42")="","",ABS(INDIRECT("Lifting!R42")))</f>
        <v>160</v>
      </c>
      <c r="L44" s="221">
        <f ca="1">IF(INDIRECT("Lifting!S42")="","",ABS(INDIRECT("Lifting!S42")))</f>
        <v>165</v>
      </c>
      <c r="M44" s="221">
        <f ca="1">IF(INDIRECT("Lifting!V42")="","",ABS(INDIRECT("Lifting!V42")))</f>
        <v>210</v>
      </c>
      <c r="N44" s="221">
        <f ca="1">IF(INDIRECT("Lifting!W42")="","",ABS(INDIRECT("Lifting!W42")))</f>
        <v>220</v>
      </c>
      <c r="O44" s="221" t="str">
        <f ca="1">IF(INDIRECT("Lifting!X42")="","",ABS(INDIRECT("Lifting!X42")))</f>
        <v/>
      </c>
      <c r="P44" s="221">
        <f ca="1">IF(INDIRECT("Lifting!O42")+INDIRECT("Lifting!T42")+INDIRECT("Lifting!Y42")&gt;0,INDIRECT("Lifting!O42")+INDIRECT("Lifting!T42")+INDIRECT("Lifting!Y42"),"")</f>
        <v>570</v>
      </c>
      <c r="Q44" s="222">
        <f ca="1">IF(P44="","",P44*INDIRECT("Lifting!H42"))</f>
        <v>335.67301690578461</v>
      </c>
      <c r="R44" s="207"/>
    </row>
    <row r="45" spans="2:18" ht="15" x14ac:dyDescent="0.2">
      <c r="B45" s="276" t="str">
        <f ca="1">IF(INDIRECT("Lifting!A43")="","",INDIRECT("Lifting!A43"))</f>
        <v>E</v>
      </c>
      <c r="C45" s="276">
        <f ca="1">IF(INDIRECT("Lifting!G43")="","",INDIRECT("Lifting!G43"))</f>
        <v>32</v>
      </c>
      <c r="D45" s="276" t="str">
        <f ca="1">IF(INDIRECT("Lifting!B43")="","",INDIRECT("Lifting!B43"))</f>
        <v>Torbjörn Johansson</v>
      </c>
      <c r="E45" s="276" t="str">
        <f ca="1">IF(INDIRECT("Lifting!C43")="","",INDIRECT("Lifting!C43"))</f>
        <v>VAIS</v>
      </c>
      <c r="F45" s="278">
        <f ca="1">IF(INDIRECT("Lifting!E43")="","",INDIRECT("Lifting!E43"))</f>
        <v>125.05</v>
      </c>
      <c r="G45" s="221">
        <f ca="1">IF(INDIRECT("Lifting!L43")="","",ABS(INDIRECT("Lifting!L43")))</f>
        <v>185</v>
      </c>
      <c r="H45" s="221">
        <f ca="1">IF(INDIRECT("Lifting!M43")="","",ABS(INDIRECT("Lifting!M43")))</f>
        <v>200</v>
      </c>
      <c r="I45" s="221">
        <f ca="1">IF(INDIRECT("Lifting!N43")="","",ABS(INDIRECT("Lifting!N43")))</f>
        <v>215</v>
      </c>
      <c r="J45" s="221">
        <f ca="1">IF(INDIRECT("Lifting!Q43")="","",ABS(INDIRECT("Lifting!Q43")))</f>
        <v>120</v>
      </c>
      <c r="K45" s="221">
        <f ca="1">IF(INDIRECT("Lifting!R43")="","",ABS(INDIRECT("Lifting!R43")))</f>
        <v>125</v>
      </c>
      <c r="L45" s="221">
        <f ca="1">IF(INDIRECT("Lifting!S43")="","",ABS(INDIRECT("Lifting!S43")))</f>
        <v>125</v>
      </c>
      <c r="M45" s="221">
        <f ca="1">IF(INDIRECT("Lifting!V43")="","",ABS(INDIRECT("Lifting!V43")))</f>
        <v>220</v>
      </c>
      <c r="N45" s="221">
        <f ca="1">IF(INDIRECT("Lifting!W43")="","",ABS(INDIRECT("Lifting!W43")))</f>
        <v>230</v>
      </c>
      <c r="O45" s="221" t="str">
        <f ca="1">IF(INDIRECT("Lifting!X43")="","",ABS(INDIRECT("Lifting!X43")))</f>
        <v/>
      </c>
      <c r="P45" s="221">
        <f ca="1">IF(INDIRECT("Lifting!O43")+INDIRECT("Lifting!T43")+INDIRECT("Lifting!Y43")&gt;0,INDIRECT("Lifting!O43")+INDIRECT("Lifting!T43")+INDIRECT("Lifting!Y43"),"")</f>
        <v>555</v>
      </c>
      <c r="Q45" s="222">
        <f ca="1">IF(P45="","",P45*INDIRECT("Lifting!H43"))</f>
        <v>316.23901069164276</v>
      </c>
      <c r="R45" s="207"/>
    </row>
    <row r="46" spans="2:18" ht="15" x14ac:dyDescent="0.2">
      <c r="B46" s="276" t="str">
        <f ca="1">IF(INDIRECT("Lifting!A44")="","",INDIRECT("Lifting!A44"))</f>
        <v>E</v>
      </c>
      <c r="C46" s="276">
        <f ca="1">IF(INDIRECT("Lifting!G44")="","",INDIRECT("Lifting!G44"))</f>
        <v>4</v>
      </c>
      <c r="D46" s="276" t="str">
        <f ca="1">IF(INDIRECT("Lifting!B44")="","",INDIRECT("Lifting!B44"))</f>
        <v>Håkan Ask</v>
      </c>
      <c r="E46" s="276" t="str">
        <f ca="1">IF(INDIRECT("Lifting!C44")="","",INDIRECT("Lifting!C44"))</f>
        <v>SKS</v>
      </c>
      <c r="F46" s="278">
        <f ca="1">IF(INDIRECT("Lifting!E44")="","",INDIRECT("Lifting!E44"))</f>
        <v>95.55</v>
      </c>
      <c r="G46" s="221">
        <f ca="1">IF(INDIRECT("Lifting!L44")="","",ABS(INDIRECT("Lifting!L44")))</f>
        <v>220</v>
      </c>
      <c r="H46" s="221">
        <f ca="1">IF(INDIRECT("Lifting!M44")="","",ABS(INDIRECT("Lifting!M44")))</f>
        <v>230</v>
      </c>
      <c r="I46" s="221">
        <f ca="1">IF(INDIRECT("Lifting!N44")="","",ABS(INDIRECT("Lifting!N44")))</f>
        <v>235</v>
      </c>
      <c r="J46" s="221">
        <f ca="1">IF(INDIRECT("Lifting!Q44")="","",ABS(INDIRECT("Lifting!Q44")))</f>
        <v>120</v>
      </c>
      <c r="K46" s="221">
        <f ca="1">IF(INDIRECT("Lifting!R44")="","",ABS(INDIRECT("Lifting!R44")))</f>
        <v>130</v>
      </c>
      <c r="L46" s="221">
        <f ca="1">IF(INDIRECT("Lifting!S44")="","",ABS(INDIRECT("Lifting!S44")))</f>
        <v>135</v>
      </c>
      <c r="M46" s="221">
        <f ca="1">IF(INDIRECT("Lifting!V44")="","",ABS(INDIRECT("Lifting!V44")))</f>
        <v>230</v>
      </c>
      <c r="N46" s="221">
        <f ca="1">IF(INDIRECT("Lifting!W44")="","",ABS(INDIRECT("Lifting!W44")))</f>
        <v>240</v>
      </c>
      <c r="O46" s="221" t="str">
        <f ca="1">IF(INDIRECT("Lifting!X44")="","",ABS(INDIRECT("Lifting!X44")))</f>
        <v/>
      </c>
      <c r="P46" s="221">
        <f ca="1">IF(INDIRECT("Lifting!O44")+INDIRECT("Lifting!T44")+INDIRECT("Lifting!Y44")&gt;0,INDIRECT("Lifting!O44")+INDIRECT("Lifting!T44")+INDIRECT("Lifting!Y44"),"")</f>
        <v>610</v>
      </c>
      <c r="Q46" s="222">
        <f ca="1">IF(P46="","",P46*INDIRECT("Lifting!H44"))</f>
        <v>378.44400703907013</v>
      </c>
      <c r="R46" s="207"/>
    </row>
    <row r="47" spans="2:18" ht="15" x14ac:dyDescent="0.2">
      <c r="B47" s="276" t="str">
        <f ca="1">IF(INDIRECT("Lifting!A45")="","",INDIRECT("Lifting!A45"))</f>
        <v>E</v>
      </c>
      <c r="C47" s="276">
        <f ca="1">IF(INDIRECT("Lifting!G45")="","",INDIRECT("Lifting!G45"))</f>
        <v>5</v>
      </c>
      <c r="D47" s="276" t="str">
        <f ca="1">IF(INDIRECT("Lifting!B45")="","",INDIRECT("Lifting!B45"))</f>
        <v>Erik Lidén</v>
      </c>
      <c r="E47" s="276" t="str">
        <f ca="1">IF(INDIRECT("Lifting!C45")="","",INDIRECT("Lifting!C45"))</f>
        <v>VAIS</v>
      </c>
      <c r="F47" s="278">
        <f ca="1">IF(INDIRECT("Lifting!E45")="","",INDIRECT("Lifting!E45"))</f>
        <v>123.9</v>
      </c>
      <c r="G47" s="221">
        <f ca="1">IF(INDIRECT("Lifting!L45")="","",ABS(INDIRECT("Lifting!L45")))</f>
        <v>235</v>
      </c>
      <c r="H47" s="221">
        <f ca="1">IF(INDIRECT("Lifting!M45")="","",ABS(INDIRECT("Lifting!M45")))</f>
        <v>250</v>
      </c>
      <c r="I47" s="221">
        <f ca="1">IF(INDIRECT("Lifting!N45")="","",ABS(INDIRECT("Lifting!N45")))</f>
        <v>260</v>
      </c>
      <c r="J47" s="221">
        <f ca="1">IF(INDIRECT("Lifting!Q45")="","",ABS(INDIRECT("Lifting!Q45")))</f>
        <v>150</v>
      </c>
      <c r="K47" s="221">
        <f ca="1">IF(INDIRECT("Lifting!R45")="","",ABS(INDIRECT("Lifting!R45")))</f>
        <v>155</v>
      </c>
      <c r="L47" s="221">
        <f ca="1">IF(INDIRECT("Lifting!S45")="","",ABS(INDIRECT("Lifting!S45")))</f>
        <v>160</v>
      </c>
      <c r="M47" s="221">
        <f ca="1">IF(INDIRECT("Lifting!V45")="","",ABS(INDIRECT("Lifting!V45")))</f>
        <v>265</v>
      </c>
      <c r="N47" s="221">
        <f ca="1">IF(INDIRECT("Lifting!W45")="","",ABS(INDIRECT("Lifting!W45")))</f>
        <v>280</v>
      </c>
      <c r="O47" s="221">
        <f ca="1">IF(INDIRECT("Lifting!X45")="","",ABS(INDIRECT("Lifting!X45")))</f>
        <v>290</v>
      </c>
      <c r="P47" s="221">
        <f ca="1">IF(INDIRECT("Lifting!O45")+INDIRECT("Lifting!T45")+INDIRECT("Lifting!Y45")&gt;0,INDIRECT("Lifting!O45")+INDIRECT("Lifting!T45")+INDIRECT("Lifting!Y45"),"")</f>
        <v>690</v>
      </c>
      <c r="Q47" s="222">
        <f ca="1">IF(P47="","",P47*INDIRECT("Lifting!H45"))</f>
        <v>393.92101585865021</v>
      </c>
      <c r="R47" s="207"/>
    </row>
    <row r="48" spans="2:18" ht="15" x14ac:dyDescent="0.2">
      <c r="B48" s="276" t="str">
        <f ca="1">IF(INDIRECT("Lifting!A46")="","",INDIRECT("Lifting!A46"))</f>
        <v>E</v>
      </c>
      <c r="C48" s="276">
        <f ca="1">IF(INDIRECT("Lifting!G46")="","",INDIRECT("Lifting!G46"))</f>
        <v>49</v>
      </c>
      <c r="D48" s="276" t="str">
        <f ca="1">IF(INDIRECT("Lifting!B46")="","",INDIRECT("Lifting!B46"))</f>
        <v>Jimmy Karlsson</v>
      </c>
      <c r="E48" s="276" t="str">
        <f ca="1">IF(INDIRECT("Lifting!C46")="","",INDIRECT("Lifting!C46"))</f>
        <v>SKS</v>
      </c>
      <c r="F48" s="278">
        <f ca="1">IF(INDIRECT("Lifting!E46")="","",INDIRECT("Lifting!E46"))</f>
        <v>92.65</v>
      </c>
      <c r="G48" s="221">
        <f ca="1">IF(INDIRECT("Lifting!L46")="","",ABS(INDIRECT("Lifting!L46")))</f>
        <v>240</v>
      </c>
      <c r="H48" s="221">
        <f ca="1">IF(INDIRECT("Lifting!M46")="","",ABS(INDIRECT("Lifting!M46")))</f>
        <v>260</v>
      </c>
      <c r="I48" s="221" t="str">
        <f ca="1">IF(INDIRECT("Lifting!N46")="","",ABS(INDIRECT("Lifting!N46")))</f>
        <v/>
      </c>
      <c r="J48" s="221">
        <f ca="1">IF(INDIRECT("Lifting!Q46")="","",ABS(INDIRECT("Lifting!Q46")))</f>
        <v>160</v>
      </c>
      <c r="K48" s="221">
        <f ca="1">IF(INDIRECT("Lifting!R46")="","",ABS(INDIRECT("Lifting!R46")))</f>
        <v>167.5</v>
      </c>
      <c r="L48" s="221" t="str">
        <f ca="1">IF(INDIRECT("Lifting!S46")="","",ABS(INDIRECT("Lifting!S46")))</f>
        <v/>
      </c>
      <c r="M48" s="221">
        <f ca="1">IF(INDIRECT("Lifting!V46")="","",ABS(INDIRECT("Lifting!V46")))</f>
        <v>290</v>
      </c>
      <c r="N48" s="221">
        <f ca="1">IF(INDIRECT("Lifting!W46")="","",ABS(INDIRECT("Lifting!W46")))</f>
        <v>327.5</v>
      </c>
      <c r="O48" s="221">
        <f ca="1">IF(INDIRECT("Lifting!X46")="","",ABS(INDIRECT("Lifting!X46")))</f>
        <v>332.5</v>
      </c>
      <c r="P48" s="221">
        <f ca="1">IF(INDIRECT("Lifting!O46")+INDIRECT("Lifting!T46")+INDIRECT("Lifting!Y46")&gt;0,INDIRECT("Lifting!O46")+INDIRECT("Lifting!T46")+INDIRECT("Lifting!Y46"),"")</f>
        <v>735</v>
      </c>
      <c r="Q48" s="222">
        <f ca="1">IF(P48="","",P48*INDIRECT("Lifting!H46"))</f>
        <v>462.53549873828888</v>
      </c>
      <c r="R48" s="207"/>
    </row>
    <row r="49" spans="2:18" ht="15" x14ac:dyDescent="0.2">
      <c r="B49" s="276" t="str">
        <f ca="1">IF(INDIRECT("Lifting!A47")="","",INDIRECT("Lifting!A47"))</f>
        <v>E</v>
      </c>
      <c r="C49" s="276">
        <f ca="1">IF(INDIRECT("Lifting!G47")="","",INDIRECT("Lifting!G47"))</f>
        <v>33</v>
      </c>
      <c r="D49" s="276" t="str">
        <f ca="1">IF(INDIRECT("Lifting!B47")="","",INDIRECT("Lifting!B47"))</f>
        <v>Tomas Andersson</v>
      </c>
      <c r="E49" s="276" t="str">
        <f ca="1">IF(INDIRECT("Lifting!C47")="","",INDIRECT("Lifting!C47"))</f>
        <v>VAIS</v>
      </c>
      <c r="F49" s="278">
        <f ca="1">IF(INDIRECT("Lifting!E47")="","",INDIRECT("Lifting!E47"))</f>
        <v>116.45</v>
      </c>
      <c r="G49" s="221">
        <f ca="1">IF(INDIRECT("Lifting!L47")="","",ABS(INDIRECT("Lifting!L47")))</f>
        <v>250</v>
      </c>
      <c r="H49" s="221">
        <f ca="1">IF(INDIRECT("Lifting!M47")="","",ABS(INDIRECT("Lifting!M47")))</f>
        <v>260</v>
      </c>
      <c r="I49" s="221">
        <f ca="1">IF(INDIRECT("Lifting!N47")="","",ABS(INDIRECT("Lifting!N47")))</f>
        <v>270</v>
      </c>
      <c r="J49" s="221">
        <f ca="1">IF(INDIRECT("Lifting!Q47")="","",ABS(INDIRECT("Lifting!Q47")))</f>
        <v>110</v>
      </c>
      <c r="K49" s="221">
        <f ca="1">IF(INDIRECT("Lifting!R47")="","",ABS(INDIRECT("Lifting!R47")))</f>
        <v>115</v>
      </c>
      <c r="L49" s="221" t="str">
        <f ca="1">IF(INDIRECT("Lifting!S47")="","",ABS(INDIRECT("Lifting!S47")))</f>
        <v/>
      </c>
      <c r="M49" s="221">
        <f ca="1">IF(INDIRECT("Lifting!V47")="","",ABS(INDIRECT("Lifting!V47")))</f>
        <v>270</v>
      </c>
      <c r="N49" s="221">
        <f ca="1">IF(INDIRECT("Lifting!W47")="","",ABS(INDIRECT("Lifting!W47")))</f>
        <v>280</v>
      </c>
      <c r="O49" s="221">
        <f ca="1">IF(INDIRECT("Lifting!X47")="","",ABS(INDIRECT("Lifting!X47")))</f>
        <v>285</v>
      </c>
      <c r="P49" s="221">
        <f ca="1">IF(INDIRECT("Lifting!O47")+INDIRECT("Lifting!T47")+INDIRECT("Lifting!Y47")&gt;0,INDIRECT("Lifting!O47")+INDIRECT("Lifting!T47")+INDIRECT("Lifting!Y47"),"")</f>
        <v>655</v>
      </c>
      <c r="Q49" s="222">
        <f ca="1">IF(P49="","",P49*INDIRECT("Lifting!H47"))</f>
        <v>379.37601923942566</v>
      </c>
      <c r="R49" s="207"/>
    </row>
    <row r="50" spans="2:18" ht="15" x14ac:dyDescent="0.2">
      <c r="B50" s="276" t="str">
        <f ca="1">IF(INDIRECT("Lifting!A48")="","",INDIRECT("Lifting!A48"))</f>
        <v>E</v>
      </c>
      <c r="C50" s="276">
        <f ca="1">IF(INDIRECT("Lifting!G48")="","",INDIRECT("Lifting!G48"))</f>
        <v>27</v>
      </c>
      <c r="D50" s="276" t="str">
        <f ca="1">IF(INDIRECT("Lifting!B48")="","",INDIRECT("Lifting!B48"))</f>
        <v>Johnny Berntsson</v>
      </c>
      <c r="E50" s="276" t="str">
        <f ca="1">IF(INDIRECT("Lifting!C48")="","",INDIRECT("Lifting!C48"))</f>
        <v>VAIS</v>
      </c>
      <c r="F50" s="278">
        <f ca="1">IF(INDIRECT("Lifting!E48")="","",INDIRECT("Lifting!E48"))</f>
        <v>131.69999999999999</v>
      </c>
      <c r="G50" s="221">
        <f ca="1">IF(INDIRECT("Lifting!L48")="","",ABS(INDIRECT("Lifting!L48")))</f>
        <v>260</v>
      </c>
      <c r="H50" s="221">
        <f ca="1">IF(INDIRECT("Lifting!M48")="","",ABS(INDIRECT("Lifting!M48")))</f>
        <v>275</v>
      </c>
      <c r="I50" s="221">
        <f ca="1">IF(INDIRECT("Lifting!N48")="","",ABS(INDIRECT("Lifting!N48")))</f>
        <v>290</v>
      </c>
      <c r="J50" s="221">
        <f ca="1">IF(INDIRECT("Lifting!Q48")="","",ABS(INDIRECT("Lifting!Q48")))</f>
        <v>160</v>
      </c>
      <c r="K50" s="221">
        <f ca="1">IF(INDIRECT("Lifting!R48")="","",ABS(INDIRECT("Lifting!R48")))</f>
        <v>167.5</v>
      </c>
      <c r="L50" s="221">
        <f ca="1">IF(INDIRECT("Lifting!S48")="","",ABS(INDIRECT("Lifting!S48")))</f>
        <v>175</v>
      </c>
      <c r="M50" s="221">
        <f ca="1">IF(INDIRECT("Lifting!V48")="","",ABS(INDIRECT("Lifting!V48")))</f>
        <v>300</v>
      </c>
      <c r="N50" s="221">
        <f ca="1">IF(INDIRECT("Lifting!W48")="","",ABS(INDIRECT("Lifting!W48")))</f>
        <v>315</v>
      </c>
      <c r="O50" s="221">
        <f ca="1">IF(INDIRECT("Lifting!X48")="","",ABS(INDIRECT("Lifting!X48")))</f>
        <v>325</v>
      </c>
      <c r="P50" s="221">
        <f ca="1">IF(INDIRECT("Lifting!O48")+INDIRECT("Lifting!T48")+INDIRECT("Lifting!Y48")&gt;0,INDIRECT("Lifting!O48")+INDIRECT("Lifting!T48")+INDIRECT("Lifting!Y48"),"")</f>
        <v>790</v>
      </c>
      <c r="Q50" s="222">
        <f ca="1">IF(P50="","",P50*INDIRECT("Lifting!H48"))</f>
        <v>445.7970005273819</v>
      </c>
      <c r="R50" s="207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75" t="s">
        <v>107</v>
      </c>
      <c r="F1" s="376"/>
      <c r="G1" s="375" t="s">
        <v>108</v>
      </c>
      <c r="H1" s="376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73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73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73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73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73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73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73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73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73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73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73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73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73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73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73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73"/>
      <c r="E18" s="374" t="s">
        <v>104</v>
      </c>
      <c r="F18" s="374"/>
      <c r="G18" s="374"/>
      <c r="H18" s="374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73"/>
      <c r="E19" s="374"/>
      <c r="F19" s="374"/>
      <c r="G19" s="374"/>
      <c r="H19" s="374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73"/>
      <c r="E20" s="374"/>
      <c r="F20" s="374"/>
      <c r="G20" s="374"/>
      <c r="H20" s="374"/>
    </row>
    <row r="21" spans="1:24" x14ac:dyDescent="0.2">
      <c r="A21" s="27">
        <v>48</v>
      </c>
      <c r="B21" s="27">
        <v>1.097</v>
      </c>
      <c r="C21" s="373"/>
    </row>
    <row r="22" spans="1:24" x14ac:dyDescent="0.2">
      <c r="A22" s="27">
        <v>49</v>
      </c>
      <c r="B22" s="27">
        <v>1.113</v>
      </c>
      <c r="C22" s="373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</row>
    <row r="2" spans="1:28" ht="12.75" customHeight="1" x14ac:dyDescent="1.1499999999999999">
      <c r="A2" s="228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5"/>
      <c r="AA2" s="228"/>
      <c r="AB2" s="228"/>
    </row>
    <row r="3" spans="1:28" ht="12.75" customHeight="1" x14ac:dyDescent="1.1499999999999999">
      <c r="A3" s="228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5"/>
      <c r="AA3" s="228"/>
      <c r="AB3" s="228"/>
    </row>
    <row r="4" spans="1:28" ht="12.75" customHeight="1" x14ac:dyDescent="1.1499999999999999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5"/>
      <c r="AA4" s="228"/>
      <c r="AB4" s="228"/>
    </row>
    <row r="5" spans="1:28" ht="12.75" customHeight="1" x14ac:dyDescent="1.1499999999999999">
      <c r="A5" s="228"/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5"/>
      <c r="AA5" s="228"/>
      <c r="AB5" s="228"/>
    </row>
    <row r="6" spans="1:28" ht="12.75" customHeight="1" x14ac:dyDescent="1.1499999999999999">
      <c r="A6" s="228"/>
      <c r="B6" s="227"/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27"/>
      <c r="S6" s="227"/>
      <c r="T6" s="225"/>
      <c r="AA6" s="228"/>
      <c r="AB6" s="228"/>
    </row>
    <row r="7" spans="1:28" ht="12.75" customHeight="1" x14ac:dyDescent="1.1499999999999999">
      <c r="A7" s="228"/>
      <c r="B7" s="227"/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5"/>
      <c r="AA7" s="228"/>
      <c r="AB7" s="228"/>
    </row>
    <row r="8" spans="1:28" ht="12.75" customHeight="1" x14ac:dyDescent="1.1499999999999999">
      <c r="A8" s="228"/>
      <c r="B8" s="227"/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5"/>
      <c r="AA8" s="228"/>
      <c r="AB8" s="228"/>
    </row>
    <row r="9" spans="1:28" ht="12.75" customHeight="1" x14ac:dyDescent="0.2">
      <c r="A9" s="228"/>
      <c r="B9" s="226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AA9" s="228"/>
      <c r="AB9" s="228"/>
    </row>
    <row r="10" spans="1:28" ht="12.75" customHeight="1" x14ac:dyDescent="0.2">
      <c r="A10" s="228"/>
      <c r="B10" s="380" t="str">
        <f ca="1">IF(Lifting!C2="","",CONCATENATE(ABS(Lifting!C2)," kg"))</f>
        <v>70 kg</v>
      </c>
      <c r="C10" s="380"/>
      <c r="D10" s="380"/>
      <c r="E10" s="380"/>
      <c r="F10" s="380"/>
      <c r="G10" s="380"/>
      <c r="H10" s="380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8"/>
      <c r="AB10" s="228"/>
    </row>
    <row r="11" spans="1:28" ht="12.75" customHeight="1" x14ac:dyDescent="0.2">
      <c r="A11" s="228"/>
      <c r="B11" s="380"/>
      <c r="C11" s="380"/>
      <c r="D11" s="380"/>
      <c r="E11" s="380"/>
      <c r="F11" s="380"/>
      <c r="G11" s="380"/>
      <c r="H11" s="380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8"/>
      <c r="AB11" s="228"/>
    </row>
    <row r="12" spans="1:28" ht="12.75" customHeight="1" x14ac:dyDescent="0.2">
      <c r="A12" s="228"/>
      <c r="B12" s="380"/>
      <c r="C12" s="380"/>
      <c r="D12" s="380"/>
      <c r="E12" s="380"/>
      <c r="F12" s="380"/>
      <c r="G12" s="380"/>
      <c r="H12" s="380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8"/>
      <c r="AB12" s="228"/>
    </row>
    <row r="13" spans="1:28" ht="12.75" customHeight="1" x14ac:dyDescent="0.2">
      <c r="A13" s="228"/>
      <c r="B13" s="380"/>
      <c r="C13" s="380"/>
      <c r="D13" s="380"/>
      <c r="E13" s="380"/>
      <c r="F13" s="380"/>
      <c r="G13" s="380"/>
      <c r="H13" s="380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8"/>
      <c r="AB13" s="228"/>
    </row>
    <row r="14" spans="1:28" ht="12.75" customHeight="1" x14ac:dyDescent="0.2">
      <c r="A14" s="228"/>
      <c r="B14" s="380"/>
      <c r="C14" s="380"/>
      <c r="D14" s="380"/>
      <c r="E14" s="380"/>
      <c r="F14" s="380"/>
      <c r="G14" s="380"/>
      <c r="H14" s="380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8"/>
      <c r="AB14" s="228"/>
    </row>
    <row r="15" spans="1:28" ht="12.75" customHeight="1" x14ac:dyDescent="0.2">
      <c r="A15" s="228"/>
      <c r="B15" s="380"/>
      <c r="C15" s="380"/>
      <c r="D15" s="380"/>
      <c r="E15" s="380"/>
      <c r="F15" s="380"/>
      <c r="G15" s="380"/>
      <c r="H15" s="380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8"/>
      <c r="AB15" s="228"/>
    </row>
    <row r="16" spans="1:28" ht="12.75" customHeight="1" x14ac:dyDescent="0.2">
      <c r="A16" s="228"/>
      <c r="B16" s="380"/>
      <c r="C16" s="380"/>
      <c r="D16" s="380"/>
      <c r="E16" s="380"/>
      <c r="F16" s="380"/>
      <c r="G16" s="380"/>
      <c r="H16" s="380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8"/>
      <c r="AB16" s="228"/>
    </row>
    <row r="17" spans="1:28" ht="12.75" customHeight="1" x14ac:dyDescent="0.2">
      <c r="A17" s="228"/>
      <c r="B17" s="380"/>
      <c r="C17" s="380"/>
      <c r="D17" s="380"/>
      <c r="E17" s="380"/>
      <c r="F17" s="380"/>
      <c r="G17" s="380"/>
      <c r="H17" s="380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8"/>
      <c r="AB17" s="228"/>
    </row>
    <row r="18" spans="1:28" ht="12.75" customHeight="1" x14ac:dyDescent="0.2">
      <c r="A18" s="228"/>
      <c r="B18" s="380"/>
      <c r="C18" s="380"/>
      <c r="D18" s="380"/>
      <c r="E18" s="380"/>
      <c r="F18" s="380"/>
      <c r="G18" s="380"/>
      <c r="H18" s="380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8"/>
      <c r="AB18" s="228"/>
    </row>
    <row r="19" spans="1:28" ht="12.75" customHeight="1" x14ac:dyDescent="0.2">
      <c r="A19" s="228"/>
      <c r="B19" s="380"/>
      <c r="C19" s="380"/>
      <c r="D19" s="380"/>
      <c r="E19" s="380"/>
      <c r="F19" s="380"/>
      <c r="G19" s="380"/>
      <c r="H19" s="380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8"/>
      <c r="AB19" s="228"/>
    </row>
    <row r="20" spans="1:28" ht="12.75" customHeight="1" x14ac:dyDescent="0.2">
      <c r="A20" s="228"/>
      <c r="B20" s="380"/>
      <c r="C20" s="380"/>
      <c r="D20" s="380"/>
      <c r="E20" s="380"/>
      <c r="F20" s="380"/>
      <c r="G20" s="380"/>
      <c r="H20" s="380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8"/>
      <c r="AB20" s="228"/>
    </row>
    <row r="21" spans="1:28" x14ac:dyDescent="0.2">
      <c r="A21" s="228"/>
      <c r="B21" s="379" t="str">
        <f ca="1">IF(Lifting!G4="","",CONCATENATE("Höjd: ",Lifting!G4))</f>
        <v>Höjd: 9</v>
      </c>
      <c r="C21" s="379"/>
      <c r="D21" s="379"/>
      <c r="E21" s="379"/>
      <c r="F21" s="379"/>
      <c r="G21" s="379"/>
      <c r="H21" s="37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8"/>
      <c r="AB21" s="228"/>
    </row>
    <row r="22" spans="1:28" x14ac:dyDescent="0.2">
      <c r="A22" s="228"/>
      <c r="B22" s="379"/>
      <c r="C22" s="379"/>
      <c r="D22" s="379"/>
      <c r="E22" s="379"/>
      <c r="F22" s="379"/>
      <c r="G22" s="379"/>
      <c r="H22" s="37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8"/>
      <c r="AB22" s="228"/>
    </row>
    <row r="23" spans="1:28" x14ac:dyDescent="0.2">
      <c r="A23" s="228"/>
      <c r="B23" s="379"/>
      <c r="C23" s="379"/>
      <c r="D23" s="379"/>
      <c r="E23" s="379"/>
      <c r="F23" s="379"/>
      <c r="G23" s="379"/>
      <c r="H23" s="37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8"/>
      <c r="AB23" s="228"/>
    </row>
    <row r="24" spans="1:28" x14ac:dyDescent="0.2">
      <c r="A24" s="228"/>
      <c r="B24" s="379"/>
      <c r="C24" s="379"/>
      <c r="D24" s="379"/>
      <c r="E24" s="379"/>
      <c r="F24" s="379"/>
      <c r="G24" s="379"/>
      <c r="H24" s="37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8"/>
      <c r="AB24" s="228"/>
    </row>
    <row r="25" spans="1:28" x14ac:dyDescent="0.2">
      <c r="A25" s="228"/>
      <c r="B25" s="379"/>
      <c r="C25" s="379"/>
      <c r="D25" s="379"/>
      <c r="E25" s="379"/>
      <c r="F25" s="379"/>
      <c r="G25" s="379"/>
      <c r="H25" s="37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8"/>
      <c r="AB25" s="228"/>
    </row>
    <row r="26" spans="1:28" x14ac:dyDescent="0.2">
      <c r="A26" s="228"/>
      <c r="B26" s="379"/>
      <c r="C26" s="379"/>
      <c r="D26" s="379"/>
      <c r="E26" s="379"/>
      <c r="F26" s="379"/>
      <c r="G26" s="379"/>
      <c r="H26" s="37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8"/>
      <c r="AB26" s="228"/>
    </row>
    <row r="27" spans="1:28" x14ac:dyDescent="0.2">
      <c r="A27" s="2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8"/>
      <c r="AB27" s="228"/>
    </row>
    <row r="28" spans="1:28" x14ac:dyDescent="0.2">
      <c r="A28" s="2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8"/>
      <c r="AB28" s="228"/>
    </row>
    <row r="29" spans="1:28" x14ac:dyDescent="0.2">
      <c r="A29" s="2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8"/>
      <c r="AB29" s="228"/>
    </row>
    <row r="30" spans="1:28" x14ac:dyDescent="0.2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</row>
    <row r="31" spans="1:28" x14ac:dyDescent="0.2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</row>
    <row r="32" spans="1:28" ht="12.75" customHeight="1" x14ac:dyDescent="0.2">
      <c r="A32" s="228"/>
      <c r="B32" s="378" t="str">
        <f ca="1">IF(Lists!P3="",,Lists!R38)</f>
        <v>Nästa vikt: 80</v>
      </c>
      <c r="C32" s="378"/>
      <c r="D32" s="378"/>
      <c r="E32" s="378"/>
      <c r="F32" s="378"/>
      <c r="G32" s="378"/>
      <c r="H32" s="378"/>
      <c r="I32" s="378"/>
      <c r="J32" s="378"/>
      <c r="K32" s="378"/>
      <c r="L32" s="377" t="str">
        <f ca="1">Lists!R39</f>
        <v>Nästa höjd: 6</v>
      </c>
      <c r="M32" s="377"/>
      <c r="N32" s="377"/>
      <c r="O32" s="377"/>
      <c r="P32" s="377"/>
      <c r="Q32" s="377"/>
      <c r="R32" s="377"/>
      <c r="S32" s="377"/>
      <c r="T32" s="228"/>
      <c r="U32" s="228"/>
      <c r="V32" s="228"/>
      <c r="W32" s="228"/>
      <c r="X32" s="228"/>
      <c r="Y32" s="228"/>
      <c r="Z32" s="228"/>
      <c r="AA32" s="228"/>
      <c r="AB32" s="228"/>
    </row>
    <row r="33" spans="1:28" ht="12.75" customHeight="1" x14ac:dyDescent="0.2">
      <c r="A33" s="228"/>
      <c r="B33" s="378"/>
      <c r="C33" s="378"/>
      <c r="D33" s="378"/>
      <c r="E33" s="378"/>
      <c r="F33" s="378"/>
      <c r="G33" s="378"/>
      <c r="H33" s="378"/>
      <c r="I33" s="378"/>
      <c r="J33" s="378"/>
      <c r="K33" s="378"/>
      <c r="L33" s="377"/>
      <c r="M33" s="377"/>
      <c r="N33" s="377"/>
      <c r="O33" s="377"/>
      <c r="P33" s="377"/>
      <c r="Q33" s="377"/>
      <c r="R33" s="377"/>
      <c r="S33" s="377"/>
      <c r="T33" s="228"/>
      <c r="U33" s="228"/>
      <c r="V33" s="228"/>
      <c r="W33" s="228"/>
      <c r="X33" s="228"/>
      <c r="Y33" s="228"/>
      <c r="Z33" s="228"/>
      <c r="AA33" s="228"/>
      <c r="AB33" s="228"/>
    </row>
    <row r="34" spans="1:28" ht="12.75" customHeight="1" x14ac:dyDescent="0.2">
      <c r="A34" s="228"/>
      <c r="B34" s="378"/>
      <c r="C34" s="378"/>
      <c r="D34" s="378"/>
      <c r="E34" s="378"/>
      <c r="F34" s="378"/>
      <c r="G34" s="378"/>
      <c r="H34" s="378"/>
      <c r="I34" s="378"/>
      <c r="J34" s="378"/>
      <c r="K34" s="378"/>
      <c r="L34" s="377"/>
      <c r="M34" s="377"/>
      <c r="N34" s="377"/>
      <c r="O34" s="377"/>
      <c r="P34" s="377"/>
      <c r="Q34" s="377"/>
      <c r="R34" s="377"/>
      <c r="S34" s="377"/>
      <c r="T34" s="228"/>
      <c r="U34" s="228"/>
      <c r="V34" s="228"/>
      <c r="W34" s="228"/>
      <c r="X34" s="228"/>
      <c r="Y34" s="228"/>
      <c r="Z34" s="228"/>
      <c r="AA34" s="228"/>
      <c r="AB34" s="228"/>
    </row>
    <row r="35" spans="1:28" ht="12.75" customHeight="1" x14ac:dyDescent="0.2">
      <c r="A35" s="228"/>
      <c r="B35" s="378"/>
      <c r="C35" s="378"/>
      <c r="D35" s="378"/>
      <c r="E35" s="378"/>
      <c r="F35" s="378"/>
      <c r="G35" s="378"/>
      <c r="H35" s="378"/>
      <c r="I35" s="378"/>
      <c r="J35" s="378"/>
      <c r="K35" s="378"/>
      <c r="L35" s="377"/>
      <c r="M35" s="377"/>
      <c r="N35" s="377"/>
      <c r="O35" s="377"/>
      <c r="P35" s="377"/>
      <c r="Q35" s="377"/>
      <c r="R35" s="377"/>
      <c r="S35" s="377"/>
      <c r="T35" s="228"/>
      <c r="U35" s="228"/>
      <c r="V35" s="228"/>
      <c r="W35" s="228"/>
      <c r="X35" s="228"/>
      <c r="Y35" s="228"/>
      <c r="Z35" s="228"/>
      <c r="AA35" s="228"/>
      <c r="AB35" s="228"/>
    </row>
    <row r="36" spans="1:28" ht="12.75" customHeight="1" x14ac:dyDescent="0.2">
      <c r="A36" s="228"/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7"/>
      <c r="M36" s="377"/>
      <c r="N36" s="377"/>
      <c r="O36" s="377"/>
      <c r="P36" s="377"/>
      <c r="Q36" s="377"/>
      <c r="R36" s="377"/>
      <c r="S36" s="377"/>
      <c r="T36" s="228"/>
      <c r="U36" s="228"/>
      <c r="V36" s="228"/>
      <c r="W36" s="228"/>
      <c r="X36" s="228"/>
      <c r="Y36" s="228"/>
      <c r="Z36" s="228"/>
      <c r="AA36" s="228"/>
      <c r="AB36" s="228"/>
    </row>
    <row r="37" spans="1:28" ht="12.75" customHeight="1" x14ac:dyDescent="0.2">
      <c r="A37" s="228"/>
      <c r="B37" s="378"/>
      <c r="C37" s="378"/>
      <c r="D37" s="378"/>
      <c r="E37" s="378"/>
      <c r="F37" s="378"/>
      <c r="G37" s="378"/>
      <c r="H37" s="378"/>
      <c r="I37" s="378"/>
      <c r="J37" s="378"/>
      <c r="K37" s="378"/>
      <c r="L37" s="377"/>
      <c r="M37" s="377"/>
      <c r="N37" s="377"/>
      <c r="O37" s="377"/>
      <c r="P37" s="377"/>
      <c r="Q37" s="377"/>
      <c r="R37" s="377"/>
      <c r="S37" s="377"/>
      <c r="T37" s="228"/>
      <c r="U37" s="228"/>
      <c r="V37" s="228"/>
      <c r="W37" s="228"/>
      <c r="X37" s="228"/>
      <c r="Y37" s="228"/>
      <c r="Z37" s="228"/>
      <c r="AA37" s="228"/>
      <c r="AB37" s="228"/>
    </row>
    <row r="38" spans="1:28" x14ac:dyDescent="0.2">
      <c r="A38" s="228"/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</row>
    <row r="39" spans="1:28" x14ac:dyDescent="0.2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</row>
    <row r="40" spans="1:28" x14ac:dyDescent="0.2">
      <c r="A40" s="228"/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</row>
    <row r="41" spans="1:28" x14ac:dyDescent="0.2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</row>
    <row r="42" spans="1:28" x14ac:dyDescent="0.2">
      <c r="A42" s="228"/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</row>
    <row r="43" spans="1:28" x14ac:dyDescent="0.2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</row>
    <row r="44" spans="1:28" x14ac:dyDescent="0.2">
      <c r="A44" s="228"/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</row>
    <row r="45" spans="1:28" x14ac:dyDescent="0.2">
      <c r="A45" s="228"/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</row>
    <row r="46" spans="1:28" x14ac:dyDescent="0.2">
      <c r="A46" s="228"/>
      <c r="B46" s="228"/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</row>
    <row r="47" spans="1:28" x14ac:dyDescent="0.2">
      <c r="A47" s="228"/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</row>
    <row r="48" spans="1:28" x14ac:dyDescent="0.2">
      <c r="A48" s="228"/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</row>
    <row r="49" spans="1:28" x14ac:dyDescent="0.2">
      <c r="A49" s="228"/>
      <c r="B49" s="228"/>
      <c r="C49" s="228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8"/>
      <c r="R49" s="228"/>
      <c r="S49" s="228"/>
      <c r="T49" s="228"/>
      <c r="U49" s="228"/>
      <c r="V49" s="228"/>
      <c r="W49" s="228"/>
      <c r="X49" s="228"/>
      <c r="Y49" s="228"/>
      <c r="Z49" s="228"/>
      <c r="AA49" s="228"/>
      <c r="AB49" s="228"/>
    </row>
    <row r="50" spans="1:28" x14ac:dyDescent="0.2">
      <c r="A50" s="228"/>
      <c r="B50" s="228"/>
      <c r="C50" s="228"/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28"/>
      <c r="AB50" s="228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zoomScaleNormal="100" workbookViewId="0"/>
  </sheetViews>
  <sheetFormatPr defaultRowHeight="15" x14ac:dyDescent="0.25"/>
  <cols>
    <col min="1" max="1" width="5.42578125" style="234" bestFit="1" customWidth="1"/>
    <col min="2" max="2" width="9.140625" style="234" customWidth="1"/>
    <col min="3" max="3" width="7.5703125" style="265" customWidth="1"/>
    <col min="4" max="4" width="21.42578125" style="234" customWidth="1"/>
    <col min="5" max="5" width="19.140625" style="234" bestFit="1" customWidth="1"/>
    <col min="6" max="19" width="5.7109375" style="234" customWidth="1"/>
    <col min="20" max="256" width="9.140625" style="234"/>
    <col min="257" max="257" width="5.42578125" style="234" bestFit="1" customWidth="1"/>
    <col min="258" max="258" width="9.140625" style="234"/>
    <col min="259" max="259" width="7.5703125" style="234" customWidth="1"/>
    <col min="260" max="260" width="21.42578125" style="234" customWidth="1"/>
    <col min="261" max="261" width="19.140625" style="234" bestFit="1" customWidth="1"/>
    <col min="262" max="275" width="5.7109375" style="234" customWidth="1"/>
    <col min="276" max="512" width="9.140625" style="234"/>
    <col min="513" max="513" width="5.42578125" style="234" bestFit="1" customWidth="1"/>
    <col min="514" max="514" width="9.140625" style="234"/>
    <col min="515" max="515" width="7.5703125" style="234" customWidth="1"/>
    <col min="516" max="516" width="21.42578125" style="234" customWidth="1"/>
    <col min="517" max="517" width="19.140625" style="234" bestFit="1" customWidth="1"/>
    <col min="518" max="531" width="5.7109375" style="234" customWidth="1"/>
    <col min="532" max="768" width="9.140625" style="234"/>
    <col min="769" max="769" width="5.42578125" style="234" bestFit="1" customWidth="1"/>
    <col min="770" max="770" width="9.140625" style="234"/>
    <col min="771" max="771" width="7.5703125" style="234" customWidth="1"/>
    <col min="772" max="772" width="21.42578125" style="234" customWidth="1"/>
    <col min="773" max="773" width="19.140625" style="234" bestFit="1" customWidth="1"/>
    <col min="774" max="787" width="5.7109375" style="234" customWidth="1"/>
    <col min="788" max="1024" width="9.140625" style="234"/>
    <col min="1025" max="1025" width="5.42578125" style="234" bestFit="1" customWidth="1"/>
    <col min="1026" max="1026" width="9.140625" style="234"/>
    <col min="1027" max="1027" width="7.5703125" style="234" customWidth="1"/>
    <col min="1028" max="1028" width="21.42578125" style="234" customWidth="1"/>
    <col min="1029" max="1029" width="19.140625" style="234" bestFit="1" customWidth="1"/>
    <col min="1030" max="1043" width="5.7109375" style="234" customWidth="1"/>
    <col min="1044" max="1280" width="9.140625" style="234"/>
    <col min="1281" max="1281" width="5.42578125" style="234" bestFit="1" customWidth="1"/>
    <col min="1282" max="1282" width="9.140625" style="234"/>
    <col min="1283" max="1283" width="7.5703125" style="234" customWidth="1"/>
    <col min="1284" max="1284" width="21.42578125" style="234" customWidth="1"/>
    <col min="1285" max="1285" width="19.140625" style="234" bestFit="1" customWidth="1"/>
    <col min="1286" max="1299" width="5.7109375" style="234" customWidth="1"/>
    <col min="1300" max="1536" width="9.140625" style="234"/>
    <col min="1537" max="1537" width="5.42578125" style="234" bestFit="1" customWidth="1"/>
    <col min="1538" max="1538" width="9.140625" style="234"/>
    <col min="1539" max="1539" width="7.5703125" style="234" customWidth="1"/>
    <col min="1540" max="1540" width="21.42578125" style="234" customWidth="1"/>
    <col min="1541" max="1541" width="19.140625" style="234" bestFit="1" customWidth="1"/>
    <col min="1542" max="1555" width="5.7109375" style="234" customWidth="1"/>
    <col min="1556" max="1792" width="9.140625" style="234"/>
    <col min="1793" max="1793" width="5.42578125" style="234" bestFit="1" customWidth="1"/>
    <col min="1794" max="1794" width="9.140625" style="234"/>
    <col min="1795" max="1795" width="7.5703125" style="234" customWidth="1"/>
    <col min="1796" max="1796" width="21.42578125" style="234" customWidth="1"/>
    <col min="1797" max="1797" width="19.140625" style="234" bestFit="1" customWidth="1"/>
    <col min="1798" max="1811" width="5.7109375" style="234" customWidth="1"/>
    <col min="1812" max="2048" width="9.140625" style="234"/>
    <col min="2049" max="2049" width="5.42578125" style="234" bestFit="1" customWidth="1"/>
    <col min="2050" max="2050" width="9.140625" style="234"/>
    <col min="2051" max="2051" width="7.5703125" style="234" customWidth="1"/>
    <col min="2052" max="2052" width="21.42578125" style="234" customWidth="1"/>
    <col min="2053" max="2053" width="19.140625" style="234" bestFit="1" customWidth="1"/>
    <col min="2054" max="2067" width="5.7109375" style="234" customWidth="1"/>
    <col min="2068" max="2304" width="9.140625" style="234"/>
    <col min="2305" max="2305" width="5.42578125" style="234" bestFit="1" customWidth="1"/>
    <col min="2306" max="2306" width="9.140625" style="234"/>
    <col min="2307" max="2307" width="7.5703125" style="234" customWidth="1"/>
    <col min="2308" max="2308" width="21.42578125" style="234" customWidth="1"/>
    <col min="2309" max="2309" width="19.140625" style="234" bestFit="1" customWidth="1"/>
    <col min="2310" max="2323" width="5.7109375" style="234" customWidth="1"/>
    <col min="2324" max="2560" width="9.140625" style="234"/>
    <col min="2561" max="2561" width="5.42578125" style="234" bestFit="1" customWidth="1"/>
    <col min="2562" max="2562" width="9.140625" style="234"/>
    <col min="2563" max="2563" width="7.5703125" style="234" customWidth="1"/>
    <col min="2564" max="2564" width="21.42578125" style="234" customWidth="1"/>
    <col min="2565" max="2565" width="19.140625" style="234" bestFit="1" customWidth="1"/>
    <col min="2566" max="2579" width="5.7109375" style="234" customWidth="1"/>
    <col min="2580" max="2816" width="9.140625" style="234"/>
    <col min="2817" max="2817" width="5.42578125" style="234" bestFit="1" customWidth="1"/>
    <col min="2818" max="2818" width="9.140625" style="234"/>
    <col min="2819" max="2819" width="7.5703125" style="234" customWidth="1"/>
    <col min="2820" max="2820" width="21.42578125" style="234" customWidth="1"/>
    <col min="2821" max="2821" width="19.140625" style="234" bestFit="1" customWidth="1"/>
    <col min="2822" max="2835" width="5.7109375" style="234" customWidth="1"/>
    <col min="2836" max="3072" width="9.140625" style="234"/>
    <col min="3073" max="3073" width="5.42578125" style="234" bestFit="1" customWidth="1"/>
    <col min="3074" max="3074" width="9.140625" style="234"/>
    <col min="3075" max="3075" width="7.5703125" style="234" customWidth="1"/>
    <col min="3076" max="3076" width="21.42578125" style="234" customWidth="1"/>
    <col min="3077" max="3077" width="19.140625" style="234" bestFit="1" customWidth="1"/>
    <col min="3078" max="3091" width="5.7109375" style="234" customWidth="1"/>
    <col min="3092" max="3328" width="9.140625" style="234"/>
    <col min="3329" max="3329" width="5.42578125" style="234" bestFit="1" customWidth="1"/>
    <col min="3330" max="3330" width="9.140625" style="234"/>
    <col min="3331" max="3331" width="7.5703125" style="234" customWidth="1"/>
    <col min="3332" max="3332" width="21.42578125" style="234" customWidth="1"/>
    <col min="3333" max="3333" width="19.140625" style="234" bestFit="1" customWidth="1"/>
    <col min="3334" max="3347" width="5.7109375" style="234" customWidth="1"/>
    <col min="3348" max="3584" width="9.140625" style="234"/>
    <col min="3585" max="3585" width="5.42578125" style="234" bestFit="1" customWidth="1"/>
    <col min="3586" max="3586" width="9.140625" style="234"/>
    <col min="3587" max="3587" width="7.5703125" style="234" customWidth="1"/>
    <col min="3588" max="3588" width="21.42578125" style="234" customWidth="1"/>
    <col min="3589" max="3589" width="19.140625" style="234" bestFit="1" customWidth="1"/>
    <col min="3590" max="3603" width="5.7109375" style="234" customWidth="1"/>
    <col min="3604" max="3840" width="9.140625" style="234"/>
    <col min="3841" max="3841" width="5.42578125" style="234" bestFit="1" customWidth="1"/>
    <col min="3842" max="3842" width="9.140625" style="234"/>
    <col min="3843" max="3843" width="7.5703125" style="234" customWidth="1"/>
    <col min="3844" max="3844" width="21.42578125" style="234" customWidth="1"/>
    <col min="3845" max="3845" width="19.140625" style="234" bestFit="1" customWidth="1"/>
    <col min="3846" max="3859" width="5.7109375" style="234" customWidth="1"/>
    <col min="3860" max="4096" width="9.140625" style="234"/>
    <col min="4097" max="4097" width="5.42578125" style="234" bestFit="1" customWidth="1"/>
    <col min="4098" max="4098" width="9.140625" style="234"/>
    <col min="4099" max="4099" width="7.5703125" style="234" customWidth="1"/>
    <col min="4100" max="4100" width="21.42578125" style="234" customWidth="1"/>
    <col min="4101" max="4101" width="19.140625" style="234" bestFit="1" customWidth="1"/>
    <col min="4102" max="4115" width="5.7109375" style="234" customWidth="1"/>
    <col min="4116" max="4352" width="9.140625" style="234"/>
    <col min="4353" max="4353" width="5.42578125" style="234" bestFit="1" customWidth="1"/>
    <col min="4354" max="4354" width="9.140625" style="234"/>
    <col min="4355" max="4355" width="7.5703125" style="234" customWidth="1"/>
    <col min="4356" max="4356" width="21.42578125" style="234" customWidth="1"/>
    <col min="4357" max="4357" width="19.140625" style="234" bestFit="1" customWidth="1"/>
    <col min="4358" max="4371" width="5.7109375" style="234" customWidth="1"/>
    <col min="4372" max="4608" width="9.140625" style="234"/>
    <col min="4609" max="4609" width="5.42578125" style="234" bestFit="1" customWidth="1"/>
    <col min="4610" max="4610" width="9.140625" style="234"/>
    <col min="4611" max="4611" width="7.5703125" style="234" customWidth="1"/>
    <col min="4612" max="4612" width="21.42578125" style="234" customWidth="1"/>
    <col min="4613" max="4613" width="19.140625" style="234" bestFit="1" customWidth="1"/>
    <col min="4614" max="4627" width="5.7109375" style="234" customWidth="1"/>
    <col min="4628" max="4864" width="9.140625" style="234"/>
    <col min="4865" max="4865" width="5.42578125" style="234" bestFit="1" customWidth="1"/>
    <col min="4866" max="4866" width="9.140625" style="234"/>
    <col min="4867" max="4867" width="7.5703125" style="234" customWidth="1"/>
    <col min="4868" max="4868" width="21.42578125" style="234" customWidth="1"/>
    <col min="4869" max="4869" width="19.140625" style="234" bestFit="1" customWidth="1"/>
    <col min="4870" max="4883" width="5.7109375" style="234" customWidth="1"/>
    <col min="4884" max="5120" width="9.140625" style="234"/>
    <col min="5121" max="5121" width="5.42578125" style="234" bestFit="1" customWidth="1"/>
    <col min="5122" max="5122" width="9.140625" style="234"/>
    <col min="5123" max="5123" width="7.5703125" style="234" customWidth="1"/>
    <col min="5124" max="5124" width="21.42578125" style="234" customWidth="1"/>
    <col min="5125" max="5125" width="19.140625" style="234" bestFit="1" customWidth="1"/>
    <col min="5126" max="5139" width="5.7109375" style="234" customWidth="1"/>
    <col min="5140" max="5376" width="9.140625" style="234"/>
    <col min="5377" max="5377" width="5.42578125" style="234" bestFit="1" customWidth="1"/>
    <col min="5378" max="5378" width="9.140625" style="234"/>
    <col min="5379" max="5379" width="7.5703125" style="234" customWidth="1"/>
    <col min="5380" max="5380" width="21.42578125" style="234" customWidth="1"/>
    <col min="5381" max="5381" width="19.140625" style="234" bestFit="1" customWidth="1"/>
    <col min="5382" max="5395" width="5.7109375" style="234" customWidth="1"/>
    <col min="5396" max="5632" width="9.140625" style="234"/>
    <col min="5633" max="5633" width="5.42578125" style="234" bestFit="1" customWidth="1"/>
    <col min="5634" max="5634" width="9.140625" style="234"/>
    <col min="5635" max="5635" width="7.5703125" style="234" customWidth="1"/>
    <col min="5636" max="5636" width="21.42578125" style="234" customWidth="1"/>
    <col min="5637" max="5637" width="19.140625" style="234" bestFit="1" customWidth="1"/>
    <col min="5638" max="5651" width="5.7109375" style="234" customWidth="1"/>
    <col min="5652" max="5888" width="9.140625" style="234"/>
    <col min="5889" max="5889" width="5.42578125" style="234" bestFit="1" customWidth="1"/>
    <col min="5890" max="5890" width="9.140625" style="234"/>
    <col min="5891" max="5891" width="7.5703125" style="234" customWidth="1"/>
    <col min="5892" max="5892" width="21.42578125" style="234" customWidth="1"/>
    <col min="5893" max="5893" width="19.140625" style="234" bestFit="1" customWidth="1"/>
    <col min="5894" max="5907" width="5.7109375" style="234" customWidth="1"/>
    <col min="5908" max="6144" width="9.140625" style="234"/>
    <col min="6145" max="6145" width="5.42578125" style="234" bestFit="1" customWidth="1"/>
    <col min="6146" max="6146" width="9.140625" style="234"/>
    <col min="6147" max="6147" width="7.5703125" style="234" customWidth="1"/>
    <col min="6148" max="6148" width="21.42578125" style="234" customWidth="1"/>
    <col min="6149" max="6149" width="19.140625" style="234" bestFit="1" customWidth="1"/>
    <col min="6150" max="6163" width="5.7109375" style="234" customWidth="1"/>
    <col min="6164" max="6400" width="9.140625" style="234"/>
    <col min="6401" max="6401" width="5.42578125" style="234" bestFit="1" customWidth="1"/>
    <col min="6402" max="6402" width="9.140625" style="234"/>
    <col min="6403" max="6403" width="7.5703125" style="234" customWidth="1"/>
    <col min="6404" max="6404" width="21.42578125" style="234" customWidth="1"/>
    <col min="6405" max="6405" width="19.140625" style="234" bestFit="1" customWidth="1"/>
    <col min="6406" max="6419" width="5.7109375" style="234" customWidth="1"/>
    <col min="6420" max="6656" width="9.140625" style="234"/>
    <col min="6657" max="6657" width="5.42578125" style="234" bestFit="1" customWidth="1"/>
    <col min="6658" max="6658" width="9.140625" style="234"/>
    <col min="6659" max="6659" width="7.5703125" style="234" customWidth="1"/>
    <col min="6660" max="6660" width="21.42578125" style="234" customWidth="1"/>
    <col min="6661" max="6661" width="19.140625" style="234" bestFit="1" customWidth="1"/>
    <col min="6662" max="6675" width="5.7109375" style="234" customWidth="1"/>
    <col min="6676" max="6912" width="9.140625" style="234"/>
    <col min="6913" max="6913" width="5.42578125" style="234" bestFit="1" customWidth="1"/>
    <col min="6914" max="6914" width="9.140625" style="234"/>
    <col min="6915" max="6915" width="7.5703125" style="234" customWidth="1"/>
    <col min="6916" max="6916" width="21.42578125" style="234" customWidth="1"/>
    <col min="6917" max="6917" width="19.140625" style="234" bestFit="1" customWidth="1"/>
    <col min="6918" max="6931" width="5.7109375" style="234" customWidth="1"/>
    <col min="6932" max="7168" width="9.140625" style="234"/>
    <col min="7169" max="7169" width="5.42578125" style="234" bestFit="1" customWidth="1"/>
    <col min="7170" max="7170" width="9.140625" style="234"/>
    <col min="7171" max="7171" width="7.5703125" style="234" customWidth="1"/>
    <col min="7172" max="7172" width="21.42578125" style="234" customWidth="1"/>
    <col min="7173" max="7173" width="19.140625" style="234" bestFit="1" customWidth="1"/>
    <col min="7174" max="7187" width="5.7109375" style="234" customWidth="1"/>
    <col min="7188" max="7424" width="9.140625" style="234"/>
    <col min="7425" max="7425" width="5.42578125" style="234" bestFit="1" customWidth="1"/>
    <col min="7426" max="7426" width="9.140625" style="234"/>
    <col min="7427" max="7427" width="7.5703125" style="234" customWidth="1"/>
    <col min="7428" max="7428" width="21.42578125" style="234" customWidth="1"/>
    <col min="7429" max="7429" width="19.140625" style="234" bestFit="1" customWidth="1"/>
    <col min="7430" max="7443" width="5.7109375" style="234" customWidth="1"/>
    <col min="7444" max="7680" width="9.140625" style="234"/>
    <col min="7681" max="7681" width="5.42578125" style="234" bestFit="1" customWidth="1"/>
    <col min="7682" max="7682" width="9.140625" style="234"/>
    <col min="7683" max="7683" width="7.5703125" style="234" customWidth="1"/>
    <col min="7684" max="7684" width="21.42578125" style="234" customWidth="1"/>
    <col min="7685" max="7685" width="19.140625" style="234" bestFit="1" customWidth="1"/>
    <col min="7686" max="7699" width="5.7109375" style="234" customWidth="1"/>
    <col min="7700" max="7936" width="9.140625" style="234"/>
    <col min="7937" max="7937" width="5.42578125" style="234" bestFit="1" customWidth="1"/>
    <col min="7938" max="7938" width="9.140625" style="234"/>
    <col min="7939" max="7939" width="7.5703125" style="234" customWidth="1"/>
    <col min="7940" max="7940" width="21.42578125" style="234" customWidth="1"/>
    <col min="7941" max="7941" width="19.140625" style="234" bestFit="1" customWidth="1"/>
    <col min="7942" max="7955" width="5.7109375" style="234" customWidth="1"/>
    <col min="7956" max="8192" width="9.140625" style="234"/>
    <col min="8193" max="8193" width="5.42578125" style="234" bestFit="1" customWidth="1"/>
    <col min="8194" max="8194" width="9.140625" style="234"/>
    <col min="8195" max="8195" width="7.5703125" style="234" customWidth="1"/>
    <col min="8196" max="8196" width="21.42578125" style="234" customWidth="1"/>
    <col min="8197" max="8197" width="19.140625" style="234" bestFit="1" customWidth="1"/>
    <col min="8198" max="8211" width="5.7109375" style="234" customWidth="1"/>
    <col min="8212" max="8448" width="9.140625" style="234"/>
    <col min="8449" max="8449" width="5.42578125" style="234" bestFit="1" customWidth="1"/>
    <col min="8450" max="8450" width="9.140625" style="234"/>
    <col min="8451" max="8451" width="7.5703125" style="234" customWidth="1"/>
    <col min="8452" max="8452" width="21.42578125" style="234" customWidth="1"/>
    <col min="8453" max="8453" width="19.140625" style="234" bestFit="1" customWidth="1"/>
    <col min="8454" max="8467" width="5.7109375" style="234" customWidth="1"/>
    <col min="8468" max="8704" width="9.140625" style="234"/>
    <col min="8705" max="8705" width="5.42578125" style="234" bestFit="1" customWidth="1"/>
    <col min="8706" max="8706" width="9.140625" style="234"/>
    <col min="8707" max="8707" width="7.5703125" style="234" customWidth="1"/>
    <col min="8708" max="8708" width="21.42578125" style="234" customWidth="1"/>
    <col min="8709" max="8709" width="19.140625" style="234" bestFit="1" customWidth="1"/>
    <col min="8710" max="8723" width="5.7109375" style="234" customWidth="1"/>
    <col min="8724" max="8960" width="9.140625" style="234"/>
    <col min="8961" max="8961" width="5.42578125" style="234" bestFit="1" customWidth="1"/>
    <col min="8962" max="8962" width="9.140625" style="234"/>
    <col min="8963" max="8963" width="7.5703125" style="234" customWidth="1"/>
    <col min="8964" max="8964" width="21.42578125" style="234" customWidth="1"/>
    <col min="8965" max="8965" width="19.140625" style="234" bestFit="1" customWidth="1"/>
    <col min="8966" max="8979" width="5.7109375" style="234" customWidth="1"/>
    <col min="8980" max="9216" width="9.140625" style="234"/>
    <col min="9217" max="9217" width="5.42578125" style="234" bestFit="1" customWidth="1"/>
    <col min="9218" max="9218" width="9.140625" style="234"/>
    <col min="9219" max="9219" width="7.5703125" style="234" customWidth="1"/>
    <col min="9220" max="9220" width="21.42578125" style="234" customWidth="1"/>
    <col min="9221" max="9221" width="19.140625" style="234" bestFit="1" customWidth="1"/>
    <col min="9222" max="9235" width="5.7109375" style="234" customWidth="1"/>
    <col min="9236" max="9472" width="9.140625" style="234"/>
    <col min="9473" max="9473" width="5.42578125" style="234" bestFit="1" customWidth="1"/>
    <col min="9474" max="9474" width="9.140625" style="234"/>
    <col min="9475" max="9475" width="7.5703125" style="234" customWidth="1"/>
    <col min="9476" max="9476" width="21.42578125" style="234" customWidth="1"/>
    <col min="9477" max="9477" width="19.140625" style="234" bestFit="1" customWidth="1"/>
    <col min="9478" max="9491" width="5.7109375" style="234" customWidth="1"/>
    <col min="9492" max="9728" width="9.140625" style="234"/>
    <col min="9729" max="9729" width="5.42578125" style="234" bestFit="1" customWidth="1"/>
    <col min="9730" max="9730" width="9.140625" style="234"/>
    <col min="9731" max="9731" width="7.5703125" style="234" customWidth="1"/>
    <col min="9732" max="9732" width="21.42578125" style="234" customWidth="1"/>
    <col min="9733" max="9733" width="19.140625" style="234" bestFit="1" customWidth="1"/>
    <col min="9734" max="9747" width="5.7109375" style="234" customWidth="1"/>
    <col min="9748" max="9984" width="9.140625" style="234"/>
    <col min="9985" max="9985" width="5.42578125" style="234" bestFit="1" customWidth="1"/>
    <col min="9986" max="9986" width="9.140625" style="234"/>
    <col min="9987" max="9987" width="7.5703125" style="234" customWidth="1"/>
    <col min="9988" max="9988" width="21.42578125" style="234" customWidth="1"/>
    <col min="9989" max="9989" width="19.140625" style="234" bestFit="1" customWidth="1"/>
    <col min="9990" max="10003" width="5.7109375" style="234" customWidth="1"/>
    <col min="10004" max="10240" width="9.140625" style="234"/>
    <col min="10241" max="10241" width="5.42578125" style="234" bestFit="1" customWidth="1"/>
    <col min="10242" max="10242" width="9.140625" style="234"/>
    <col min="10243" max="10243" width="7.5703125" style="234" customWidth="1"/>
    <col min="10244" max="10244" width="21.42578125" style="234" customWidth="1"/>
    <col min="10245" max="10245" width="19.140625" style="234" bestFit="1" customWidth="1"/>
    <col min="10246" max="10259" width="5.7109375" style="234" customWidth="1"/>
    <col min="10260" max="10496" width="9.140625" style="234"/>
    <col min="10497" max="10497" width="5.42578125" style="234" bestFit="1" customWidth="1"/>
    <col min="10498" max="10498" width="9.140625" style="234"/>
    <col min="10499" max="10499" width="7.5703125" style="234" customWidth="1"/>
    <col min="10500" max="10500" width="21.42578125" style="234" customWidth="1"/>
    <col min="10501" max="10501" width="19.140625" style="234" bestFit="1" customWidth="1"/>
    <col min="10502" max="10515" width="5.7109375" style="234" customWidth="1"/>
    <col min="10516" max="10752" width="9.140625" style="234"/>
    <col min="10753" max="10753" width="5.42578125" style="234" bestFit="1" customWidth="1"/>
    <col min="10754" max="10754" width="9.140625" style="234"/>
    <col min="10755" max="10755" width="7.5703125" style="234" customWidth="1"/>
    <col min="10756" max="10756" width="21.42578125" style="234" customWidth="1"/>
    <col min="10757" max="10757" width="19.140625" style="234" bestFit="1" customWidth="1"/>
    <col min="10758" max="10771" width="5.7109375" style="234" customWidth="1"/>
    <col min="10772" max="11008" width="9.140625" style="234"/>
    <col min="11009" max="11009" width="5.42578125" style="234" bestFit="1" customWidth="1"/>
    <col min="11010" max="11010" width="9.140625" style="234"/>
    <col min="11011" max="11011" width="7.5703125" style="234" customWidth="1"/>
    <col min="11012" max="11012" width="21.42578125" style="234" customWidth="1"/>
    <col min="11013" max="11013" width="19.140625" style="234" bestFit="1" customWidth="1"/>
    <col min="11014" max="11027" width="5.7109375" style="234" customWidth="1"/>
    <col min="11028" max="11264" width="9.140625" style="234"/>
    <col min="11265" max="11265" width="5.42578125" style="234" bestFit="1" customWidth="1"/>
    <col min="11266" max="11266" width="9.140625" style="234"/>
    <col min="11267" max="11267" width="7.5703125" style="234" customWidth="1"/>
    <col min="11268" max="11268" width="21.42578125" style="234" customWidth="1"/>
    <col min="11269" max="11269" width="19.140625" style="234" bestFit="1" customWidth="1"/>
    <col min="11270" max="11283" width="5.7109375" style="234" customWidth="1"/>
    <col min="11284" max="11520" width="9.140625" style="234"/>
    <col min="11521" max="11521" width="5.42578125" style="234" bestFit="1" customWidth="1"/>
    <col min="11522" max="11522" width="9.140625" style="234"/>
    <col min="11523" max="11523" width="7.5703125" style="234" customWidth="1"/>
    <col min="11524" max="11524" width="21.42578125" style="234" customWidth="1"/>
    <col min="11525" max="11525" width="19.140625" style="234" bestFit="1" customWidth="1"/>
    <col min="11526" max="11539" width="5.7109375" style="234" customWidth="1"/>
    <col min="11540" max="11776" width="9.140625" style="234"/>
    <col min="11777" max="11777" width="5.42578125" style="234" bestFit="1" customWidth="1"/>
    <col min="11778" max="11778" width="9.140625" style="234"/>
    <col min="11779" max="11779" width="7.5703125" style="234" customWidth="1"/>
    <col min="11780" max="11780" width="21.42578125" style="234" customWidth="1"/>
    <col min="11781" max="11781" width="19.140625" style="234" bestFit="1" customWidth="1"/>
    <col min="11782" max="11795" width="5.7109375" style="234" customWidth="1"/>
    <col min="11796" max="12032" width="9.140625" style="234"/>
    <col min="12033" max="12033" width="5.42578125" style="234" bestFit="1" customWidth="1"/>
    <col min="12034" max="12034" width="9.140625" style="234"/>
    <col min="12035" max="12035" width="7.5703125" style="234" customWidth="1"/>
    <col min="12036" max="12036" width="21.42578125" style="234" customWidth="1"/>
    <col min="12037" max="12037" width="19.140625" style="234" bestFit="1" customWidth="1"/>
    <col min="12038" max="12051" width="5.7109375" style="234" customWidth="1"/>
    <col min="12052" max="12288" width="9.140625" style="234"/>
    <col min="12289" max="12289" width="5.42578125" style="234" bestFit="1" customWidth="1"/>
    <col min="12290" max="12290" width="9.140625" style="234"/>
    <col min="12291" max="12291" width="7.5703125" style="234" customWidth="1"/>
    <col min="12292" max="12292" width="21.42578125" style="234" customWidth="1"/>
    <col min="12293" max="12293" width="19.140625" style="234" bestFit="1" customWidth="1"/>
    <col min="12294" max="12307" width="5.7109375" style="234" customWidth="1"/>
    <col min="12308" max="12544" width="9.140625" style="234"/>
    <col min="12545" max="12545" width="5.42578125" style="234" bestFit="1" customWidth="1"/>
    <col min="12546" max="12546" width="9.140625" style="234"/>
    <col min="12547" max="12547" width="7.5703125" style="234" customWidth="1"/>
    <col min="12548" max="12548" width="21.42578125" style="234" customWidth="1"/>
    <col min="12549" max="12549" width="19.140625" style="234" bestFit="1" customWidth="1"/>
    <col min="12550" max="12563" width="5.7109375" style="234" customWidth="1"/>
    <col min="12564" max="12800" width="9.140625" style="234"/>
    <col min="12801" max="12801" width="5.42578125" style="234" bestFit="1" customWidth="1"/>
    <col min="12802" max="12802" width="9.140625" style="234"/>
    <col min="12803" max="12803" width="7.5703125" style="234" customWidth="1"/>
    <col min="12804" max="12804" width="21.42578125" style="234" customWidth="1"/>
    <col min="12805" max="12805" width="19.140625" style="234" bestFit="1" customWidth="1"/>
    <col min="12806" max="12819" width="5.7109375" style="234" customWidth="1"/>
    <col min="12820" max="13056" width="9.140625" style="234"/>
    <col min="13057" max="13057" width="5.42578125" style="234" bestFit="1" customWidth="1"/>
    <col min="13058" max="13058" width="9.140625" style="234"/>
    <col min="13059" max="13059" width="7.5703125" style="234" customWidth="1"/>
    <col min="13060" max="13060" width="21.42578125" style="234" customWidth="1"/>
    <col min="13061" max="13061" width="19.140625" style="234" bestFit="1" customWidth="1"/>
    <col min="13062" max="13075" width="5.7109375" style="234" customWidth="1"/>
    <col min="13076" max="13312" width="9.140625" style="234"/>
    <col min="13313" max="13313" width="5.42578125" style="234" bestFit="1" customWidth="1"/>
    <col min="13314" max="13314" width="9.140625" style="234"/>
    <col min="13315" max="13315" width="7.5703125" style="234" customWidth="1"/>
    <col min="13316" max="13316" width="21.42578125" style="234" customWidth="1"/>
    <col min="13317" max="13317" width="19.140625" style="234" bestFit="1" customWidth="1"/>
    <col min="13318" max="13331" width="5.7109375" style="234" customWidth="1"/>
    <col min="13332" max="13568" width="9.140625" style="234"/>
    <col min="13569" max="13569" width="5.42578125" style="234" bestFit="1" customWidth="1"/>
    <col min="13570" max="13570" width="9.140625" style="234"/>
    <col min="13571" max="13571" width="7.5703125" style="234" customWidth="1"/>
    <col min="13572" max="13572" width="21.42578125" style="234" customWidth="1"/>
    <col min="13573" max="13573" width="19.140625" style="234" bestFit="1" customWidth="1"/>
    <col min="13574" max="13587" width="5.7109375" style="234" customWidth="1"/>
    <col min="13588" max="13824" width="9.140625" style="234"/>
    <col min="13825" max="13825" width="5.42578125" style="234" bestFit="1" customWidth="1"/>
    <col min="13826" max="13826" width="9.140625" style="234"/>
    <col min="13827" max="13827" width="7.5703125" style="234" customWidth="1"/>
    <col min="13828" max="13828" width="21.42578125" style="234" customWidth="1"/>
    <col min="13829" max="13829" width="19.140625" style="234" bestFit="1" customWidth="1"/>
    <col min="13830" max="13843" width="5.7109375" style="234" customWidth="1"/>
    <col min="13844" max="14080" width="9.140625" style="234"/>
    <col min="14081" max="14081" width="5.42578125" style="234" bestFit="1" customWidth="1"/>
    <col min="14082" max="14082" width="9.140625" style="234"/>
    <col min="14083" max="14083" width="7.5703125" style="234" customWidth="1"/>
    <col min="14084" max="14084" width="21.42578125" style="234" customWidth="1"/>
    <col min="14085" max="14085" width="19.140625" style="234" bestFit="1" customWidth="1"/>
    <col min="14086" max="14099" width="5.7109375" style="234" customWidth="1"/>
    <col min="14100" max="14336" width="9.140625" style="234"/>
    <col min="14337" max="14337" width="5.42578125" style="234" bestFit="1" customWidth="1"/>
    <col min="14338" max="14338" width="9.140625" style="234"/>
    <col min="14339" max="14339" width="7.5703125" style="234" customWidth="1"/>
    <col min="14340" max="14340" width="21.42578125" style="234" customWidth="1"/>
    <col min="14341" max="14341" width="19.140625" style="234" bestFit="1" customWidth="1"/>
    <col min="14342" max="14355" width="5.7109375" style="234" customWidth="1"/>
    <col min="14356" max="14592" width="9.140625" style="234"/>
    <col min="14593" max="14593" width="5.42578125" style="234" bestFit="1" customWidth="1"/>
    <col min="14594" max="14594" width="9.140625" style="234"/>
    <col min="14595" max="14595" width="7.5703125" style="234" customWidth="1"/>
    <col min="14596" max="14596" width="21.42578125" style="234" customWidth="1"/>
    <col min="14597" max="14597" width="19.140625" style="234" bestFit="1" customWidth="1"/>
    <col min="14598" max="14611" width="5.7109375" style="234" customWidth="1"/>
    <col min="14612" max="14848" width="9.140625" style="234"/>
    <col min="14849" max="14849" width="5.42578125" style="234" bestFit="1" customWidth="1"/>
    <col min="14850" max="14850" width="9.140625" style="234"/>
    <col min="14851" max="14851" width="7.5703125" style="234" customWidth="1"/>
    <col min="14852" max="14852" width="21.42578125" style="234" customWidth="1"/>
    <col min="14853" max="14853" width="19.140625" style="234" bestFit="1" customWidth="1"/>
    <col min="14854" max="14867" width="5.7109375" style="234" customWidth="1"/>
    <col min="14868" max="15104" width="9.140625" style="234"/>
    <col min="15105" max="15105" width="5.42578125" style="234" bestFit="1" customWidth="1"/>
    <col min="15106" max="15106" width="9.140625" style="234"/>
    <col min="15107" max="15107" width="7.5703125" style="234" customWidth="1"/>
    <col min="15108" max="15108" width="21.42578125" style="234" customWidth="1"/>
    <col min="15109" max="15109" width="19.140625" style="234" bestFit="1" customWidth="1"/>
    <col min="15110" max="15123" width="5.7109375" style="234" customWidth="1"/>
    <col min="15124" max="15360" width="9.140625" style="234"/>
    <col min="15361" max="15361" width="5.42578125" style="234" bestFit="1" customWidth="1"/>
    <col min="15362" max="15362" width="9.140625" style="234"/>
    <col min="15363" max="15363" width="7.5703125" style="234" customWidth="1"/>
    <col min="15364" max="15364" width="21.42578125" style="234" customWidth="1"/>
    <col min="15365" max="15365" width="19.140625" style="234" bestFit="1" customWidth="1"/>
    <col min="15366" max="15379" width="5.7109375" style="234" customWidth="1"/>
    <col min="15380" max="15616" width="9.140625" style="234"/>
    <col min="15617" max="15617" width="5.42578125" style="234" bestFit="1" customWidth="1"/>
    <col min="15618" max="15618" width="9.140625" style="234"/>
    <col min="15619" max="15619" width="7.5703125" style="234" customWidth="1"/>
    <col min="15620" max="15620" width="21.42578125" style="234" customWidth="1"/>
    <col min="15621" max="15621" width="19.140625" style="234" bestFit="1" customWidth="1"/>
    <col min="15622" max="15635" width="5.7109375" style="234" customWidth="1"/>
    <col min="15636" max="15872" width="9.140625" style="234"/>
    <col min="15873" max="15873" width="5.42578125" style="234" bestFit="1" customWidth="1"/>
    <col min="15874" max="15874" width="9.140625" style="234"/>
    <col min="15875" max="15875" width="7.5703125" style="234" customWidth="1"/>
    <col min="15876" max="15876" width="21.42578125" style="234" customWidth="1"/>
    <col min="15877" max="15877" width="19.140625" style="234" bestFit="1" customWidth="1"/>
    <col min="15878" max="15891" width="5.7109375" style="234" customWidth="1"/>
    <col min="15892" max="16128" width="9.140625" style="234"/>
    <col min="16129" max="16129" width="5.42578125" style="234" bestFit="1" customWidth="1"/>
    <col min="16130" max="16130" width="9.140625" style="234"/>
    <col min="16131" max="16131" width="7.5703125" style="234" customWidth="1"/>
    <col min="16132" max="16132" width="21.42578125" style="234" customWidth="1"/>
    <col min="16133" max="16133" width="19.140625" style="234" bestFit="1" customWidth="1"/>
    <col min="16134" max="16147" width="5.7109375" style="234" customWidth="1"/>
    <col min="16148" max="16384" width="9.140625" style="234"/>
  </cols>
  <sheetData>
    <row r="2" spans="1:19" ht="18.75" x14ac:dyDescent="0.3">
      <c r="D2" s="235" t="s">
        <v>227</v>
      </c>
      <c r="E2" s="236"/>
      <c r="F2" s="236"/>
      <c r="G2" s="236"/>
    </row>
    <row r="3" spans="1:19" x14ac:dyDescent="0.25">
      <c r="F3" s="237"/>
      <c r="G3" s="237"/>
      <c r="H3" s="237"/>
      <c r="I3" s="237"/>
      <c r="J3" s="237"/>
    </row>
    <row r="4" spans="1:19" x14ac:dyDescent="0.25">
      <c r="D4" s="238" t="s">
        <v>228</v>
      </c>
      <c r="G4" s="381" t="s">
        <v>229</v>
      </c>
      <c r="H4" s="381"/>
      <c r="I4" s="382"/>
      <c r="J4" s="382"/>
      <c r="K4" s="382"/>
    </row>
    <row r="5" spans="1:19" x14ac:dyDescent="0.25">
      <c r="D5" s="238" t="s">
        <v>230</v>
      </c>
      <c r="E5" s="234" t="str">
        <f>Setup!B3</f>
        <v>Serieomgång 4</v>
      </c>
      <c r="G5" s="381" t="s">
        <v>231</v>
      </c>
      <c r="H5" s="381"/>
      <c r="I5" s="383">
        <f ca="1">TODAY()</f>
        <v>43052</v>
      </c>
      <c r="J5" s="383"/>
      <c r="K5" s="383"/>
      <c r="M5" s="384" t="s">
        <v>232</v>
      </c>
      <c r="N5" s="384"/>
      <c r="O5" s="384"/>
      <c r="P5" s="384"/>
      <c r="Q5" s="237"/>
      <c r="R5" s="237"/>
    </row>
    <row r="6" spans="1:19" ht="3" customHeight="1" x14ac:dyDescent="0.25"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</row>
    <row r="7" spans="1:19" x14ac:dyDescent="0.25">
      <c r="A7" s="239"/>
      <c r="B7" s="239"/>
      <c r="C7" s="266"/>
      <c r="D7" s="239"/>
      <c r="E7" s="240"/>
      <c r="F7" s="406" t="s">
        <v>233</v>
      </c>
      <c r="G7" s="407"/>
      <c r="H7" s="407"/>
      <c r="I7" s="408"/>
      <c r="J7" s="406" t="s">
        <v>234</v>
      </c>
      <c r="K7" s="407"/>
      <c r="L7" s="407"/>
      <c r="M7" s="408"/>
      <c r="N7" s="406" t="s">
        <v>235</v>
      </c>
      <c r="O7" s="407"/>
      <c r="P7" s="407"/>
      <c r="Q7" s="408"/>
      <c r="R7" s="239"/>
      <c r="S7" s="239"/>
    </row>
    <row r="8" spans="1:19" x14ac:dyDescent="0.25">
      <c r="A8" s="394" t="s">
        <v>236</v>
      </c>
      <c r="B8" s="394" t="s">
        <v>237</v>
      </c>
      <c r="C8" s="395" t="s">
        <v>238</v>
      </c>
      <c r="D8" s="394" t="s">
        <v>190</v>
      </c>
      <c r="E8" s="396" t="s">
        <v>239</v>
      </c>
      <c r="F8" s="397" t="s">
        <v>240</v>
      </c>
      <c r="G8" s="398" t="s">
        <v>241</v>
      </c>
      <c r="H8" s="398" t="s">
        <v>242</v>
      </c>
      <c r="I8" s="398" t="s">
        <v>243</v>
      </c>
      <c r="J8" s="398" t="s">
        <v>240</v>
      </c>
      <c r="K8" s="398" t="s">
        <v>241</v>
      </c>
      <c r="L8" s="398" t="s">
        <v>242</v>
      </c>
      <c r="M8" s="398" t="s">
        <v>243</v>
      </c>
      <c r="N8" s="398" t="s">
        <v>240</v>
      </c>
      <c r="O8" s="398" t="s">
        <v>241</v>
      </c>
      <c r="P8" s="398" t="s">
        <v>242</v>
      </c>
      <c r="Q8" s="398" t="s">
        <v>243</v>
      </c>
      <c r="R8" s="399" t="s">
        <v>202</v>
      </c>
      <c r="S8" s="399" t="s">
        <v>186</v>
      </c>
    </row>
    <row r="9" spans="1:19" ht="15" customHeight="1" x14ac:dyDescent="0.25">
      <c r="A9" s="400"/>
      <c r="B9" s="400" t="s">
        <v>371</v>
      </c>
      <c r="C9" s="401">
        <v>73.75</v>
      </c>
      <c r="D9" s="402" t="s">
        <v>267</v>
      </c>
      <c r="E9" s="403" t="s">
        <v>216</v>
      </c>
      <c r="F9" s="404">
        <v>70</v>
      </c>
      <c r="G9" s="405">
        <v>75</v>
      </c>
      <c r="H9" s="404">
        <v>-90</v>
      </c>
      <c r="I9" s="404">
        <v>75</v>
      </c>
      <c r="J9" s="404">
        <v>50</v>
      </c>
      <c r="K9" s="404">
        <v>-60</v>
      </c>
      <c r="L9" s="404">
        <v>60</v>
      </c>
      <c r="M9" s="404">
        <v>60</v>
      </c>
      <c r="N9" s="404">
        <v>100</v>
      </c>
      <c r="O9" s="404">
        <v>105</v>
      </c>
      <c r="P9" s="404">
        <v>110</v>
      </c>
      <c r="Q9" s="404">
        <v>110</v>
      </c>
      <c r="R9" s="404">
        <v>245</v>
      </c>
      <c r="S9" s="404">
        <v>235.39599806070328</v>
      </c>
    </row>
    <row r="10" spans="1:19" ht="15" customHeight="1" x14ac:dyDescent="0.25">
      <c r="A10" s="241"/>
      <c r="B10" s="241" t="s">
        <v>372</v>
      </c>
      <c r="C10" s="270">
        <v>57</v>
      </c>
      <c r="D10" s="242" t="s">
        <v>265</v>
      </c>
      <c r="E10" s="243" t="s">
        <v>216</v>
      </c>
      <c r="F10" s="244">
        <v>80</v>
      </c>
      <c r="G10" s="245">
        <v>85</v>
      </c>
      <c r="H10" s="244">
        <v>92.5</v>
      </c>
      <c r="I10" s="244">
        <v>92.5</v>
      </c>
      <c r="J10" s="244">
        <v>70</v>
      </c>
      <c r="K10" s="244">
        <v>75</v>
      </c>
      <c r="L10" s="244">
        <v>80</v>
      </c>
      <c r="M10" s="244">
        <v>80</v>
      </c>
      <c r="N10" s="244">
        <v>80</v>
      </c>
      <c r="O10" s="244">
        <v>85</v>
      </c>
      <c r="P10" s="244">
        <v>92.5</v>
      </c>
      <c r="Q10" s="244">
        <v>92.5</v>
      </c>
      <c r="R10" s="244">
        <v>265</v>
      </c>
      <c r="S10" s="244">
        <v>307.50600874423981</v>
      </c>
    </row>
    <row r="11" spans="1:19" ht="15" customHeight="1" x14ac:dyDescent="0.25">
      <c r="A11" s="400"/>
      <c r="B11" s="400" t="s">
        <v>373</v>
      </c>
      <c r="C11" s="401">
        <v>69.849999999999994</v>
      </c>
      <c r="D11" s="402" t="s">
        <v>276</v>
      </c>
      <c r="E11" s="403" t="s">
        <v>225</v>
      </c>
      <c r="F11" s="404">
        <v>80</v>
      </c>
      <c r="G11" s="405">
        <v>90</v>
      </c>
      <c r="H11" s="404"/>
      <c r="I11" s="404">
        <v>90</v>
      </c>
      <c r="J11" s="404">
        <v>-57.5</v>
      </c>
      <c r="K11" s="404">
        <v>57.5</v>
      </c>
      <c r="L11" s="404">
        <v>-62.5</v>
      </c>
      <c r="M11" s="404">
        <v>57.5</v>
      </c>
      <c r="N11" s="404">
        <v>115</v>
      </c>
      <c r="O11" s="404">
        <v>130</v>
      </c>
      <c r="P11" s="404">
        <v>-140</v>
      </c>
      <c r="Q11" s="404">
        <v>130</v>
      </c>
      <c r="R11" s="404">
        <v>277.5</v>
      </c>
      <c r="S11" s="404">
        <v>276.47324502468109</v>
      </c>
    </row>
    <row r="12" spans="1:19" ht="15" customHeight="1" x14ac:dyDescent="0.25">
      <c r="A12" s="241"/>
      <c r="B12" s="241" t="s">
        <v>374</v>
      </c>
      <c r="C12" s="270">
        <v>86.95</v>
      </c>
      <c r="D12" s="242" t="s">
        <v>278</v>
      </c>
      <c r="E12" s="243" t="s">
        <v>184</v>
      </c>
      <c r="F12" s="244">
        <v>90</v>
      </c>
      <c r="G12" s="245">
        <v>100</v>
      </c>
      <c r="H12" s="244">
        <v>-105</v>
      </c>
      <c r="I12" s="244">
        <v>100</v>
      </c>
      <c r="J12" s="244">
        <v>57.5</v>
      </c>
      <c r="K12" s="244">
        <v>62.5</v>
      </c>
      <c r="L12" s="244">
        <v>65</v>
      </c>
      <c r="M12" s="244">
        <v>65</v>
      </c>
      <c r="N12" s="244">
        <v>115</v>
      </c>
      <c r="O12" s="244">
        <v>120</v>
      </c>
      <c r="P12" s="244">
        <v>125</v>
      </c>
      <c r="Q12" s="244">
        <v>125</v>
      </c>
      <c r="R12" s="244">
        <v>290</v>
      </c>
      <c r="S12" s="244">
        <v>254.3589973449707</v>
      </c>
    </row>
    <row r="13" spans="1:19" ht="15" customHeight="1" x14ac:dyDescent="0.25">
      <c r="A13" s="400"/>
      <c r="B13" s="400" t="s">
        <v>375</v>
      </c>
      <c r="C13" s="401">
        <v>48.55</v>
      </c>
      <c r="D13" s="402" t="s">
        <v>270</v>
      </c>
      <c r="E13" s="403" t="s">
        <v>225</v>
      </c>
      <c r="F13" s="404">
        <v>95</v>
      </c>
      <c r="G13" s="405">
        <v>100</v>
      </c>
      <c r="H13" s="404">
        <v>105</v>
      </c>
      <c r="I13" s="404">
        <v>105</v>
      </c>
      <c r="J13" s="404">
        <v>55</v>
      </c>
      <c r="K13" s="404">
        <v>60</v>
      </c>
      <c r="L13" s="404">
        <v>-62.5</v>
      </c>
      <c r="M13" s="404">
        <v>60</v>
      </c>
      <c r="N13" s="404">
        <v>115</v>
      </c>
      <c r="O13" s="404">
        <v>120</v>
      </c>
      <c r="P13" s="404">
        <v>-122.5</v>
      </c>
      <c r="Q13" s="404">
        <v>120</v>
      </c>
      <c r="R13" s="404">
        <v>285</v>
      </c>
      <c r="S13" s="404">
        <v>374.29050385951996</v>
      </c>
    </row>
    <row r="14" spans="1:19" ht="15" customHeight="1" x14ac:dyDescent="0.25">
      <c r="A14" s="241"/>
      <c r="B14" s="241" t="s">
        <v>376</v>
      </c>
      <c r="C14" s="270">
        <v>61.95</v>
      </c>
      <c r="D14" s="242" t="s">
        <v>269</v>
      </c>
      <c r="E14" s="243" t="s">
        <v>216</v>
      </c>
      <c r="F14" s="244">
        <v>95</v>
      </c>
      <c r="G14" s="245">
        <v>102.5</v>
      </c>
      <c r="H14" s="244">
        <v>110</v>
      </c>
      <c r="I14" s="244">
        <v>110</v>
      </c>
      <c r="J14" s="244">
        <v>85</v>
      </c>
      <c r="K14" s="244">
        <v>-90</v>
      </c>
      <c r="L14" s="244">
        <v>90</v>
      </c>
      <c r="M14" s="244">
        <v>90</v>
      </c>
      <c r="N14" s="244">
        <v>105</v>
      </c>
      <c r="O14" s="244">
        <v>117.5</v>
      </c>
      <c r="P14" s="244">
        <v>127.5</v>
      </c>
      <c r="Q14" s="244">
        <v>127.5</v>
      </c>
      <c r="R14" s="244">
        <v>327.5</v>
      </c>
      <c r="S14" s="244">
        <v>356.25450849533081</v>
      </c>
    </row>
    <row r="15" spans="1:19" ht="15" customHeight="1" x14ac:dyDescent="0.25">
      <c r="A15" s="400"/>
      <c r="B15" s="400" t="s">
        <v>377</v>
      </c>
      <c r="C15" s="401">
        <v>85.75</v>
      </c>
      <c r="D15" s="402" t="s">
        <v>273</v>
      </c>
      <c r="E15" s="403" t="s">
        <v>215</v>
      </c>
      <c r="F15" s="404">
        <v>100</v>
      </c>
      <c r="G15" s="405">
        <v>110</v>
      </c>
      <c r="H15" s="404">
        <v>120</v>
      </c>
      <c r="I15" s="404">
        <v>120</v>
      </c>
      <c r="J15" s="404">
        <v>70</v>
      </c>
      <c r="K15" s="404">
        <v>-75</v>
      </c>
      <c r="L15" s="404"/>
      <c r="M15" s="404">
        <v>70</v>
      </c>
      <c r="N15" s="404">
        <v>130</v>
      </c>
      <c r="O15" s="404">
        <v>140</v>
      </c>
      <c r="P15" s="404">
        <v>150</v>
      </c>
      <c r="Q15" s="404">
        <v>150</v>
      </c>
      <c r="R15" s="404">
        <v>340</v>
      </c>
      <c r="S15" s="404">
        <v>300.15199422836304</v>
      </c>
    </row>
    <row r="16" spans="1:19" ht="15" customHeight="1" x14ac:dyDescent="0.25">
      <c r="A16" s="241"/>
      <c r="B16" s="241" t="s">
        <v>378</v>
      </c>
      <c r="C16" s="270">
        <v>61.75</v>
      </c>
      <c r="D16" s="242" t="s">
        <v>274</v>
      </c>
      <c r="E16" s="243" t="s">
        <v>184</v>
      </c>
      <c r="F16" s="244">
        <v>107.5</v>
      </c>
      <c r="G16" s="245">
        <v>112.5</v>
      </c>
      <c r="H16" s="244">
        <v>117.5</v>
      </c>
      <c r="I16" s="244">
        <v>117.5</v>
      </c>
      <c r="J16" s="244">
        <v>65</v>
      </c>
      <c r="K16" s="244">
        <v>67.5</v>
      </c>
      <c r="L16" s="244">
        <v>-70</v>
      </c>
      <c r="M16" s="244">
        <v>67.5</v>
      </c>
      <c r="N16" s="244">
        <v>135</v>
      </c>
      <c r="O16" s="244">
        <v>145</v>
      </c>
      <c r="P16" s="244"/>
      <c r="Q16" s="244">
        <v>145</v>
      </c>
      <c r="R16" s="244">
        <v>330</v>
      </c>
      <c r="S16" s="244">
        <v>359.86499905586243</v>
      </c>
    </row>
    <row r="17" spans="1:19" ht="15" customHeight="1" x14ac:dyDescent="0.25">
      <c r="A17" s="400"/>
      <c r="B17" s="400" t="s">
        <v>379</v>
      </c>
      <c r="C17" s="401">
        <v>71.95</v>
      </c>
      <c r="D17" s="402" t="s">
        <v>272</v>
      </c>
      <c r="E17" s="403" t="s">
        <v>215</v>
      </c>
      <c r="F17" s="404">
        <v>110</v>
      </c>
      <c r="G17" s="405">
        <v>120</v>
      </c>
      <c r="H17" s="404">
        <v>-122.5</v>
      </c>
      <c r="I17" s="404">
        <v>120</v>
      </c>
      <c r="J17" s="404">
        <v>60</v>
      </c>
      <c r="K17" s="404">
        <v>-67.5</v>
      </c>
      <c r="L17" s="404"/>
      <c r="M17" s="404">
        <v>60</v>
      </c>
      <c r="N17" s="404">
        <v>130</v>
      </c>
      <c r="O17" s="404">
        <v>142.5</v>
      </c>
      <c r="P17" s="404">
        <v>-150</v>
      </c>
      <c r="Q17" s="404">
        <v>142.5</v>
      </c>
      <c r="R17" s="404">
        <v>322.5</v>
      </c>
      <c r="S17" s="404">
        <v>314.92124184966087</v>
      </c>
    </row>
    <row r="18" spans="1:19" ht="15" customHeight="1" x14ac:dyDescent="0.25">
      <c r="A18" s="241"/>
      <c r="B18" s="241"/>
      <c r="C18" s="270"/>
      <c r="D18" s="242"/>
      <c r="E18" s="243"/>
      <c r="F18" s="244"/>
      <c r="G18" s="245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</row>
    <row r="19" spans="1:19" ht="15" customHeight="1" x14ac:dyDescent="0.25">
      <c r="A19" s="400"/>
      <c r="B19" s="400"/>
      <c r="C19" s="401"/>
      <c r="D19" s="402"/>
      <c r="E19" s="403"/>
      <c r="F19" s="404"/>
      <c r="G19" s="405"/>
      <c r="H19" s="404"/>
      <c r="I19" s="404"/>
      <c r="J19" s="404"/>
      <c r="K19" s="404"/>
      <c r="L19" s="404"/>
      <c r="M19" s="404"/>
      <c r="N19" s="404"/>
      <c r="O19" s="404"/>
      <c r="P19" s="404"/>
      <c r="Q19" s="404"/>
      <c r="R19" s="404"/>
      <c r="S19" s="404"/>
    </row>
    <row r="20" spans="1:19" x14ac:dyDescent="0.25">
      <c r="A20" s="241"/>
      <c r="B20" s="241"/>
      <c r="C20" s="270"/>
      <c r="D20" s="241"/>
      <c r="E20" s="246"/>
      <c r="F20" s="247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244"/>
      <c r="S20" s="244"/>
    </row>
    <row r="21" spans="1:19" x14ac:dyDescent="0.25">
      <c r="A21" s="400"/>
      <c r="B21" s="400"/>
      <c r="C21" s="401"/>
      <c r="D21" s="400"/>
      <c r="E21" s="400"/>
      <c r="F21" s="404"/>
      <c r="G21" s="404"/>
      <c r="H21" s="404"/>
      <c r="I21" s="404"/>
      <c r="J21" s="404"/>
      <c r="K21" s="404"/>
      <c r="L21" s="404"/>
      <c r="M21" s="404"/>
      <c r="N21" s="404"/>
      <c r="O21" s="404"/>
      <c r="P21" s="404"/>
      <c r="Q21" s="404"/>
      <c r="R21" s="404"/>
      <c r="S21" s="404"/>
    </row>
    <row r="22" spans="1:19" x14ac:dyDescent="0.25">
      <c r="A22" s="241"/>
      <c r="B22" s="241"/>
      <c r="C22" s="270"/>
      <c r="D22" s="241"/>
      <c r="E22" s="241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4"/>
      <c r="S22" s="244"/>
    </row>
    <row r="23" spans="1:19" x14ac:dyDescent="0.25">
      <c r="A23" s="400"/>
      <c r="B23" s="400"/>
      <c r="C23" s="401"/>
      <c r="D23" s="400"/>
      <c r="E23" s="400"/>
      <c r="F23" s="404"/>
      <c r="G23" s="404"/>
      <c r="H23" s="404"/>
      <c r="I23" s="404"/>
      <c r="J23" s="404"/>
      <c r="K23" s="404"/>
      <c r="L23" s="404"/>
      <c r="M23" s="404"/>
      <c r="N23" s="404"/>
      <c r="O23" s="404"/>
      <c r="P23" s="404"/>
      <c r="Q23" s="404"/>
      <c r="R23" s="404"/>
      <c r="S23" s="404"/>
    </row>
    <row r="24" spans="1:19" x14ac:dyDescent="0.25">
      <c r="A24" s="241"/>
      <c r="B24" s="241"/>
      <c r="C24" s="270"/>
      <c r="D24" s="241"/>
      <c r="E24" s="241"/>
      <c r="F24" s="244"/>
      <c r="G24" s="244"/>
      <c r="H24" s="244"/>
      <c r="I24" s="244"/>
      <c r="J24" s="244"/>
      <c r="K24" s="244"/>
      <c r="L24" s="244"/>
      <c r="M24" s="244"/>
      <c r="N24" s="244"/>
      <c r="O24" s="244"/>
      <c r="P24" s="244"/>
      <c r="Q24" s="244"/>
      <c r="R24" s="244"/>
      <c r="S24" s="244"/>
    </row>
    <row r="25" spans="1:19" x14ac:dyDescent="0.25">
      <c r="A25" s="400"/>
      <c r="B25" s="400"/>
      <c r="C25" s="401"/>
      <c r="D25" s="400"/>
      <c r="E25" s="400"/>
      <c r="F25" s="404"/>
      <c r="G25" s="404"/>
      <c r="H25" s="404"/>
      <c r="I25" s="404"/>
      <c r="J25" s="404"/>
      <c r="K25" s="404"/>
      <c r="L25" s="404"/>
      <c r="M25" s="404"/>
      <c r="N25" s="404"/>
      <c r="O25" s="404"/>
      <c r="P25" s="404"/>
      <c r="Q25" s="404"/>
      <c r="R25" s="404"/>
      <c r="S25" s="404"/>
    </row>
    <row r="26" spans="1:19" x14ac:dyDescent="0.25">
      <c r="A26" s="248"/>
      <c r="B26" s="248"/>
      <c r="C26" s="267"/>
      <c r="D26" s="248"/>
      <c r="E26" s="248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x14ac:dyDescent="0.25">
      <c r="A27" s="237"/>
      <c r="B27" s="237"/>
      <c r="C27" s="268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</row>
    <row r="28" spans="1:19" x14ac:dyDescent="0.25">
      <c r="A28" s="250" t="s">
        <v>244</v>
      </c>
      <c r="B28" s="250"/>
      <c r="C28" s="269"/>
      <c r="D28" s="250"/>
      <c r="E28" s="250" t="s">
        <v>245</v>
      </c>
      <c r="F28" s="237"/>
      <c r="G28" s="250" t="s">
        <v>246</v>
      </c>
      <c r="H28" s="250"/>
      <c r="I28" s="250"/>
      <c r="J28" s="250"/>
      <c r="K28" s="250"/>
      <c r="L28" s="250"/>
      <c r="M28" s="250"/>
      <c r="N28" s="250"/>
      <c r="O28" s="250"/>
    </row>
    <row r="29" spans="1:19" ht="9.9499999999999993" customHeight="1" x14ac:dyDescent="0.25">
      <c r="F29" s="237"/>
    </row>
    <row r="30" spans="1:19" x14ac:dyDescent="0.25">
      <c r="A30" s="250" t="s">
        <v>247</v>
      </c>
      <c r="B30" s="250"/>
      <c r="C30" s="269"/>
      <c r="D30" s="250"/>
      <c r="E30" s="250" t="s">
        <v>245</v>
      </c>
      <c r="F30" s="237"/>
      <c r="G30" s="250" t="s">
        <v>248</v>
      </c>
      <c r="H30" s="250"/>
      <c r="I30" s="250"/>
      <c r="J30" s="250"/>
      <c r="K30" s="250"/>
      <c r="L30" s="250"/>
      <c r="M30" s="250"/>
      <c r="N30" s="250"/>
      <c r="O30" s="250"/>
    </row>
    <row r="31" spans="1:19" ht="9.9499999999999993" customHeight="1" x14ac:dyDescent="0.25">
      <c r="F31" s="237"/>
    </row>
    <row r="32" spans="1:19" x14ac:dyDescent="0.25">
      <c r="A32" s="250" t="s">
        <v>247</v>
      </c>
      <c r="B32" s="250"/>
      <c r="C32" s="269"/>
      <c r="D32" s="250"/>
      <c r="E32" s="250" t="s">
        <v>245</v>
      </c>
      <c r="F32" s="237"/>
    </row>
    <row r="33" spans="1:19" ht="9.9499999999999993" customHeight="1" x14ac:dyDescent="0.25">
      <c r="F33" s="237"/>
    </row>
    <row r="34" spans="1:19" x14ac:dyDescent="0.25">
      <c r="F34" s="237"/>
      <c r="G34" s="250" t="s">
        <v>249</v>
      </c>
      <c r="H34" s="250"/>
      <c r="I34" s="250"/>
      <c r="J34" s="250"/>
      <c r="K34" s="250"/>
      <c r="L34" s="250"/>
      <c r="M34" s="250"/>
      <c r="N34" s="250"/>
      <c r="O34" s="250"/>
      <c r="P34" s="250" t="s">
        <v>245</v>
      </c>
      <c r="Q34" s="250"/>
      <c r="R34" s="250"/>
      <c r="S34" s="250"/>
    </row>
    <row r="35" spans="1:19" ht="9.9499999999999993" customHeight="1" x14ac:dyDescent="0.25">
      <c r="F35" s="237"/>
      <c r="P35" s="237"/>
      <c r="Q35" s="237"/>
      <c r="R35" s="237"/>
      <c r="S35" s="237"/>
    </row>
    <row r="36" spans="1:19" x14ac:dyDescent="0.25">
      <c r="A36" s="250" t="s">
        <v>250</v>
      </c>
      <c r="B36" s="250"/>
      <c r="C36" s="269"/>
      <c r="D36" s="250"/>
      <c r="E36" s="250" t="s">
        <v>245</v>
      </c>
      <c r="F36" s="237"/>
      <c r="G36" s="250" t="s">
        <v>249</v>
      </c>
      <c r="H36" s="250"/>
      <c r="I36" s="250"/>
      <c r="J36" s="250"/>
      <c r="K36" s="250"/>
      <c r="L36" s="250"/>
      <c r="M36" s="250"/>
      <c r="N36" s="250"/>
      <c r="O36" s="250"/>
      <c r="P36" s="250" t="s">
        <v>245</v>
      </c>
      <c r="Q36" s="250"/>
      <c r="R36" s="250"/>
      <c r="S36" s="250"/>
    </row>
    <row r="37" spans="1:19" ht="9.9499999999999993" customHeight="1" x14ac:dyDescent="0.25">
      <c r="F37" s="237"/>
      <c r="P37" s="237"/>
      <c r="Q37" s="237"/>
      <c r="R37" s="237"/>
      <c r="S37" s="237"/>
    </row>
    <row r="38" spans="1:19" x14ac:dyDescent="0.25">
      <c r="A38" s="250" t="s">
        <v>251</v>
      </c>
      <c r="B38" s="250"/>
      <c r="C38" s="269"/>
      <c r="D38" s="250"/>
      <c r="E38" s="250" t="s">
        <v>245</v>
      </c>
      <c r="F38" s="237"/>
      <c r="G38" s="250" t="s">
        <v>249</v>
      </c>
      <c r="H38" s="250"/>
      <c r="I38" s="250"/>
      <c r="J38" s="250"/>
      <c r="K38" s="250"/>
      <c r="L38" s="250"/>
      <c r="M38" s="250"/>
      <c r="N38" s="250"/>
      <c r="O38" s="250"/>
      <c r="P38" s="250" t="s">
        <v>245</v>
      </c>
      <c r="Q38" s="250"/>
      <c r="R38" s="250"/>
      <c r="S38" s="25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87">
        <f ca="1">TODAY()</f>
        <v>43052</v>
      </c>
      <c r="B1" s="387"/>
      <c r="C1" s="385" t="str">
        <f>Setup!B3</f>
        <v>Serieomgång 4</v>
      </c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  <c r="AA1" s="385"/>
      <c r="AB1" s="385"/>
      <c r="AC1" s="385"/>
      <c r="AD1" s="385"/>
      <c r="AG1" s="29">
        <f ca="1">COUNTA(A:A)+8</f>
        <v>59</v>
      </c>
    </row>
    <row r="2" spans="1:33" s="29" customFormat="1" ht="12.75" customHeight="1" x14ac:dyDescent="0.2">
      <c r="A2" s="388"/>
      <c r="B2" s="388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</row>
    <row r="3" spans="1:33" s="192" customFormat="1" ht="25.5" x14ac:dyDescent="0.2">
      <c r="A3" s="193" t="s">
        <v>60</v>
      </c>
      <c r="B3" s="194" t="s">
        <v>0</v>
      </c>
      <c r="C3" s="195" t="s">
        <v>41</v>
      </c>
      <c r="D3" s="196" t="s">
        <v>2</v>
      </c>
      <c r="E3" s="196" t="str">
        <f>Lifting!$E$7</f>
        <v>Bwt (kg)</v>
      </c>
      <c r="F3" s="196" t="str">
        <f>IF(E3="Bwt (lb)","WtCls (lb)","WtCls (kg)")</f>
        <v>WtCls (kg)</v>
      </c>
      <c r="G3" s="196" t="s">
        <v>1</v>
      </c>
      <c r="H3" s="196" t="s">
        <v>5</v>
      </c>
      <c r="I3" s="232" t="s">
        <v>187</v>
      </c>
      <c r="J3" s="196" t="s">
        <v>4</v>
      </c>
      <c r="K3" s="196" t="s">
        <v>8</v>
      </c>
      <c r="L3" s="196" t="s">
        <v>9</v>
      </c>
      <c r="M3" s="196" t="s">
        <v>10</v>
      </c>
      <c r="N3" s="196" t="s">
        <v>11</v>
      </c>
      <c r="O3" s="196" t="s">
        <v>12</v>
      </c>
      <c r="P3" s="196" t="s">
        <v>13</v>
      </c>
      <c r="Q3" s="196" t="s">
        <v>14</v>
      </c>
      <c r="R3" s="196" t="s">
        <v>15</v>
      </c>
      <c r="S3" s="196" t="s">
        <v>16</v>
      </c>
      <c r="T3" s="196" t="s">
        <v>21</v>
      </c>
      <c r="U3" s="196" t="s">
        <v>17</v>
      </c>
      <c r="V3" s="196" t="s">
        <v>18</v>
      </c>
      <c r="W3" s="196" t="s">
        <v>19</v>
      </c>
      <c r="X3" s="196" t="s">
        <v>20</v>
      </c>
      <c r="Y3" s="196" t="s">
        <v>22</v>
      </c>
      <c r="Z3" s="197" t="s">
        <v>127</v>
      </c>
      <c r="AA3" s="197" t="s">
        <v>186</v>
      </c>
      <c r="AB3" s="197" t="s">
        <v>185</v>
      </c>
      <c r="AC3" s="196" t="s">
        <v>26</v>
      </c>
      <c r="AD3" s="196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3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3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3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3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3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3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3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3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3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3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3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3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3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3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3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3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3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3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3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3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3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3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3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3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3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3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3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3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3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3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3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3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3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3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3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3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3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3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3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3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92" customFormat="1" ht="25.5" x14ac:dyDescent="0.2">
      <c r="A45" s="193" t="s">
        <v>60</v>
      </c>
      <c r="B45" s="194" t="s">
        <v>295</v>
      </c>
      <c r="C45" s="195" t="s">
        <v>41</v>
      </c>
      <c r="D45" s="196" t="s">
        <v>2</v>
      </c>
      <c r="E45" s="196" t="str">
        <f>Lifting!$E$7</f>
        <v>Bwt (kg)</v>
      </c>
      <c r="F45" s="196" t="str">
        <f>IF(E45="Bwt (lb)","WtCls (lb)","WtCls (kg)")</f>
        <v>WtCls (kg)</v>
      </c>
      <c r="G45" s="196" t="s">
        <v>1</v>
      </c>
      <c r="H45" s="196" t="s">
        <v>5</v>
      </c>
      <c r="I45" s="232" t="s">
        <v>187</v>
      </c>
      <c r="J45" s="196" t="s">
        <v>4</v>
      </c>
      <c r="K45" s="196" t="s">
        <v>8</v>
      </c>
      <c r="L45" s="196" t="s">
        <v>9</v>
      </c>
      <c r="M45" s="196" t="s">
        <v>10</v>
      </c>
      <c r="N45" s="196" t="s">
        <v>11</v>
      </c>
      <c r="O45" s="196" t="s">
        <v>12</v>
      </c>
      <c r="P45" s="196" t="s">
        <v>13</v>
      </c>
      <c r="Q45" s="196" t="s">
        <v>14</v>
      </c>
      <c r="R45" s="196" t="s">
        <v>15</v>
      </c>
      <c r="S45" s="196" t="s">
        <v>16</v>
      </c>
      <c r="T45" s="196" t="s">
        <v>21</v>
      </c>
      <c r="U45" s="196" t="s">
        <v>17</v>
      </c>
      <c r="V45" s="196" t="s">
        <v>18</v>
      </c>
      <c r="W45" s="196" t="s">
        <v>19</v>
      </c>
      <c r="X45" s="196" t="s">
        <v>20</v>
      </c>
      <c r="Y45" s="196" t="s">
        <v>22</v>
      </c>
      <c r="Z45" s="197" t="s">
        <v>21</v>
      </c>
      <c r="AA45" s="197" t="s">
        <v>186</v>
      </c>
      <c r="AB45" s="197" t="s">
        <v>185</v>
      </c>
      <c r="AC45" s="196" t="s">
        <v>26</v>
      </c>
      <c r="AD45" s="196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3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3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3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3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3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3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3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3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389" t="s">
        <v>177</v>
      </c>
      <c r="B3" s="390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90"/>
      <c r="B4" s="390"/>
      <c r="C4" s="391" t="s">
        <v>139</v>
      </c>
      <c r="D4" s="391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390"/>
      <c r="B5" s="390"/>
      <c r="C5" s="392" t="s">
        <v>170</v>
      </c>
      <c r="D5" s="392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390"/>
      <c r="B6" s="390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390"/>
      <c r="B7" s="390"/>
      <c r="C7" s="393" t="str">
        <f>CONCATENATE("WtCls ",RIGHT('Weigh-In'!E2,4))</f>
        <v>WtCls (kg)</v>
      </c>
      <c r="D7" s="393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390"/>
      <c r="B8" s="390"/>
      <c r="C8" s="392">
        <v>83</v>
      </c>
      <c r="D8" s="392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90"/>
      <c r="B9" s="390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390"/>
      <c r="B10" s="390"/>
      <c r="C10" s="391" t="s">
        <v>120</v>
      </c>
      <c r="D10" s="391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390"/>
      <c r="B11" s="390"/>
      <c r="C11" s="392" t="s">
        <v>127</v>
      </c>
      <c r="D11" s="392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2017-11-11T21:32:01Z</cp:lastPrinted>
  <dcterms:created xsi:type="dcterms:W3CDTF">2007-05-21T13:10:26Z</dcterms:created>
  <dcterms:modified xsi:type="dcterms:W3CDTF">2017-11-13T13:58:17Z</dcterms:modified>
</cp:coreProperties>
</file>