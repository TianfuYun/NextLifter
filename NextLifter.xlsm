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29" codeName="{320AAD7A-AEEB-3B57-35EE-6C7AAB037B02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19200" windowHeight="7395" activeTab="3"/>
  </bookViews>
  <sheets>
    <sheet name="Setup" sheetId="4" r:id="rId1"/>
    <sheet name="Lists" sheetId="2" state="hidden" r:id="rId2"/>
    <sheet name="Weigh-In" sheetId="3" r:id="rId3"/>
    <sheet name="Lifting" sheetId="1" r:id="rId4"/>
    <sheet name="Public" sheetId="10" r:id="rId5"/>
    <sheet name="DATA" sheetId="5" state="hidden" r:id="rId6"/>
    <sheet name="AttemptBoard" sheetId="11" r:id="rId7"/>
    <sheet name="QuickPrint" sheetId="12" r:id="rId8"/>
    <sheet name="ContestResults" sheetId="6" r:id="rId9"/>
    <sheet name="LoadingChart" sheetId="8" state="hidden" r:id="rId10"/>
    <sheet name="Awards" sheetId="9" state="hidden" r:id="rId11"/>
  </sheets>
  <functionGroups builtInGroupCount="19"/>
  <externalReferences>
    <externalReference r:id="rId12"/>
    <externalReference r:id="rId13"/>
    <externalReference r:id="rId14"/>
  </externalReferences>
  <definedNames>
    <definedName name="_xlnm._FilterDatabase" localSheetId="8" hidden="1">ContestResults!#REF!</definedName>
    <definedName name="Attempts" localSheetId="4">[1]Lists!$A$2:$A$11</definedName>
    <definedName name="Attempts" localSheetId="7">[2]Lists!$A$2:$A$11</definedName>
    <definedName name="Attempts">Lists!$A$2:$A$11</definedName>
    <definedName name="_xlnm.Print_Area" localSheetId="9">LoadingChart!$A$1:$W$187</definedName>
    <definedName name="_xlnm.Print_Area" localSheetId="7">QuickPrint!$A$1:$S$39</definedName>
    <definedName name="_xlnm.Print_Titles" localSheetId="9">LoadingChart!$2:$2</definedName>
    <definedName name="sibirange">Public!$B$10:$I$21</definedName>
  </definedNames>
  <calcPr calcId="162913"/>
  <fileRecoveryPr autoRecover="0"/>
</workbook>
</file>

<file path=xl/calcChain.xml><?xml version="1.0" encoding="utf-8"?>
<calcChain xmlns="http://schemas.openxmlformats.org/spreadsheetml/2006/main">
  <c r="Y37" i="1" l="1"/>
  <c r="Y38" i="1"/>
  <c r="Y40" i="1"/>
  <c r="Y39" i="1"/>
  <c r="Y36" i="1"/>
  <c r="Y35" i="1"/>
  <c r="Y42" i="1"/>
  <c r="Y41" i="1"/>
  <c r="Y20" i="1"/>
  <c r="Y13" i="1"/>
  <c r="Y17" i="1"/>
  <c r="Y18" i="1"/>
  <c r="Y14" i="1"/>
  <c r="Y19" i="1"/>
  <c r="Y11" i="1"/>
  <c r="Y16" i="1"/>
  <c r="Y10" i="1"/>
  <c r="Y9" i="1"/>
  <c r="Y15" i="1"/>
  <c r="Y12" i="1"/>
  <c r="Y34" i="1"/>
  <c r="Y32" i="1"/>
  <c r="Y33" i="1"/>
  <c r="Y29" i="1"/>
  <c r="Y26" i="1"/>
  <c r="Y30" i="1"/>
  <c r="Y27" i="1"/>
  <c r="Y31" i="1"/>
  <c r="Y24" i="1"/>
  <c r="Y23" i="1"/>
  <c r="Y28" i="1"/>
  <c r="Y25" i="1"/>
  <c r="Y22" i="1"/>
  <c r="Y21" i="1"/>
  <c r="T37" i="1"/>
  <c r="T38" i="1"/>
  <c r="T40" i="1"/>
  <c r="T39" i="1"/>
  <c r="T36" i="1"/>
  <c r="T35" i="1"/>
  <c r="T42" i="1"/>
  <c r="T41" i="1"/>
  <c r="T20" i="1"/>
  <c r="T13" i="1"/>
  <c r="T17" i="1"/>
  <c r="T18" i="1"/>
  <c r="T14" i="1"/>
  <c r="T19" i="1"/>
  <c r="T11" i="1"/>
  <c r="T16" i="1"/>
  <c r="T10" i="1"/>
  <c r="T9" i="1"/>
  <c r="T15" i="1"/>
  <c r="T12" i="1"/>
  <c r="T34" i="1"/>
  <c r="T32" i="1"/>
  <c r="T33" i="1"/>
  <c r="T29" i="1"/>
  <c r="T26" i="1"/>
  <c r="T30" i="1"/>
  <c r="T27" i="1"/>
  <c r="T31" i="1"/>
  <c r="T24" i="1"/>
  <c r="T23" i="1"/>
  <c r="T28" i="1"/>
  <c r="T25" i="1"/>
  <c r="T22" i="1"/>
  <c r="T21" i="1"/>
  <c r="O20" i="1"/>
  <c r="O13" i="1"/>
  <c r="O17" i="1"/>
  <c r="O18" i="1"/>
  <c r="O14" i="1"/>
  <c r="O19" i="1"/>
  <c r="O11" i="1"/>
  <c r="O16" i="1"/>
  <c r="O10" i="1"/>
  <c r="O9" i="1"/>
  <c r="O15" i="1"/>
  <c r="O12" i="1"/>
  <c r="O34" i="1"/>
  <c r="O32" i="1"/>
  <c r="O33" i="1"/>
  <c r="O29" i="1"/>
  <c r="O26" i="1"/>
  <c r="O30" i="1"/>
  <c r="O27" i="1"/>
  <c r="O31" i="1"/>
  <c r="O24" i="1"/>
  <c r="O23" i="1"/>
  <c r="O28" i="1"/>
  <c r="O25" i="1"/>
  <c r="O22" i="1"/>
  <c r="O21" i="1"/>
  <c r="Y8" i="1"/>
  <c r="O37" i="1"/>
  <c r="O38" i="1"/>
  <c r="O40" i="1"/>
  <c r="O39" i="1"/>
  <c r="O36" i="1"/>
  <c r="O35" i="1"/>
  <c r="O42" i="1"/>
  <c r="O41" i="1"/>
  <c r="O8" i="1"/>
  <c r="E25" i="10"/>
  <c r="E35" i="10"/>
  <c r="E20" i="10"/>
  <c r="E28" i="10"/>
  <c r="E27" i="10"/>
  <c r="E18" i="10"/>
  <c r="E26" i="10"/>
  <c r="E16" i="10"/>
  <c r="E15" i="10"/>
  <c r="E36" i="10"/>
  <c r="E31" i="10"/>
  <c r="E11" i="10"/>
  <c r="E14" i="10"/>
  <c r="E21" i="10"/>
  <c r="E34" i="10"/>
  <c r="E19" i="10"/>
  <c r="E23" i="10"/>
  <c r="E13" i="10"/>
  <c r="E32" i="10"/>
  <c r="E17" i="10"/>
  <c r="E22" i="10"/>
  <c r="E12" i="10"/>
  <c r="E29" i="10"/>
  <c r="E24" i="10"/>
  <c r="E30" i="10"/>
  <c r="E33" i="10"/>
  <c r="U42" i="1" l="1"/>
  <c r="U40" i="1"/>
  <c r="U41" i="1"/>
  <c r="U39" i="1"/>
  <c r="U15" i="1"/>
  <c r="U11" i="1"/>
  <c r="U17" i="1"/>
  <c r="U25" i="1"/>
  <c r="U31" i="1"/>
  <c r="U29" i="1"/>
  <c r="U12" i="1"/>
  <c r="U16" i="1"/>
  <c r="U18" i="1"/>
  <c r="U19" i="1"/>
  <c r="U13" i="1"/>
  <c r="U35" i="1"/>
  <c r="U9" i="1"/>
  <c r="U22" i="1"/>
  <c r="U37" i="1"/>
  <c r="U24" i="1"/>
  <c r="U26" i="1"/>
  <c r="U34" i="1"/>
  <c r="U10" i="1"/>
  <c r="U14" i="1"/>
  <c r="U20" i="1"/>
  <c r="U38" i="1"/>
  <c r="U36" i="1"/>
  <c r="U28" i="1"/>
  <c r="U27" i="1"/>
  <c r="U33" i="1"/>
  <c r="U21" i="1"/>
  <c r="U23" i="1"/>
  <c r="U30" i="1"/>
  <c r="U32" i="1"/>
  <c r="AO34" i="1"/>
  <c r="J34" i="1"/>
  <c r="AO33" i="1"/>
  <c r="J33" i="1"/>
  <c r="AO31" i="1"/>
  <c r="J31" i="1"/>
  <c r="AO30" i="1"/>
  <c r="J30" i="1"/>
  <c r="AO32" i="1"/>
  <c r="J32" i="1"/>
  <c r="AO21" i="1"/>
  <c r="J21" i="1"/>
  <c r="AO28" i="1"/>
  <c r="J28" i="1"/>
  <c r="AO25" i="1"/>
  <c r="J25" i="1"/>
  <c r="AO23" i="1"/>
  <c r="J23" i="1"/>
  <c r="AO22" i="1"/>
  <c r="J22" i="1"/>
  <c r="AO24" i="1"/>
  <c r="J24" i="1"/>
  <c r="AO27" i="1"/>
  <c r="J27" i="1"/>
  <c r="AO29" i="1"/>
  <c r="J29" i="1"/>
  <c r="AO26" i="1"/>
  <c r="J26" i="1"/>
  <c r="AO9" i="1"/>
  <c r="J9" i="1"/>
  <c r="AO16" i="1"/>
  <c r="J16" i="1"/>
  <c r="AO12" i="1"/>
  <c r="J12" i="1"/>
  <c r="AO15" i="1"/>
  <c r="J15" i="1"/>
  <c r="AO10" i="1"/>
  <c r="J10" i="1"/>
  <c r="AO20" i="1"/>
  <c r="J20" i="1"/>
  <c r="AO19" i="1"/>
  <c r="J19" i="1"/>
  <c r="AO18" i="1"/>
  <c r="J18" i="1"/>
  <c r="AO17" i="1"/>
  <c r="J17" i="1"/>
  <c r="AO14" i="1"/>
  <c r="J14" i="1"/>
  <c r="AO11" i="1"/>
  <c r="J11" i="1"/>
  <c r="AO13" i="1"/>
  <c r="J13" i="1"/>
  <c r="BY42" i="1"/>
  <c r="AO42" i="1"/>
  <c r="J42" i="1"/>
  <c r="BY36" i="1"/>
  <c r="AO36" i="1"/>
  <c r="J36" i="1"/>
  <c r="BY40" i="1"/>
  <c r="AO40" i="1"/>
  <c r="J40" i="1"/>
  <c r="BY41" i="1"/>
  <c r="AO41" i="1"/>
  <c r="J41" i="1"/>
  <c r="BY39" i="1"/>
  <c r="AO39" i="1"/>
  <c r="J39" i="1"/>
  <c r="BY38" i="1"/>
  <c r="AO38" i="1"/>
  <c r="J38" i="1"/>
  <c r="BY37" i="1"/>
  <c r="AO37" i="1"/>
  <c r="J37" i="1"/>
  <c r="BY35" i="1"/>
  <c r="AO35" i="1"/>
  <c r="J35" i="1"/>
  <c r="E5" i="12" l="1"/>
  <c r="I5" i="12"/>
  <c r="J8" i="1" l="1"/>
  <c r="D43" i="2" l="1"/>
  <c r="D42" i="2"/>
  <c r="D41" i="2"/>
  <c r="D40" i="2"/>
  <c r="D39" i="2"/>
  <c r="D38" i="2"/>
  <c r="D37" i="2"/>
  <c r="D36" i="2"/>
  <c r="D35" i="2"/>
  <c r="D44" i="2" l="1"/>
  <c r="J36" i="2"/>
  <c r="J37" i="2"/>
  <c r="C187" i="8" l="1"/>
  <c r="O187" i="8" s="1"/>
  <c r="C186" i="8"/>
  <c r="O186" i="8" s="1"/>
  <c r="C185" i="8"/>
  <c r="O185" i="8" s="1"/>
  <c r="C184" i="8"/>
  <c r="O184" i="8" s="1"/>
  <c r="C183" i="8"/>
  <c r="O183" i="8" s="1"/>
  <c r="C182" i="8"/>
  <c r="O182" i="8" s="1"/>
  <c r="O181" i="8"/>
  <c r="C181" i="8"/>
  <c r="O180" i="8"/>
  <c r="C180" i="8"/>
  <c r="C179" i="8"/>
  <c r="O179" i="8" s="1"/>
  <c r="C178" i="8"/>
  <c r="O178" i="8" s="1"/>
  <c r="O177" i="8"/>
  <c r="C177" i="8"/>
  <c r="O176" i="8"/>
  <c r="C176" i="8"/>
  <c r="C175" i="8"/>
  <c r="O175" i="8" s="1"/>
  <c r="C174" i="8"/>
  <c r="O174" i="8" s="1"/>
  <c r="C173" i="8"/>
  <c r="O173" i="8" s="1"/>
  <c r="C172" i="8"/>
  <c r="O172" i="8" s="1"/>
  <c r="C171" i="8"/>
  <c r="O171" i="8" s="1"/>
  <c r="C170" i="8"/>
  <c r="O170" i="8" s="1"/>
  <c r="C169" i="8"/>
  <c r="O169" i="8" s="1"/>
  <c r="C168" i="8"/>
  <c r="O168" i="8" s="1"/>
  <c r="C167" i="8"/>
  <c r="O167" i="8" s="1"/>
  <c r="C166" i="8"/>
  <c r="O166" i="8" s="1"/>
  <c r="C165" i="8"/>
  <c r="O165" i="8" s="1"/>
  <c r="C164" i="8"/>
  <c r="O164" i="8" s="1"/>
  <c r="C163" i="8"/>
  <c r="O163" i="8" s="1"/>
  <c r="C162" i="8"/>
  <c r="O162" i="8" s="1"/>
  <c r="C161" i="8"/>
  <c r="O161" i="8" s="1"/>
  <c r="C160" i="8"/>
  <c r="O160" i="8" s="1"/>
  <c r="C159" i="8"/>
  <c r="O159" i="8" s="1"/>
  <c r="C158" i="8"/>
  <c r="O158" i="8" s="1"/>
  <c r="C157" i="8"/>
  <c r="O157" i="8" s="1"/>
  <c r="C156" i="8"/>
  <c r="O156" i="8" s="1"/>
  <c r="C155" i="8"/>
  <c r="O155" i="8" s="1"/>
  <c r="C154" i="8"/>
  <c r="O154" i="8" s="1"/>
  <c r="C153" i="8"/>
  <c r="O153" i="8" s="1"/>
  <c r="C152" i="8"/>
  <c r="O152" i="8" s="1"/>
  <c r="C151" i="8"/>
  <c r="O151" i="8" s="1"/>
  <c r="C150" i="8"/>
  <c r="O150" i="8" s="1"/>
  <c r="C149" i="8"/>
  <c r="O149" i="8" s="1"/>
  <c r="C148" i="8"/>
  <c r="O148" i="8" s="1"/>
  <c r="C147" i="8"/>
  <c r="O147" i="8" s="1"/>
  <c r="C146" i="8"/>
  <c r="O146" i="8" s="1"/>
  <c r="C145" i="8"/>
  <c r="O145" i="8" s="1"/>
  <c r="C144" i="8"/>
  <c r="O144" i="8" s="1"/>
  <c r="C143" i="8"/>
  <c r="O143" i="8" s="1"/>
  <c r="C142" i="8"/>
  <c r="O142" i="8" s="1"/>
  <c r="C141" i="8"/>
  <c r="O141" i="8" s="1"/>
  <c r="C140" i="8"/>
  <c r="O140" i="8" s="1"/>
  <c r="C139" i="8"/>
  <c r="O139" i="8" s="1"/>
  <c r="C138" i="8"/>
  <c r="O138" i="8" s="1"/>
  <c r="C137" i="8"/>
  <c r="O137" i="8" s="1"/>
  <c r="C136" i="8"/>
  <c r="O136" i="8" s="1"/>
  <c r="C135" i="8"/>
  <c r="O135" i="8" s="1"/>
  <c r="C134" i="8"/>
  <c r="O134" i="8" s="1"/>
  <c r="C133" i="8"/>
  <c r="O133" i="8" s="1"/>
  <c r="C132" i="8"/>
  <c r="O132" i="8" s="1"/>
  <c r="C131" i="8"/>
  <c r="O131" i="8" s="1"/>
  <c r="O130" i="8"/>
  <c r="C130" i="8"/>
  <c r="C129" i="8"/>
  <c r="O129" i="8" s="1"/>
  <c r="C128" i="8"/>
  <c r="O128" i="8" s="1"/>
  <c r="O127" i="8"/>
  <c r="C127" i="8"/>
  <c r="C126" i="8"/>
  <c r="O126" i="8" s="1"/>
  <c r="C125" i="8"/>
  <c r="O125" i="8" s="1"/>
  <c r="C124" i="8"/>
  <c r="O124" i="8" s="1"/>
  <c r="C123" i="8"/>
  <c r="O123" i="8" s="1"/>
  <c r="O122" i="8"/>
  <c r="C122" i="8"/>
  <c r="C121" i="8"/>
  <c r="O121" i="8" s="1"/>
  <c r="C120" i="8"/>
  <c r="O120" i="8" s="1"/>
  <c r="O119" i="8"/>
  <c r="C119" i="8"/>
  <c r="C118" i="8"/>
  <c r="O118" i="8" s="1"/>
  <c r="C117" i="8"/>
  <c r="O117" i="8" s="1"/>
  <c r="C116" i="8"/>
  <c r="O116" i="8" s="1"/>
  <c r="C115" i="8"/>
  <c r="O115" i="8" s="1"/>
  <c r="C114" i="8"/>
  <c r="O114" i="8" s="1"/>
  <c r="C113" i="8"/>
  <c r="O113" i="8" s="1"/>
  <c r="C112" i="8"/>
  <c r="O112" i="8" s="1"/>
  <c r="C111" i="8"/>
  <c r="O111" i="8" s="1"/>
  <c r="C110" i="8"/>
  <c r="O110" i="8" s="1"/>
  <c r="C109" i="8"/>
  <c r="O109" i="8" s="1"/>
  <c r="C108" i="8"/>
  <c r="O108" i="8" s="1"/>
  <c r="C107" i="8"/>
  <c r="O107" i="8" s="1"/>
  <c r="C106" i="8"/>
  <c r="O106" i="8" s="1"/>
  <c r="C105" i="8"/>
  <c r="O105" i="8" s="1"/>
  <c r="C104" i="8"/>
  <c r="O104" i="8" s="1"/>
  <c r="C103" i="8"/>
  <c r="O103" i="8" s="1"/>
  <c r="C102" i="8"/>
  <c r="O102" i="8" s="1"/>
  <c r="C101" i="8"/>
  <c r="O101" i="8" s="1"/>
  <c r="C100" i="8"/>
  <c r="O100" i="8" s="1"/>
  <c r="C99" i="8"/>
  <c r="O99" i="8" s="1"/>
  <c r="C98" i="8"/>
  <c r="O98" i="8" s="1"/>
  <c r="C97" i="8"/>
  <c r="O97" i="8" s="1"/>
  <c r="C96" i="8"/>
  <c r="O96" i="8" s="1"/>
  <c r="C95" i="8"/>
  <c r="O95" i="8" s="1"/>
  <c r="C94" i="8"/>
  <c r="O94" i="8" s="1"/>
  <c r="C93" i="8"/>
  <c r="O93" i="8" s="1"/>
  <c r="C92" i="8"/>
  <c r="O92" i="8" s="1"/>
  <c r="C91" i="8"/>
  <c r="O91" i="8" s="1"/>
  <c r="C90" i="8"/>
  <c r="O90" i="8" s="1"/>
  <c r="C89" i="8"/>
  <c r="O89" i="8" s="1"/>
  <c r="C88" i="8"/>
  <c r="O88" i="8" s="1"/>
  <c r="C87" i="8"/>
  <c r="O87" i="8" s="1"/>
  <c r="C86" i="8"/>
  <c r="O86" i="8" s="1"/>
  <c r="C85" i="8"/>
  <c r="O85" i="8" s="1"/>
  <c r="C84" i="8"/>
  <c r="O84" i="8" s="1"/>
  <c r="C83" i="8"/>
  <c r="O83" i="8" s="1"/>
  <c r="C82" i="8"/>
  <c r="O82" i="8" s="1"/>
  <c r="C81" i="8"/>
  <c r="O81" i="8" s="1"/>
  <c r="C80" i="8"/>
  <c r="O80" i="8" s="1"/>
  <c r="C79" i="8"/>
  <c r="O79" i="8" s="1"/>
  <c r="C78" i="8"/>
  <c r="O78" i="8" s="1"/>
  <c r="C77" i="8"/>
  <c r="O77" i="8" s="1"/>
  <c r="C76" i="8"/>
  <c r="O76" i="8" s="1"/>
  <c r="C75" i="8"/>
  <c r="O75" i="8" s="1"/>
  <c r="O74" i="8"/>
  <c r="C74" i="8"/>
  <c r="C73" i="8"/>
  <c r="O73" i="8" s="1"/>
  <c r="C72" i="8"/>
  <c r="O72" i="8" s="1"/>
  <c r="C71" i="8"/>
  <c r="O71" i="8" s="1"/>
  <c r="C70" i="8"/>
  <c r="O70" i="8" s="1"/>
  <c r="C69" i="8"/>
  <c r="O69" i="8" s="1"/>
  <c r="C68" i="8"/>
  <c r="O68" i="8" s="1"/>
  <c r="C67" i="8"/>
  <c r="O67" i="8" s="1"/>
  <c r="C66" i="8"/>
  <c r="O66" i="8" s="1"/>
  <c r="C65" i="8"/>
  <c r="O65" i="8" s="1"/>
  <c r="C64" i="8"/>
  <c r="O64" i="8" s="1"/>
  <c r="C63" i="8"/>
  <c r="O63" i="8" s="1"/>
  <c r="C62" i="8"/>
  <c r="O62" i="8" s="1"/>
  <c r="C61" i="8"/>
  <c r="O61" i="8" s="1"/>
  <c r="C60" i="8"/>
  <c r="O60" i="8" s="1"/>
  <c r="C59" i="8"/>
  <c r="O59" i="8" s="1"/>
  <c r="C58" i="8"/>
  <c r="O58" i="8" s="1"/>
  <c r="C57" i="8"/>
  <c r="O57" i="8" s="1"/>
  <c r="C56" i="8"/>
  <c r="O56" i="8" s="1"/>
  <c r="C55" i="8"/>
  <c r="O55" i="8" s="1"/>
  <c r="C54" i="8"/>
  <c r="O54" i="8" s="1"/>
  <c r="C53" i="8"/>
  <c r="O53" i="8" s="1"/>
  <c r="C52" i="8"/>
  <c r="O52" i="8" s="1"/>
  <c r="C51" i="8"/>
  <c r="O51" i="8" s="1"/>
  <c r="C50" i="8"/>
  <c r="O50" i="8" s="1"/>
  <c r="C49" i="8"/>
  <c r="O49" i="8" s="1"/>
  <c r="C48" i="8"/>
  <c r="O48" i="8" s="1"/>
  <c r="C47" i="8"/>
  <c r="O47" i="8" s="1"/>
  <c r="C46" i="8"/>
  <c r="O46" i="8" s="1"/>
  <c r="C45" i="8"/>
  <c r="O45" i="8" s="1"/>
  <c r="C44" i="8"/>
  <c r="O44" i="8" s="1"/>
  <c r="C43" i="8"/>
  <c r="O43" i="8" s="1"/>
  <c r="C42" i="8"/>
  <c r="O42" i="8" s="1"/>
  <c r="C41" i="8"/>
  <c r="O41" i="8" s="1"/>
  <c r="C40" i="8"/>
  <c r="O40" i="8" s="1"/>
  <c r="C39" i="8"/>
  <c r="O39" i="8" s="1"/>
  <c r="C38" i="8"/>
  <c r="O38" i="8" s="1"/>
  <c r="C37" i="8"/>
  <c r="O37" i="8" s="1"/>
  <c r="C36" i="8"/>
  <c r="O36" i="8" s="1"/>
  <c r="C35" i="8"/>
  <c r="O35" i="8" s="1"/>
  <c r="C34" i="8"/>
  <c r="O34" i="8" s="1"/>
  <c r="C33" i="8"/>
  <c r="O33" i="8" s="1"/>
  <c r="C32" i="8"/>
  <c r="O32" i="8" s="1"/>
  <c r="C31" i="8"/>
  <c r="O31" i="8" s="1"/>
  <c r="C30" i="8"/>
  <c r="O30" i="8" s="1"/>
  <c r="C29" i="8"/>
  <c r="O29" i="8" s="1"/>
  <c r="C28" i="8"/>
  <c r="O28" i="8" s="1"/>
  <c r="C27" i="8"/>
  <c r="O27" i="8" s="1"/>
  <c r="C26" i="8"/>
  <c r="O26" i="8" s="1"/>
  <c r="C25" i="8"/>
  <c r="O25" i="8" s="1"/>
  <c r="C24" i="8"/>
  <c r="O24" i="8" s="1"/>
  <c r="C23" i="8"/>
  <c r="O23" i="8" s="1"/>
  <c r="C22" i="8"/>
  <c r="O22" i="8" s="1"/>
  <c r="C21" i="8"/>
  <c r="O21" i="8" s="1"/>
  <c r="C20" i="8"/>
  <c r="O20" i="8" s="1"/>
  <c r="C19" i="8"/>
  <c r="O19" i="8" s="1"/>
  <c r="C18" i="8"/>
  <c r="O18" i="8" s="1"/>
  <c r="C17" i="8"/>
  <c r="O17" i="8" s="1"/>
  <c r="C16" i="8"/>
  <c r="O16" i="8" s="1"/>
  <c r="C15" i="8"/>
  <c r="O15" i="8" s="1"/>
  <c r="C14" i="8"/>
  <c r="O14" i="8" s="1"/>
  <c r="C13" i="8"/>
  <c r="O13" i="8" s="1"/>
  <c r="C12" i="8"/>
  <c r="O12" i="8" s="1"/>
  <c r="C11" i="8"/>
  <c r="O11" i="8" s="1"/>
  <c r="C10" i="8"/>
  <c r="O10" i="8" s="1"/>
  <c r="C9" i="8"/>
  <c r="O9" i="8" s="1"/>
  <c r="C8" i="8"/>
  <c r="O8" i="8" s="1"/>
  <c r="C7" i="8"/>
  <c r="O7" i="8" s="1"/>
  <c r="C6" i="8"/>
  <c r="O6" i="8" s="1"/>
  <c r="C5" i="8"/>
  <c r="O5" i="8" s="1"/>
  <c r="O22" i="2" l="1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Q36" i="2" l="1"/>
  <c r="Q35" i="2"/>
  <c r="N16" i="10"/>
  <c r="H23" i="10"/>
  <c r="P19" i="10"/>
  <c r="K33" i="10"/>
  <c r="M16" i="10"/>
  <c r="N17" i="10"/>
  <c r="M13" i="10"/>
  <c r="F12" i="10"/>
  <c r="G17" i="10"/>
  <c r="AC19" i="1"/>
  <c r="O26" i="10"/>
  <c r="J12" i="10"/>
  <c r="C24" i="10"/>
  <c r="D35" i="10"/>
  <c r="P12" i="10"/>
  <c r="AC12" i="1"/>
  <c r="M32" i="10"/>
  <c r="L21" i="10"/>
  <c r="H21" i="10"/>
  <c r="C12" i="10"/>
  <c r="K16" i="10"/>
  <c r="L35" i="10"/>
  <c r="N24" i="10"/>
  <c r="D13" i="10"/>
  <c r="I11" i="10"/>
  <c r="D31" i="10"/>
  <c r="AC28" i="1"/>
  <c r="D20" i="10"/>
  <c r="L31" i="10"/>
  <c r="O21" i="10"/>
  <c r="B12" i="10"/>
  <c r="H15" i="10"/>
  <c r="AC27" i="1"/>
  <c r="H25" i="10"/>
  <c r="C23" i="10"/>
  <c r="BB35" i="1"/>
  <c r="J27" i="10"/>
  <c r="K29" i="10"/>
  <c r="BB38" i="1"/>
  <c r="H29" i="10"/>
  <c r="K19" i="10"/>
  <c r="BB10" i="1"/>
  <c r="I36" i="10"/>
  <c r="BB14" i="1"/>
  <c r="M11" i="10"/>
  <c r="B13" i="10"/>
  <c r="K11" i="10"/>
  <c r="K27" i="10"/>
  <c r="BB23" i="1"/>
  <c r="G15" i="10"/>
  <c r="G25" i="10"/>
  <c r="BB36" i="1"/>
  <c r="O35" i="10"/>
  <c r="P27" i="10"/>
  <c r="P23" i="10"/>
  <c r="C22" i="10"/>
  <c r="J21" i="10"/>
  <c r="B29" i="10"/>
  <c r="G26" i="10"/>
  <c r="G12" i="10"/>
  <c r="B27" i="10"/>
  <c r="L18" i="10"/>
  <c r="BB20" i="1"/>
  <c r="G13" i="10"/>
  <c r="H16" i="10"/>
  <c r="F24" i="10"/>
  <c r="H36" i="10"/>
  <c r="M27" i="10"/>
  <c r="N11" i="10"/>
  <c r="G20" i="10"/>
  <c r="H22" i="10"/>
  <c r="G18" i="10"/>
  <c r="N23" i="10"/>
  <c r="AC18" i="1"/>
  <c r="G14" i="10"/>
  <c r="H17" i="10"/>
  <c r="BB21" i="1"/>
  <c r="B24" i="10"/>
  <c r="L26" i="10"/>
  <c r="M26" i="10"/>
  <c r="I24" i="10"/>
  <c r="I33" i="10"/>
  <c r="BB29" i="1"/>
  <c r="BB13" i="1"/>
  <c r="G30" i="10"/>
  <c r="K30" i="10"/>
  <c r="BB18" i="1"/>
  <c r="B31" i="10"/>
  <c r="C26" i="10"/>
  <c r="B25" i="10"/>
  <c r="L29" i="10"/>
  <c r="G16" i="10"/>
  <c r="N34" i="10"/>
  <c r="H33" i="10"/>
  <c r="C30" i="10"/>
  <c r="BB40" i="1"/>
  <c r="N12" i="10"/>
  <c r="F36" i="10"/>
  <c r="I21" i="10"/>
  <c r="J29" i="10"/>
  <c r="AC25" i="1"/>
  <c r="J19" i="10"/>
  <c r="D36" i="10"/>
  <c r="J18" i="10"/>
  <c r="I16" i="10"/>
  <c r="J25" i="10"/>
  <c r="BB26" i="1"/>
  <c r="P20" i="10"/>
  <c r="P36" i="10"/>
  <c r="H34" i="10"/>
  <c r="I23" i="10"/>
  <c r="F34" i="10"/>
  <c r="BB32" i="1"/>
  <c r="D16" i="10"/>
  <c r="AC21" i="1"/>
  <c r="J20" i="10"/>
  <c r="H13" i="10"/>
  <c r="L13" i="10"/>
  <c r="D27" i="10"/>
  <c r="J32" i="10"/>
  <c r="L28" i="10"/>
  <c r="AC41" i="1"/>
  <c r="G32" i="10"/>
  <c r="BB39" i="1"/>
  <c r="M17" i="10"/>
  <c r="K31" i="10"/>
  <c r="G22" i="10"/>
  <c r="B16" i="10"/>
  <c r="BB33" i="1"/>
  <c r="O18" i="10"/>
  <c r="AC35" i="1"/>
  <c r="B20" i="10"/>
  <c r="F25" i="10"/>
  <c r="M29" i="10"/>
  <c r="H24" i="10"/>
  <c r="AC34" i="1"/>
  <c r="AC36" i="1"/>
  <c r="BB34" i="1"/>
  <c r="J14" i="10"/>
  <c r="P28" i="10"/>
  <c r="L25" i="10"/>
  <c r="F32" i="10"/>
  <c r="N27" i="10"/>
  <c r="AC33" i="1"/>
  <c r="I31" i="10"/>
  <c r="P22" i="10"/>
  <c r="C33" i="10"/>
  <c r="AC15" i="1"/>
  <c r="F29" i="10"/>
  <c r="K21" i="10"/>
  <c r="F14" i="10"/>
  <c r="AC38" i="1"/>
  <c r="BB37" i="1"/>
  <c r="I28" i="10"/>
  <c r="M22" i="10"/>
  <c r="BB11" i="1"/>
  <c r="L36" i="10"/>
  <c r="O33" i="10"/>
  <c r="B15" i="10"/>
  <c r="B17" i="10"/>
  <c r="M19" i="10"/>
  <c r="N26" i="10"/>
  <c r="BB9" i="1"/>
  <c r="K36" i="10"/>
  <c r="AC11" i="1"/>
  <c r="G33" i="10"/>
  <c r="H27" i="10"/>
  <c r="F11" i="10"/>
  <c r="J23" i="10"/>
  <c r="AC10" i="1"/>
  <c r="I22" i="10"/>
  <c r="D34" i="10"/>
  <c r="BB22" i="1"/>
  <c r="K22" i="10"/>
  <c r="K34" i="10"/>
  <c r="F30" i="10"/>
  <c r="G11" i="10"/>
  <c r="P26" i="10"/>
  <c r="AC16" i="1"/>
  <c r="AC9" i="1"/>
  <c r="AC24" i="1"/>
  <c r="G21" i="10"/>
  <c r="BB15" i="1"/>
  <c r="K23" i="10"/>
  <c r="B22" i="10"/>
  <c r="N33" i="10"/>
  <c r="M20" i="10"/>
  <c r="G35" i="10"/>
  <c r="G31" i="10"/>
  <c r="N21" i="10"/>
  <c r="AC42" i="1"/>
  <c r="O11" i="10"/>
  <c r="I20" i="10"/>
  <c r="C19" i="10"/>
  <c r="F35" i="10"/>
  <c r="H11" i="10"/>
  <c r="N19" i="10"/>
  <c r="C21" i="10"/>
  <c r="O29" i="10"/>
  <c r="O24" i="10"/>
  <c r="M36" i="10"/>
  <c r="K18" i="10"/>
  <c r="G29" i="10"/>
  <c r="K32" i="10"/>
  <c r="P15" i="10"/>
  <c r="D29" i="10"/>
  <c r="H26" i="10"/>
  <c r="BB19" i="1"/>
  <c r="D14" i="10"/>
  <c r="N25" i="10"/>
  <c r="P25" i="10"/>
  <c r="M12" i="10"/>
  <c r="I13" i="10"/>
  <c r="C25" i="10"/>
  <c r="M31" i="10"/>
  <c r="N28" i="10"/>
  <c r="K26" i="10"/>
  <c r="F26" i="10"/>
  <c r="H14" i="10"/>
  <c r="O34" i="10"/>
  <c r="J15" i="10"/>
  <c r="F16" i="10"/>
  <c r="O13" i="10"/>
  <c r="F28" i="10"/>
  <c r="O15" i="10"/>
  <c r="P34" i="10"/>
  <c r="L23" i="10"/>
  <c r="BB12" i="1"/>
  <c r="AC39" i="1"/>
  <c r="D32" i="10"/>
  <c r="AC30" i="1"/>
  <c r="O25" i="10"/>
  <c r="C27" i="10"/>
  <c r="BB30" i="1"/>
  <c r="K28" i="10"/>
  <c r="O22" i="10"/>
  <c r="H12" i="10"/>
  <c r="BB17" i="1"/>
  <c r="D17" i="10"/>
  <c r="L20" i="10"/>
  <c r="AC40" i="1"/>
  <c r="D18" i="10"/>
  <c r="O36" i="10"/>
  <c r="P33" i="10"/>
  <c r="N13" i="10"/>
  <c r="B32" i="10"/>
  <c r="K25" i="10"/>
  <c r="P11" i="10"/>
  <c r="L12" i="10"/>
  <c r="N29" i="10"/>
  <c r="O20" i="10"/>
  <c r="F19" i="10"/>
  <c r="N18" i="10"/>
  <c r="K20" i="10"/>
  <c r="H20" i="10"/>
  <c r="B34" i="10"/>
  <c r="H18" i="10"/>
  <c r="M14" i="10"/>
  <c r="N22" i="10"/>
  <c r="B33" i="10"/>
  <c r="BB28" i="1"/>
  <c r="J16" i="10"/>
  <c r="D22" i="10"/>
  <c r="I14" i="10"/>
  <c r="AC17" i="1"/>
  <c r="O16" i="10"/>
  <c r="BB24" i="1"/>
  <c r="L16" i="10"/>
  <c r="J13" i="10"/>
  <c r="L34" i="10"/>
  <c r="G23" i="10"/>
  <c r="H28" i="10"/>
  <c r="H32" i="10"/>
  <c r="F22" i="10"/>
  <c r="L32" i="10"/>
  <c r="B23" i="10"/>
  <c r="P16" i="10"/>
  <c r="L27" i="10"/>
  <c r="O19" i="10"/>
  <c r="P17" i="10"/>
  <c r="I27" i="10"/>
  <c r="H19" i="10"/>
  <c r="N20" i="10"/>
  <c r="M24" i="10"/>
  <c r="J34" i="10"/>
  <c r="F18" i="10"/>
  <c r="K14" i="10"/>
  <c r="O31" i="10"/>
  <c r="F23" i="10"/>
  <c r="J28" i="10"/>
  <c r="D21" i="10"/>
  <c r="F15" i="10"/>
  <c r="I35" i="10"/>
  <c r="L22" i="10"/>
  <c r="I18" i="10"/>
  <c r="M21" i="10"/>
  <c r="D26" i="10"/>
  <c r="C18" i="10"/>
  <c r="O14" i="10"/>
  <c r="I34" i="10"/>
  <c r="H35" i="10"/>
  <c r="C34" i="10"/>
  <c r="M18" i="10"/>
  <c r="K24" i="10"/>
  <c r="P32" i="10"/>
  <c r="F33" i="10"/>
  <c r="G19" i="10"/>
  <c r="BB16" i="1"/>
  <c r="G34" i="10"/>
  <c r="P35" i="10"/>
  <c r="BB42" i="1"/>
  <c r="N36" i="10"/>
  <c r="AC29" i="1"/>
  <c r="B35" i="10"/>
  <c r="L14" i="10"/>
  <c r="B36" i="10"/>
  <c r="C14" i="10"/>
  <c r="K17" i="10"/>
  <c r="I12" i="10"/>
  <c r="D25" i="10"/>
  <c r="C13" i="10"/>
  <c r="D15" i="10"/>
  <c r="F17" i="10"/>
  <c r="B19" i="10"/>
  <c r="D19" i="10"/>
  <c r="I29" i="10"/>
  <c r="C36" i="10"/>
  <c r="L24" i="10"/>
  <c r="B21" i="10"/>
  <c r="AC37" i="1"/>
  <c r="I19" i="10"/>
  <c r="AC23" i="1"/>
  <c r="K35" i="10"/>
  <c r="B30" i="10"/>
  <c r="J30" i="10"/>
  <c r="M34" i="10"/>
  <c r="P14" i="10"/>
  <c r="M28" i="10"/>
  <c r="P30" i="10"/>
  <c r="L17" i="10"/>
  <c r="L11" i="10"/>
  <c r="B26" i="10"/>
  <c r="O30" i="10"/>
  <c r="AC22" i="1"/>
  <c r="I25" i="10"/>
  <c r="F21" i="10"/>
  <c r="H30" i="10"/>
  <c r="D11" i="10"/>
  <c r="F20" i="10"/>
  <c r="J35" i="10"/>
  <c r="J33" i="10"/>
  <c r="F31" i="10"/>
  <c r="D24" i="10"/>
  <c r="O17" i="10"/>
  <c r="N32" i="10"/>
  <c r="G36" i="10"/>
  <c r="J31" i="10"/>
  <c r="N30" i="10"/>
  <c r="O23" i="10"/>
  <c r="O28" i="10"/>
  <c r="C20" i="10"/>
  <c r="M35" i="10"/>
  <c r="P24" i="10"/>
  <c r="F27" i="10"/>
  <c r="N14" i="10"/>
  <c r="D30" i="10"/>
  <c r="B11" i="10"/>
  <c r="C32" i="10"/>
  <c r="BB31" i="1"/>
  <c r="C11" i="10"/>
  <c r="G27" i="10"/>
  <c r="J24" i="10"/>
  <c r="BB25" i="1"/>
  <c r="C28" i="10"/>
  <c r="L30" i="10"/>
  <c r="D28" i="10"/>
  <c r="B14" i="10"/>
  <c r="L33" i="10"/>
  <c r="J26" i="10"/>
  <c r="I30" i="10"/>
  <c r="P21" i="10"/>
  <c r="B28" i="10"/>
  <c r="P29" i="10"/>
  <c r="C15" i="10"/>
  <c r="K12" i="10"/>
  <c r="BB41" i="1"/>
  <c r="AC20" i="1"/>
  <c r="AC13" i="1"/>
  <c r="H31" i="10"/>
  <c r="L19" i="10"/>
  <c r="AC31" i="1"/>
  <c r="M33" i="10"/>
  <c r="M23" i="10"/>
  <c r="AC14" i="1"/>
  <c r="AC26" i="1"/>
  <c r="P18" i="10"/>
  <c r="C35" i="10"/>
  <c r="N31" i="10"/>
  <c r="O27" i="10"/>
  <c r="I26" i="10"/>
  <c r="P31" i="10"/>
  <c r="N15" i="10"/>
  <c r="I15" i="10"/>
  <c r="C31" i="10"/>
  <c r="J22" i="10"/>
  <c r="I32" i="10"/>
  <c r="D12" i="10"/>
  <c r="O12" i="10"/>
  <c r="I17" i="10"/>
  <c r="N35" i="10"/>
  <c r="P13" i="10"/>
  <c r="G28" i="10"/>
  <c r="J11" i="10"/>
  <c r="O32" i="10"/>
  <c r="C29" i="10"/>
  <c r="J17" i="10"/>
  <c r="K15" i="10"/>
  <c r="C17" i="10"/>
  <c r="M30" i="10"/>
  <c r="D33" i="10"/>
  <c r="B18" i="10"/>
  <c r="M25" i="10"/>
  <c r="G24" i="10"/>
  <c r="L15" i="10"/>
  <c r="C16" i="10"/>
  <c r="D23" i="10"/>
  <c r="AC32" i="1"/>
  <c r="K13" i="10"/>
  <c r="J36" i="10"/>
  <c r="BB27" i="1"/>
  <c r="M15" i="10"/>
  <c r="F13" i="10"/>
  <c r="I17" i="2" l="1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C16" i="2" l="1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AU7" i="1" l="1"/>
  <c r="T8" i="1"/>
  <c r="U8" i="1" s="1"/>
  <c r="BY8" i="1"/>
  <c r="AO8" i="1"/>
  <c r="E7" i="1"/>
  <c r="E31" i="6" s="1"/>
  <c r="F31" i="6" s="1"/>
  <c r="BF6" i="1"/>
  <c r="BF4" i="1" s="1"/>
  <c r="CA5" i="1"/>
  <c r="D1" i="5"/>
  <c r="G10" i="5" s="1"/>
  <c r="E2" i="8"/>
  <c r="Q2" i="8" s="1"/>
  <c r="B2" i="8"/>
  <c r="D1" i="8"/>
  <c r="E1" i="8"/>
  <c r="D2" i="8"/>
  <c r="P2" i="8" s="1"/>
  <c r="F1" i="8"/>
  <c r="F2" i="8"/>
  <c r="R2" i="8" s="1"/>
  <c r="G1" i="8"/>
  <c r="G2" i="8"/>
  <c r="S2" i="8" s="1"/>
  <c r="H1" i="8"/>
  <c r="H2" i="8"/>
  <c r="T2" i="8" s="1"/>
  <c r="I1" i="8"/>
  <c r="I2" i="8"/>
  <c r="U2" i="8" s="1"/>
  <c r="J1" i="8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A1" i="6"/>
  <c r="AG1" i="6" s="1"/>
  <c r="BD4" i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AP16" i="1"/>
  <c r="AP14" i="1"/>
  <c r="AP31" i="1"/>
  <c r="AP32" i="1"/>
  <c r="AP35" i="1"/>
  <c r="AP33" i="1"/>
  <c r="AP10" i="1"/>
  <c r="AP41" i="1"/>
  <c r="AP36" i="1"/>
  <c r="AP23" i="1"/>
  <c r="AP17" i="1"/>
  <c r="AP28" i="1"/>
  <c r="AP15" i="1"/>
  <c r="AP37" i="1"/>
  <c r="AP24" i="1"/>
  <c r="AP38" i="1"/>
  <c r="AP21" i="1"/>
  <c r="AP13" i="1"/>
  <c r="AP27" i="1"/>
  <c r="AP18" i="1"/>
  <c r="AP40" i="1"/>
  <c r="AP25" i="1"/>
  <c r="AP34" i="1"/>
  <c r="AP29" i="1"/>
  <c r="AP39" i="1"/>
  <c r="AP22" i="1"/>
  <c r="AP26" i="1"/>
  <c r="AP30" i="1"/>
  <c r="Z17" i="1" l="1"/>
  <c r="Z11" i="1"/>
  <c r="Z15" i="1"/>
  <c r="Z29" i="1"/>
  <c r="Z25" i="1"/>
  <c r="Z30" i="1"/>
  <c r="Z16" i="1"/>
  <c r="Z12" i="1"/>
  <c r="Z24" i="1"/>
  <c r="Z21" i="1"/>
  <c r="Z32" i="1"/>
  <c r="Z14" i="1"/>
  <c r="Z10" i="1"/>
  <c r="Z22" i="1"/>
  <c r="Z26" i="1"/>
  <c r="Z23" i="1"/>
  <c r="Z33" i="1"/>
  <c r="Z19" i="1"/>
  <c r="Z9" i="1"/>
  <c r="Z27" i="1"/>
  <c r="Z28" i="1"/>
  <c r="Z34" i="1"/>
  <c r="Z18" i="1"/>
  <c r="Z31" i="1"/>
  <c r="Z8" i="1"/>
  <c r="AA8" i="1" s="1"/>
  <c r="Z37" i="1"/>
  <c r="Z36" i="1"/>
  <c r="Z20" i="1"/>
  <c r="Z38" i="1"/>
  <c r="Z35" i="1"/>
  <c r="Z13" i="1"/>
  <c r="Z40" i="1"/>
  <c r="Z42" i="1"/>
  <c r="Z39" i="1"/>
  <c r="Z41" i="1"/>
  <c r="F34" i="1"/>
  <c r="F33" i="1"/>
  <c r="F31" i="1"/>
  <c r="F30" i="1"/>
  <c r="F32" i="1"/>
  <c r="F21" i="1"/>
  <c r="F28" i="1"/>
  <c r="F25" i="1"/>
  <c r="F23" i="1"/>
  <c r="F22" i="1"/>
  <c r="F24" i="1"/>
  <c r="F27" i="1"/>
  <c r="F29" i="1"/>
  <c r="F26" i="1"/>
  <c r="BZ34" i="1"/>
  <c r="AU34" i="1"/>
  <c r="BZ31" i="1"/>
  <c r="AU31" i="1"/>
  <c r="BZ32" i="1"/>
  <c r="AU32" i="1"/>
  <c r="BZ28" i="1"/>
  <c r="AU28" i="1"/>
  <c r="BZ23" i="1"/>
  <c r="AU23" i="1"/>
  <c r="BZ24" i="1"/>
  <c r="AU24" i="1"/>
  <c r="BZ29" i="1"/>
  <c r="AU29" i="1"/>
  <c r="BZ33" i="1"/>
  <c r="BZ27" i="1"/>
  <c r="AU26" i="1"/>
  <c r="AU21" i="1"/>
  <c r="AU25" i="1"/>
  <c r="BZ26" i="1"/>
  <c r="AU30" i="1"/>
  <c r="BZ21" i="1"/>
  <c r="BZ25" i="1"/>
  <c r="AU22" i="1"/>
  <c r="AU33" i="1"/>
  <c r="BZ30" i="1"/>
  <c r="BZ22" i="1"/>
  <c r="AU27" i="1"/>
  <c r="F9" i="1"/>
  <c r="F16" i="1"/>
  <c r="F12" i="1"/>
  <c r="F15" i="1"/>
  <c r="F10" i="1"/>
  <c r="F20" i="1"/>
  <c r="F19" i="1"/>
  <c r="F18" i="1"/>
  <c r="F17" i="1"/>
  <c r="F14" i="1"/>
  <c r="F11" i="1"/>
  <c r="F13" i="1"/>
  <c r="BZ9" i="1"/>
  <c r="AU9" i="1"/>
  <c r="BZ12" i="1"/>
  <c r="AU12" i="1"/>
  <c r="BZ10" i="1"/>
  <c r="AU10" i="1"/>
  <c r="BZ19" i="1"/>
  <c r="AU19" i="1"/>
  <c r="BZ17" i="1"/>
  <c r="AU17" i="1"/>
  <c r="BZ11" i="1"/>
  <c r="AU11" i="1"/>
  <c r="BZ16" i="1"/>
  <c r="AU16" i="1"/>
  <c r="BZ15" i="1"/>
  <c r="AU15" i="1"/>
  <c r="BZ20" i="1"/>
  <c r="AU20" i="1"/>
  <c r="BZ18" i="1"/>
  <c r="AU18" i="1"/>
  <c r="BZ14" i="1"/>
  <c r="AU14" i="1"/>
  <c r="BZ13" i="1"/>
  <c r="AU13" i="1"/>
  <c r="F42" i="1"/>
  <c r="F36" i="1"/>
  <c r="F40" i="1"/>
  <c r="F41" i="1"/>
  <c r="F39" i="1"/>
  <c r="F38" i="1"/>
  <c r="F37" i="1"/>
  <c r="F35" i="1"/>
  <c r="BZ42" i="1"/>
  <c r="AU42" i="1"/>
  <c r="BZ40" i="1"/>
  <c r="AU40" i="1"/>
  <c r="BZ39" i="1"/>
  <c r="AU39" i="1"/>
  <c r="BZ37" i="1"/>
  <c r="AU37" i="1"/>
  <c r="BZ36" i="1"/>
  <c r="AU36" i="1"/>
  <c r="BZ41" i="1"/>
  <c r="AU41" i="1"/>
  <c r="BZ38" i="1"/>
  <c r="AU38" i="1"/>
  <c r="BZ35" i="1"/>
  <c r="AU35" i="1"/>
  <c r="BD5" i="1"/>
  <c r="O1" i="8"/>
  <c r="D157" i="8"/>
  <c r="P157" i="8" s="1"/>
  <c r="D154" i="8"/>
  <c r="P154" i="8" s="1"/>
  <c r="D153" i="8"/>
  <c r="P153" i="8" s="1"/>
  <c r="D150" i="8"/>
  <c r="P150" i="8" s="1"/>
  <c r="D149" i="8"/>
  <c r="P149" i="8" s="1"/>
  <c r="D146" i="8"/>
  <c r="P146" i="8" s="1"/>
  <c r="D145" i="8"/>
  <c r="P145" i="8" s="1"/>
  <c r="D142" i="8"/>
  <c r="P142" i="8" s="1"/>
  <c r="D136" i="8"/>
  <c r="P136" i="8" s="1"/>
  <c r="D134" i="8"/>
  <c r="P134" i="8" s="1"/>
  <c r="D129" i="8"/>
  <c r="P129" i="8" s="1"/>
  <c r="D125" i="8"/>
  <c r="P125" i="8" s="1"/>
  <c r="D121" i="8"/>
  <c r="P121" i="8" s="1"/>
  <c r="D117" i="8"/>
  <c r="P117" i="8" s="1"/>
  <c r="D115" i="8"/>
  <c r="P115" i="8" s="1"/>
  <c r="D114" i="8"/>
  <c r="P114" i="8" s="1"/>
  <c r="D108" i="8"/>
  <c r="P108" i="8" s="1"/>
  <c r="D104" i="8"/>
  <c r="P104" i="8" s="1"/>
  <c r="D100" i="8"/>
  <c r="P100" i="8" s="1"/>
  <c r="D96" i="8"/>
  <c r="P96" i="8" s="1"/>
  <c r="D92" i="8"/>
  <c r="P92" i="8" s="1"/>
  <c r="D88" i="8"/>
  <c r="P88" i="8" s="1"/>
  <c r="D84" i="8"/>
  <c r="P84" i="8" s="1"/>
  <c r="D80" i="8"/>
  <c r="P80" i="8" s="1"/>
  <c r="D76" i="8"/>
  <c r="P76" i="8" s="1"/>
  <c r="D69" i="8"/>
  <c r="P69" i="8" s="1"/>
  <c r="D67" i="8"/>
  <c r="P67" i="8" s="1"/>
  <c r="D63" i="8"/>
  <c r="P63" i="8" s="1"/>
  <c r="D56" i="8"/>
  <c r="P56" i="8" s="1"/>
  <c r="D55" i="8"/>
  <c r="P55" i="8" s="1"/>
  <c r="D52" i="8"/>
  <c r="P52" i="8" s="1"/>
  <c r="D51" i="8"/>
  <c r="P51" i="8" s="1"/>
  <c r="D48" i="8"/>
  <c r="P48" i="8" s="1"/>
  <c r="D47" i="8"/>
  <c r="P47" i="8" s="1"/>
  <c r="D44" i="8"/>
  <c r="P44" i="8" s="1"/>
  <c r="D43" i="8"/>
  <c r="P43" i="8" s="1"/>
  <c r="D40" i="8"/>
  <c r="P40" i="8" s="1"/>
  <c r="D39" i="8"/>
  <c r="P39" i="8" s="1"/>
  <c r="D36" i="8"/>
  <c r="P36" i="8" s="1"/>
  <c r="D35" i="8"/>
  <c r="P35" i="8" s="1"/>
  <c r="D187" i="8"/>
  <c r="P187" i="8" s="1"/>
  <c r="D183" i="8"/>
  <c r="P183" i="8" s="1"/>
  <c r="D179" i="8"/>
  <c r="P179" i="8" s="1"/>
  <c r="D175" i="8"/>
  <c r="P175" i="8" s="1"/>
  <c r="D170" i="8"/>
  <c r="P170" i="8" s="1"/>
  <c r="D166" i="8"/>
  <c r="P166" i="8" s="1"/>
  <c r="D162" i="8"/>
  <c r="P162" i="8" s="1"/>
  <c r="D159" i="8"/>
  <c r="P159" i="8" s="1"/>
  <c r="D158" i="8"/>
  <c r="P158" i="8" s="1"/>
  <c r="D155" i="8"/>
  <c r="P155" i="8" s="1"/>
  <c r="D151" i="8"/>
  <c r="P151" i="8" s="1"/>
  <c r="D147" i="8"/>
  <c r="P147" i="8" s="1"/>
  <c r="D143" i="8"/>
  <c r="P143" i="8" s="1"/>
  <c r="D138" i="8"/>
  <c r="P138" i="8" s="1"/>
  <c r="D137" i="8"/>
  <c r="P137" i="8" s="1"/>
  <c r="D131" i="8"/>
  <c r="P131" i="8" s="1"/>
  <c r="D130" i="8"/>
  <c r="P130" i="8" s="1"/>
  <c r="D127" i="8"/>
  <c r="P127" i="8" s="1"/>
  <c r="D126" i="8"/>
  <c r="P126" i="8" s="1"/>
  <c r="D123" i="8"/>
  <c r="P123" i="8" s="1"/>
  <c r="D122" i="8"/>
  <c r="P122" i="8" s="1"/>
  <c r="D119" i="8"/>
  <c r="P119" i="8" s="1"/>
  <c r="D118" i="8"/>
  <c r="P118" i="8" s="1"/>
  <c r="D112" i="8"/>
  <c r="P112" i="8" s="1"/>
  <c r="D109" i="8"/>
  <c r="P109" i="8" s="1"/>
  <c r="D73" i="8"/>
  <c r="P73" i="8" s="1"/>
  <c r="D71" i="8"/>
  <c r="P71" i="8" s="1"/>
  <c r="D70" i="8"/>
  <c r="P70" i="8" s="1"/>
  <c r="D64" i="8"/>
  <c r="P64" i="8" s="1"/>
  <c r="D60" i="8"/>
  <c r="P60" i="8" s="1"/>
  <c r="D57" i="8"/>
  <c r="P57" i="8" s="1"/>
  <c r="D53" i="8"/>
  <c r="P53" i="8" s="1"/>
  <c r="D49" i="8"/>
  <c r="P49" i="8" s="1"/>
  <c r="D45" i="8"/>
  <c r="P45" i="8" s="1"/>
  <c r="D41" i="8"/>
  <c r="P41" i="8" s="1"/>
  <c r="D37" i="8"/>
  <c r="P37" i="8" s="1"/>
  <c r="D185" i="8"/>
  <c r="P185" i="8" s="1"/>
  <c r="D184" i="8"/>
  <c r="P184" i="8" s="1"/>
  <c r="D181" i="8"/>
  <c r="P181" i="8" s="1"/>
  <c r="D180" i="8"/>
  <c r="P180" i="8" s="1"/>
  <c r="D177" i="8"/>
  <c r="P177" i="8" s="1"/>
  <c r="D176" i="8"/>
  <c r="P176" i="8" s="1"/>
  <c r="D173" i="8"/>
  <c r="P173" i="8" s="1"/>
  <c r="D172" i="8"/>
  <c r="P172" i="8" s="1"/>
  <c r="D171" i="8"/>
  <c r="P171" i="8" s="1"/>
  <c r="D168" i="8"/>
  <c r="P168" i="8" s="1"/>
  <c r="D167" i="8"/>
  <c r="P167" i="8" s="1"/>
  <c r="D164" i="8"/>
  <c r="P164" i="8" s="1"/>
  <c r="D163" i="8"/>
  <c r="P163" i="8" s="1"/>
  <c r="D160" i="8"/>
  <c r="P160" i="8" s="1"/>
  <c r="D156" i="8"/>
  <c r="P156" i="8" s="1"/>
  <c r="D139" i="8"/>
  <c r="P139" i="8" s="1"/>
  <c r="D135" i="8"/>
  <c r="P135" i="8" s="1"/>
  <c r="D132" i="8"/>
  <c r="P132" i="8" s="1"/>
  <c r="D128" i="8"/>
  <c r="P128" i="8" s="1"/>
  <c r="D124" i="8"/>
  <c r="P124" i="8" s="1"/>
  <c r="D120" i="8"/>
  <c r="P120" i="8" s="1"/>
  <c r="D116" i="8"/>
  <c r="P116" i="8" s="1"/>
  <c r="D110" i="8"/>
  <c r="P110" i="8" s="1"/>
  <c r="D105" i="8"/>
  <c r="P105" i="8" s="1"/>
  <c r="D101" i="8"/>
  <c r="P101" i="8" s="1"/>
  <c r="D97" i="8"/>
  <c r="P97" i="8" s="1"/>
  <c r="D93" i="8"/>
  <c r="P93" i="8" s="1"/>
  <c r="D89" i="8"/>
  <c r="P89" i="8" s="1"/>
  <c r="D85" i="8"/>
  <c r="P85" i="8" s="1"/>
  <c r="D81" i="8"/>
  <c r="P81" i="8" s="1"/>
  <c r="D77" i="8"/>
  <c r="P77" i="8" s="1"/>
  <c r="D74" i="8"/>
  <c r="P74" i="8" s="1"/>
  <c r="D68" i="8"/>
  <c r="P68" i="8" s="1"/>
  <c r="D65" i="8"/>
  <c r="P65" i="8" s="1"/>
  <c r="D61" i="8"/>
  <c r="P61" i="8" s="1"/>
  <c r="D58" i="8"/>
  <c r="P58" i="8" s="1"/>
  <c r="D186" i="8"/>
  <c r="P186" i="8" s="1"/>
  <c r="D182" i="8"/>
  <c r="P182" i="8" s="1"/>
  <c r="D178" i="8"/>
  <c r="P178" i="8" s="1"/>
  <c r="D174" i="8"/>
  <c r="P174" i="8" s="1"/>
  <c r="D169" i="8"/>
  <c r="P169" i="8" s="1"/>
  <c r="D165" i="8"/>
  <c r="P165" i="8" s="1"/>
  <c r="D161" i="8"/>
  <c r="P161" i="8" s="1"/>
  <c r="D152" i="8"/>
  <c r="P152" i="8" s="1"/>
  <c r="D148" i="8"/>
  <c r="P148" i="8" s="1"/>
  <c r="D144" i="8"/>
  <c r="P144" i="8" s="1"/>
  <c r="D141" i="8"/>
  <c r="P141" i="8" s="1"/>
  <c r="D140" i="8"/>
  <c r="P140" i="8" s="1"/>
  <c r="D133" i="8"/>
  <c r="P133" i="8" s="1"/>
  <c r="D113" i="8"/>
  <c r="P113" i="8" s="1"/>
  <c r="D111" i="8"/>
  <c r="P111" i="8" s="1"/>
  <c r="D107" i="8"/>
  <c r="P107" i="8" s="1"/>
  <c r="D106" i="8"/>
  <c r="P106" i="8" s="1"/>
  <c r="D103" i="8"/>
  <c r="P103" i="8" s="1"/>
  <c r="D102" i="8"/>
  <c r="P102" i="8" s="1"/>
  <c r="D99" i="8"/>
  <c r="P99" i="8" s="1"/>
  <c r="D98" i="8"/>
  <c r="P98" i="8" s="1"/>
  <c r="D95" i="8"/>
  <c r="P95" i="8" s="1"/>
  <c r="D94" i="8"/>
  <c r="P94" i="8" s="1"/>
  <c r="D91" i="8"/>
  <c r="P91" i="8" s="1"/>
  <c r="D90" i="8"/>
  <c r="P90" i="8" s="1"/>
  <c r="D87" i="8"/>
  <c r="P87" i="8" s="1"/>
  <c r="D86" i="8"/>
  <c r="P86" i="8" s="1"/>
  <c r="D83" i="8"/>
  <c r="P83" i="8" s="1"/>
  <c r="D82" i="8"/>
  <c r="P82" i="8" s="1"/>
  <c r="D79" i="8"/>
  <c r="P79" i="8" s="1"/>
  <c r="D78" i="8"/>
  <c r="P78" i="8" s="1"/>
  <c r="D75" i="8"/>
  <c r="P75" i="8" s="1"/>
  <c r="D72" i="8"/>
  <c r="P72" i="8" s="1"/>
  <c r="D66" i="8"/>
  <c r="P66" i="8" s="1"/>
  <c r="D62" i="8"/>
  <c r="P62" i="8" s="1"/>
  <c r="D59" i="8"/>
  <c r="P59" i="8" s="1"/>
  <c r="D54" i="8"/>
  <c r="P54" i="8" s="1"/>
  <c r="D50" i="8"/>
  <c r="P50" i="8" s="1"/>
  <c r="D46" i="8"/>
  <c r="P46" i="8" s="1"/>
  <c r="D42" i="8"/>
  <c r="P42" i="8" s="1"/>
  <c r="D38" i="8"/>
  <c r="P38" i="8" s="1"/>
  <c r="D34" i="8"/>
  <c r="P34" i="8" s="1"/>
  <c r="D30" i="8"/>
  <c r="P30" i="8" s="1"/>
  <c r="D26" i="8"/>
  <c r="P26" i="8" s="1"/>
  <c r="D24" i="8"/>
  <c r="P24" i="8" s="1"/>
  <c r="D28" i="8"/>
  <c r="P28" i="8" s="1"/>
  <c r="D22" i="8"/>
  <c r="P22" i="8" s="1"/>
  <c r="D19" i="8"/>
  <c r="P19" i="8" s="1"/>
  <c r="D16" i="8"/>
  <c r="P16" i="8" s="1"/>
  <c r="D13" i="8"/>
  <c r="P13" i="8" s="1"/>
  <c r="D10" i="8"/>
  <c r="P10" i="8" s="1"/>
  <c r="D32" i="8"/>
  <c r="P32" i="8" s="1"/>
  <c r="D25" i="8"/>
  <c r="P25" i="8" s="1"/>
  <c r="D23" i="8"/>
  <c r="P23" i="8" s="1"/>
  <c r="D20" i="8"/>
  <c r="P20" i="8" s="1"/>
  <c r="D11" i="8"/>
  <c r="P11" i="8" s="1"/>
  <c r="D5" i="8"/>
  <c r="P5" i="8" s="1"/>
  <c r="D29" i="8"/>
  <c r="P29" i="8" s="1"/>
  <c r="D27" i="8"/>
  <c r="P27" i="8" s="1"/>
  <c r="D17" i="8"/>
  <c r="P17" i="8" s="1"/>
  <c r="D14" i="8"/>
  <c r="P14" i="8" s="1"/>
  <c r="D12" i="8"/>
  <c r="P12" i="8" s="1"/>
  <c r="D9" i="8"/>
  <c r="P9" i="8" s="1"/>
  <c r="D6" i="8"/>
  <c r="P6" i="8" s="1"/>
  <c r="D33" i="8"/>
  <c r="P33" i="8" s="1"/>
  <c r="D31" i="8"/>
  <c r="P31" i="8" s="1"/>
  <c r="D21" i="8"/>
  <c r="P21" i="8" s="1"/>
  <c r="D18" i="8"/>
  <c r="P18" i="8" s="1"/>
  <c r="D15" i="8"/>
  <c r="P15" i="8" s="1"/>
  <c r="D7" i="8"/>
  <c r="P7" i="8" s="1"/>
  <c r="D8" i="8"/>
  <c r="P8" i="8" s="1"/>
  <c r="U1" i="8"/>
  <c r="S1" i="8"/>
  <c r="N2" i="8"/>
  <c r="F11" i="5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E3" i="6"/>
  <c r="F3" i="6" s="1"/>
  <c r="E4" i="2"/>
  <c r="E6" i="2"/>
  <c r="E10" i="2"/>
  <c r="F7" i="1"/>
  <c r="B3" i="8"/>
  <c r="B4" i="8" s="1"/>
  <c r="B5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H22" i="1"/>
  <c r="H16" i="1"/>
  <c r="H14" i="1"/>
  <c r="H31" i="1"/>
  <c r="H13" i="1"/>
  <c r="H29" i="1"/>
  <c r="H23" i="1"/>
  <c r="H10" i="1"/>
  <c r="H12" i="1"/>
  <c r="H17" i="1"/>
  <c r="H11" i="1"/>
  <c r="H19" i="1"/>
  <c r="H20" i="1"/>
  <c r="H27" i="1"/>
  <c r="H35" i="1"/>
  <c r="H28" i="1"/>
  <c r="H42" i="1"/>
  <c r="H41" i="1"/>
  <c r="H26" i="1"/>
  <c r="H21" i="1"/>
  <c r="H34" i="1"/>
  <c r="H32" i="1"/>
  <c r="H37" i="1"/>
  <c r="H38" i="1"/>
  <c r="H18" i="1"/>
  <c r="H40" i="1"/>
  <c r="H36" i="1"/>
  <c r="H24" i="1"/>
  <c r="H9" i="1"/>
  <c r="H25" i="1"/>
  <c r="H33" i="1"/>
  <c r="H30" i="1"/>
  <c r="H39" i="1"/>
  <c r="H15" i="1"/>
  <c r="Q33" i="10"/>
  <c r="Q25" i="10"/>
  <c r="Q27" i="10"/>
  <c r="Q15" i="10"/>
  <c r="Q35" i="10"/>
  <c r="Q19" i="10"/>
  <c r="Q12" i="10"/>
  <c r="Q29" i="10"/>
  <c r="Q21" i="10"/>
  <c r="Q36" i="10"/>
  <c r="Q34" i="10"/>
  <c r="Q31" i="10"/>
  <c r="Q28" i="10"/>
  <c r="Q22" i="10"/>
  <c r="Q18" i="10"/>
  <c r="Q16" i="10"/>
  <c r="Q13" i="10"/>
  <c r="Q30" i="10"/>
  <c r="Q20" i="10"/>
  <c r="Q32" i="10"/>
  <c r="Q14" i="10"/>
  <c r="Q23" i="10"/>
  <c r="Q17" i="10"/>
  <c r="Q24" i="10"/>
  <c r="Q26" i="10"/>
  <c r="AA40" i="1" l="1"/>
  <c r="AA35" i="1"/>
  <c r="AA42" i="1"/>
  <c r="AA37" i="1"/>
  <c r="AA41" i="1"/>
  <c r="AA36" i="1"/>
  <c r="AA39" i="1"/>
  <c r="AA38" i="1"/>
  <c r="AA20" i="1"/>
  <c r="AA31" i="1"/>
  <c r="AA27" i="1"/>
  <c r="AA23" i="1"/>
  <c r="AA14" i="1"/>
  <c r="AA12" i="1"/>
  <c r="AA29" i="1"/>
  <c r="AA13" i="1"/>
  <c r="AA18" i="1"/>
  <c r="AA9" i="1"/>
  <c r="AA26" i="1"/>
  <c r="AA32" i="1"/>
  <c r="AA16" i="1"/>
  <c r="AA15" i="1"/>
  <c r="AA34" i="1"/>
  <c r="AA19" i="1"/>
  <c r="AA22" i="1"/>
  <c r="AA21" i="1"/>
  <c r="AA30" i="1"/>
  <c r="AA11" i="1"/>
  <c r="AA28" i="1"/>
  <c r="AA33" i="1"/>
  <c r="AA10" i="1"/>
  <c r="AA24" i="1"/>
  <c r="AA25" i="1"/>
  <c r="AA17" i="1"/>
  <c r="A5" i="8"/>
  <c r="N5" i="8"/>
  <c r="B6" i="8"/>
  <c r="N4" i="8"/>
  <c r="A3" i="8"/>
  <c r="D3" i="8" s="1"/>
  <c r="P3" i="8" s="1"/>
  <c r="A4" i="8"/>
  <c r="D4" i="8" s="1"/>
  <c r="P4" i="8" s="1"/>
  <c r="AH8" i="1"/>
  <c r="AJ8" i="1" s="1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AP12" i="1"/>
  <c r="AQ28" i="1"/>
  <c r="AQ32" i="1"/>
  <c r="AQ29" i="1"/>
  <c r="AQ27" i="1"/>
  <c r="AP9" i="1"/>
  <c r="AQ31" i="1"/>
  <c r="AQ12" i="1"/>
  <c r="AQ14" i="1"/>
  <c r="AQ24" i="1"/>
  <c r="AP20" i="1"/>
  <c r="AQ36" i="1"/>
  <c r="AQ35" i="1"/>
  <c r="AQ30" i="1"/>
  <c r="AQ42" i="1"/>
  <c r="AQ33" i="1"/>
  <c r="AQ34" i="1"/>
  <c r="AQ22" i="1"/>
  <c r="AP19" i="1"/>
  <c r="AQ16" i="1"/>
  <c r="AQ19" i="1"/>
  <c r="AQ37" i="1"/>
  <c r="AP11" i="1"/>
  <c r="AQ25" i="1"/>
  <c r="AP42" i="1"/>
  <c r="AQ39" i="1"/>
  <c r="AQ10" i="1"/>
  <c r="AQ40" i="1"/>
  <c r="AQ9" i="1"/>
  <c r="AQ21" i="1"/>
  <c r="AQ18" i="1"/>
  <c r="N6" i="8" l="1"/>
  <c r="B7" i="8"/>
  <c r="A6" i="8"/>
  <c r="E3" i="8"/>
  <c r="F3" i="8" s="1"/>
  <c r="E5" i="8"/>
  <c r="Q5" i="8" s="1"/>
  <c r="F5" i="8"/>
  <c r="R5" i="8" s="1"/>
  <c r="AD8" i="1"/>
  <c r="F4" i="8"/>
  <c r="AQ41" i="1"/>
  <c r="AH35" i="1"/>
  <c r="AH30" i="1"/>
  <c r="AH11" i="1"/>
  <c r="AN16" i="1"/>
  <c r="AN21" i="1"/>
  <c r="AH17" i="1"/>
  <c r="AN35" i="1"/>
  <c r="AH16" i="1"/>
  <c r="AH36" i="1"/>
  <c r="AH27" i="1"/>
  <c r="AH20" i="1"/>
  <c r="AH13" i="1"/>
  <c r="AH33" i="1"/>
  <c r="AN17" i="1"/>
  <c r="AH28" i="1"/>
  <c r="AH10" i="1"/>
  <c r="AH29" i="1"/>
  <c r="AH38" i="1"/>
  <c r="AH42" i="1"/>
  <c r="AH14" i="1"/>
  <c r="AH15" i="1"/>
  <c r="AN12" i="1"/>
  <c r="AQ26" i="1"/>
  <c r="AN20" i="1"/>
  <c r="AQ13" i="1"/>
  <c r="AN40" i="1"/>
  <c r="AQ11" i="1"/>
  <c r="AN37" i="1"/>
  <c r="AH22" i="1"/>
  <c r="AN13" i="1"/>
  <c r="AQ20" i="1"/>
  <c r="AH31" i="1"/>
  <c r="AN15" i="1"/>
  <c r="AH32" i="1"/>
  <c r="AN31" i="1"/>
  <c r="AH41" i="1"/>
  <c r="AH39" i="1"/>
  <c r="AH18" i="1"/>
  <c r="AQ15" i="1"/>
  <c r="AN18" i="1"/>
  <c r="AN22" i="1"/>
  <c r="AH25" i="1"/>
  <c r="AH12" i="1"/>
  <c r="AH21" i="1"/>
  <c r="AH23" i="1"/>
  <c r="AH26" i="1"/>
  <c r="AH19" i="1"/>
  <c r="AQ17" i="1"/>
  <c r="AH9" i="1"/>
  <c r="AN14" i="1"/>
  <c r="AQ23" i="1"/>
  <c r="AH40" i="1"/>
  <c r="AH34" i="1"/>
  <c r="AN24" i="1"/>
  <c r="AH37" i="1"/>
  <c r="AN34" i="1"/>
  <c r="AH24" i="1"/>
  <c r="AN23" i="1"/>
  <c r="AQ38" i="1"/>
  <c r="AJ38" i="1" l="1"/>
  <c r="AJ37" i="1"/>
  <c r="AJ40" i="1"/>
  <c r="AJ36" i="1"/>
  <c r="AJ41" i="1"/>
  <c r="AJ39" i="1"/>
  <c r="AJ42" i="1"/>
  <c r="AJ35" i="1"/>
  <c r="AB38" i="1"/>
  <c r="AB37" i="1"/>
  <c r="AB40" i="1"/>
  <c r="AB36" i="1"/>
  <c r="AB41" i="1"/>
  <c r="AB39" i="1"/>
  <c r="AB42" i="1"/>
  <c r="AB35" i="1"/>
  <c r="AJ34" i="1"/>
  <c r="AB34" i="1"/>
  <c r="AJ33" i="1"/>
  <c r="AB33" i="1"/>
  <c r="AJ32" i="1"/>
  <c r="AB32" i="1"/>
  <c r="AJ31" i="1"/>
  <c r="AB31" i="1"/>
  <c r="AJ30" i="1"/>
  <c r="AB30" i="1"/>
  <c r="AJ23" i="1"/>
  <c r="AB23" i="1"/>
  <c r="AJ28" i="1"/>
  <c r="AB28" i="1"/>
  <c r="AJ26" i="1"/>
  <c r="AB26" i="1"/>
  <c r="AJ29" i="1"/>
  <c r="AB29" i="1"/>
  <c r="AJ27" i="1"/>
  <c r="AB27" i="1"/>
  <c r="AJ24" i="1"/>
  <c r="AB24" i="1"/>
  <c r="AJ22" i="1"/>
  <c r="AB22" i="1"/>
  <c r="AJ21" i="1"/>
  <c r="AB21" i="1"/>
  <c r="AJ25" i="1"/>
  <c r="AB25" i="1"/>
  <c r="AJ20" i="1"/>
  <c r="AB20" i="1"/>
  <c r="AJ17" i="1"/>
  <c r="AB17" i="1"/>
  <c r="AJ15" i="1"/>
  <c r="AB15" i="1"/>
  <c r="AJ18" i="1"/>
  <c r="AB18" i="1"/>
  <c r="AJ13" i="1"/>
  <c r="AB13" i="1"/>
  <c r="AJ16" i="1"/>
  <c r="AB16" i="1"/>
  <c r="AJ14" i="1"/>
  <c r="AB14" i="1"/>
  <c r="AJ19" i="1"/>
  <c r="AB19" i="1"/>
  <c r="AJ10" i="1"/>
  <c r="AB10" i="1"/>
  <c r="AJ12" i="1"/>
  <c r="AB12" i="1"/>
  <c r="AJ11" i="1"/>
  <c r="AB11" i="1"/>
  <c r="AJ9" i="1"/>
  <c r="AB9" i="1"/>
  <c r="Q3" i="8"/>
  <c r="G5" i="8"/>
  <c r="H5" i="8" s="1"/>
  <c r="T5" i="8" s="1"/>
  <c r="E6" i="8"/>
  <c r="Q6" i="8" s="1"/>
  <c r="N7" i="8"/>
  <c r="B8" i="8"/>
  <c r="A7" i="8"/>
  <c r="G3" i="8"/>
  <c r="R3" i="8"/>
  <c r="R4" i="8"/>
  <c r="G4" i="8"/>
  <c r="H4" i="8" s="1"/>
  <c r="T4" i="8" s="1"/>
  <c r="AI18" i="1"/>
  <c r="AI19" i="1"/>
  <c r="AI39" i="1"/>
  <c r="AN30" i="1"/>
  <c r="AI11" i="1"/>
  <c r="AN39" i="1"/>
  <c r="AK21" i="1"/>
  <c r="AI40" i="1"/>
  <c r="AN10" i="1"/>
  <c r="AI27" i="1"/>
  <c r="AK29" i="1"/>
  <c r="AI21" i="1"/>
  <c r="AN11" i="1"/>
  <c r="AI37" i="1"/>
  <c r="AN29" i="1"/>
  <c r="AI25" i="1"/>
  <c r="AK32" i="1"/>
  <c r="AN25" i="1"/>
  <c r="AI32" i="1"/>
  <c r="AK15" i="1"/>
  <c r="AI38" i="1"/>
  <c r="AN41" i="1"/>
  <c r="AI30" i="1"/>
  <c r="AK40" i="1"/>
  <c r="AN9" i="1"/>
  <c r="AK37" i="1"/>
  <c r="AI9" i="1"/>
  <c r="AN38" i="1"/>
  <c r="AK38" i="1"/>
  <c r="AI28" i="1"/>
  <c r="AN32" i="1"/>
  <c r="AI41" i="1"/>
  <c r="AI23" i="1"/>
  <c r="AK10" i="1"/>
  <c r="AK39" i="1"/>
  <c r="AN26" i="1"/>
  <c r="AI42" i="1"/>
  <c r="AK30" i="1"/>
  <c r="AI26" i="1"/>
  <c r="AI31" i="1"/>
  <c r="AI36" i="1"/>
  <c r="AN27" i="1"/>
  <c r="AI20" i="1"/>
  <c r="AI22" i="1"/>
  <c r="AK24" i="1"/>
  <c r="AN36" i="1"/>
  <c r="AI35" i="1"/>
  <c r="AK22" i="1"/>
  <c r="AI29" i="1"/>
  <c r="AK14" i="1"/>
  <c r="AN28" i="1"/>
  <c r="AI16" i="1"/>
  <c r="AK28" i="1"/>
  <c r="AI14" i="1"/>
  <c r="AK19" i="1"/>
  <c r="AI10" i="1"/>
  <c r="AK41" i="1"/>
  <c r="AI15" i="1"/>
  <c r="AN19" i="1"/>
  <c r="AK11" i="1"/>
  <c r="AI13" i="1"/>
  <c r="AI33" i="1"/>
  <c r="AI34" i="1"/>
  <c r="AN42" i="1"/>
  <c r="AK34" i="1"/>
  <c r="AK20" i="1"/>
  <c r="AI12" i="1"/>
  <c r="AI24" i="1"/>
  <c r="AI17" i="1"/>
  <c r="AK13" i="1"/>
  <c r="AN33" i="1"/>
  <c r="AK12" i="1"/>
  <c r="AK18" i="1"/>
  <c r="AK33" i="1"/>
  <c r="AK26" i="1"/>
  <c r="AL33" i="1" l="1"/>
  <c r="AD33" i="1" s="1"/>
  <c r="AL21" i="1"/>
  <c r="AD21" i="1" s="1"/>
  <c r="AL22" i="1"/>
  <c r="AD22" i="1" s="1"/>
  <c r="AL34" i="1"/>
  <c r="AD34" i="1" s="1"/>
  <c r="AL30" i="1"/>
  <c r="AD30" i="1" s="1"/>
  <c r="AL26" i="1"/>
  <c r="AD26" i="1" s="1"/>
  <c r="AL32" i="1"/>
  <c r="AD32" i="1" s="1"/>
  <c r="AL29" i="1"/>
  <c r="AD29" i="1" s="1"/>
  <c r="AL28" i="1"/>
  <c r="AD28" i="1" s="1"/>
  <c r="AL24" i="1"/>
  <c r="AD24" i="1" s="1"/>
  <c r="AL12" i="1"/>
  <c r="AD12" i="1" s="1"/>
  <c r="AL10" i="1"/>
  <c r="AD10" i="1" s="1"/>
  <c r="AL13" i="1"/>
  <c r="AD13" i="1" s="1"/>
  <c r="AL19" i="1"/>
  <c r="AD19" i="1" s="1"/>
  <c r="AL14" i="1"/>
  <c r="AD14" i="1" s="1"/>
  <c r="AL20" i="1"/>
  <c r="AD20" i="1" s="1"/>
  <c r="AL15" i="1"/>
  <c r="AD15" i="1" s="1"/>
  <c r="AL18" i="1"/>
  <c r="AD18" i="1" s="1"/>
  <c r="AL11" i="1"/>
  <c r="AD11" i="1" s="1"/>
  <c r="AL41" i="1"/>
  <c r="AD41" i="1" s="1"/>
  <c r="AL39" i="1"/>
  <c r="AD39" i="1" s="1"/>
  <c r="AL38" i="1"/>
  <c r="AD38" i="1" s="1"/>
  <c r="AL37" i="1"/>
  <c r="AD37" i="1" s="1"/>
  <c r="AL40" i="1"/>
  <c r="AD40" i="1" s="1"/>
  <c r="F6" i="8"/>
  <c r="R6" i="8" s="1"/>
  <c r="E7" i="8"/>
  <c r="Q7" i="8" s="1"/>
  <c r="F7" i="8"/>
  <c r="R7" i="8" s="1"/>
  <c r="N8" i="8"/>
  <c r="B9" i="8"/>
  <c r="A8" i="8"/>
  <c r="G6" i="8"/>
  <c r="S6" i="8" s="1"/>
  <c r="I5" i="8"/>
  <c r="U5" i="8" s="1"/>
  <c r="S5" i="8"/>
  <c r="S3" i="8"/>
  <c r="H3" i="8"/>
  <c r="S4" i="8"/>
  <c r="I4" i="8"/>
  <c r="U4" i="8" s="1"/>
  <c r="AK23" i="1"/>
  <c r="AK42" i="1"/>
  <c r="AK17" i="1"/>
  <c r="AK25" i="1"/>
  <c r="AK31" i="1"/>
  <c r="AK27" i="1"/>
  <c r="AL42" i="1" l="1"/>
  <c r="AD42" i="1" s="1"/>
  <c r="AK35" i="1"/>
  <c r="AK36" i="1"/>
  <c r="AL25" i="1" l="1"/>
  <c r="AD25" i="1" s="1"/>
  <c r="AL23" i="1"/>
  <c r="AD23" i="1" s="1"/>
  <c r="AL31" i="1"/>
  <c r="AD31" i="1" s="1"/>
  <c r="AL27" i="1"/>
  <c r="AD27" i="1" s="1"/>
  <c r="AL35" i="1"/>
  <c r="AD35" i="1" s="1"/>
  <c r="AL36" i="1"/>
  <c r="AD36" i="1" s="1"/>
  <c r="AL17" i="1"/>
  <c r="AD17" i="1" s="1"/>
  <c r="E8" i="8"/>
  <c r="Q8" i="8" s="1"/>
  <c r="F8" i="8"/>
  <c r="R8" i="8" s="1"/>
  <c r="J5" i="8"/>
  <c r="V5" i="8" s="1"/>
  <c r="H6" i="8"/>
  <c r="T6" i="8" s="1"/>
  <c r="N9" i="8"/>
  <c r="A9" i="8"/>
  <c r="B10" i="8"/>
  <c r="G7" i="8"/>
  <c r="S7" i="8" s="1"/>
  <c r="T3" i="8"/>
  <c r="I3" i="8"/>
  <c r="U3" i="8" s="1"/>
  <c r="J4" i="8"/>
  <c r="AK9" i="1"/>
  <c r="AK16" i="1"/>
  <c r="AL16" i="1" l="1"/>
  <c r="AD16" i="1" s="1"/>
  <c r="AL9" i="1"/>
  <c r="AD9" i="1" s="1"/>
  <c r="J6" i="8"/>
  <c r="V6" i="8" s="1"/>
  <c r="I6" i="8"/>
  <c r="U6" i="8" s="1"/>
  <c r="K5" i="8"/>
  <c r="W5" i="8" s="1"/>
  <c r="E9" i="8"/>
  <c r="Q9" i="8" s="1"/>
  <c r="G8" i="8"/>
  <c r="S8" i="8" s="1"/>
  <c r="H7" i="8"/>
  <c r="H8" i="8"/>
  <c r="T8" i="8" s="1"/>
  <c r="N10" i="8"/>
  <c r="A10" i="8"/>
  <c r="B11" i="8"/>
  <c r="J3" i="8"/>
  <c r="V3" i="8" s="1"/>
  <c r="V4" i="8"/>
  <c r="K4" i="8"/>
  <c r="W4" i="8" s="1"/>
  <c r="I8" i="8" l="1"/>
  <c r="J8" i="8" s="1"/>
  <c r="V8" i="8" s="1"/>
  <c r="K6" i="8"/>
  <c r="W6" i="8" s="1"/>
  <c r="F9" i="8"/>
  <c r="N11" i="8"/>
  <c r="B12" i="8"/>
  <c r="A11" i="8"/>
  <c r="E10" i="8"/>
  <c r="Q10" i="8" s="1"/>
  <c r="T7" i="8"/>
  <c r="I7" i="8"/>
  <c r="K3" i="8"/>
  <c r="W3" i="8" s="1"/>
  <c r="U8" i="8" l="1"/>
  <c r="U7" i="8"/>
  <c r="K8" i="8"/>
  <c r="W8" i="8" s="1"/>
  <c r="B13" i="8"/>
  <c r="N12" i="8"/>
  <c r="A12" i="8"/>
  <c r="J7" i="8"/>
  <c r="V7" i="8" s="1"/>
  <c r="F10" i="8"/>
  <c r="R9" i="8"/>
  <c r="G9" i="8"/>
  <c r="H9" i="8"/>
  <c r="T9" i="8" s="1"/>
  <c r="E11" i="8"/>
  <c r="Q11" i="8" s="1"/>
  <c r="F11" i="8" l="1"/>
  <c r="R11" i="8" s="1"/>
  <c r="R10" i="8"/>
  <c r="E12" i="8"/>
  <c r="Q12" i="8" s="1"/>
  <c r="G10" i="8"/>
  <c r="S9" i="8"/>
  <c r="I9" i="8"/>
  <c r="K7" i="8"/>
  <c r="W7" i="8" s="1"/>
  <c r="B14" i="8"/>
  <c r="N13" i="8"/>
  <c r="A13" i="8"/>
  <c r="H11" i="8" l="1"/>
  <c r="T11" i="8" s="1"/>
  <c r="F12" i="8"/>
  <c r="R12" i="8" s="1"/>
  <c r="G11" i="8"/>
  <c r="S11" i="8" s="1"/>
  <c r="G12" i="8"/>
  <c r="B15" i="8"/>
  <c r="A14" i="8"/>
  <c r="N14" i="8"/>
  <c r="E13" i="8"/>
  <c r="Q13" i="8" s="1"/>
  <c r="U9" i="8"/>
  <c r="J9" i="8"/>
  <c r="V9" i="8" s="1"/>
  <c r="S10" i="8"/>
  <c r="H10" i="8"/>
  <c r="T10" i="8" s="1"/>
  <c r="I11" i="8" l="1"/>
  <c r="U11" i="8" s="1"/>
  <c r="F13" i="8"/>
  <c r="R13" i="8" s="1"/>
  <c r="E14" i="8"/>
  <c r="Q14" i="8" s="1"/>
  <c r="F14" i="8"/>
  <c r="R14" i="8" s="1"/>
  <c r="A15" i="8"/>
  <c r="N15" i="8"/>
  <c r="B16" i="8"/>
  <c r="I10" i="8"/>
  <c r="U10" i="8" s="1"/>
  <c r="K9" i="8"/>
  <c r="W9" i="8" s="1"/>
  <c r="S12" i="8"/>
  <c r="H12" i="8"/>
  <c r="T12" i="8" s="1"/>
  <c r="I12" i="8" l="1"/>
  <c r="J11" i="8"/>
  <c r="V11" i="8" s="1"/>
  <c r="K11" i="8"/>
  <c r="W11" i="8" s="1"/>
  <c r="G13" i="8"/>
  <c r="S13" i="8" s="1"/>
  <c r="A16" i="8"/>
  <c r="B17" i="8"/>
  <c r="N16" i="8"/>
  <c r="G14" i="8"/>
  <c r="J10" i="8"/>
  <c r="V10" i="8" s="1"/>
  <c r="H13" i="8"/>
  <c r="T13" i="8" s="1"/>
  <c r="E15" i="8"/>
  <c r="Q15" i="8" s="1"/>
  <c r="U12" i="8" l="1"/>
  <c r="J12" i="8"/>
  <c r="K10" i="8"/>
  <c r="W10" i="8" s="1"/>
  <c r="F15" i="8"/>
  <c r="A17" i="8"/>
  <c r="B18" i="8"/>
  <c r="N17" i="8"/>
  <c r="I13" i="8"/>
  <c r="J13" i="8" s="1"/>
  <c r="V13" i="8" s="1"/>
  <c r="S14" i="8"/>
  <c r="H14" i="8"/>
  <c r="E16" i="8"/>
  <c r="Q16" i="8" s="1"/>
  <c r="V12" i="8" l="1"/>
  <c r="K12" i="8"/>
  <c r="W12" i="8" s="1"/>
  <c r="N18" i="8"/>
  <c r="B19" i="8"/>
  <c r="A18" i="8"/>
  <c r="U13" i="8"/>
  <c r="K13" i="8"/>
  <c r="W13" i="8" s="1"/>
  <c r="E17" i="8"/>
  <c r="Q17" i="8" s="1"/>
  <c r="F17" i="8"/>
  <c r="R17" i="8" s="1"/>
  <c r="F16" i="8"/>
  <c r="T14" i="8"/>
  <c r="I14" i="8"/>
  <c r="R15" i="8"/>
  <c r="G15" i="8"/>
  <c r="H15" i="8"/>
  <c r="T15" i="8" s="1"/>
  <c r="S15" i="8" l="1"/>
  <c r="I15" i="8"/>
  <c r="U15" i="8" s="1"/>
  <c r="J15" i="8"/>
  <c r="V15" i="8" s="1"/>
  <c r="G17" i="8"/>
  <c r="S17" i="8" s="1"/>
  <c r="E18" i="8"/>
  <c r="Q18" i="8" s="1"/>
  <c r="F18" i="8"/>
  <c r="R18" i="8" s="1"/>
  <c r="R16" i="8"/>
  <c r="G16" i="8"/>
  <c r="N19" i="8"/>
  <c r="B20" i="8"/>
  <c r="A19" i="8"/>
  <c r="U14" i="8"/>
  <c r="J14" i="8"/>
  <c r="V14" i="8" s="1"/>
  <c r="B21" i="8" l="1"/>
  <c r="A20" i="8"/>
  <c r="N20" i="8"/>
  <c r="H17" i="8"/>
  <c r="T17" i="8" s="1"/>
  <c r="H16" i="8"/>
  <c r="T16" i="8" s="1"/>
  <c r="K14" i="8"/>
  <c r="W14" i="8" s="1"/>
  <c r="E19" i="8"/>
  <c r="Q19" i="8" s="1"/>
  <c r="S16" i="8"/>
  <c r="G18" i="8"/>
  <c r="K15" i="8"/>
  <c r="W15" i="8" s="1"/>
  <c r="I16" i="8" l="1"/>
  <c r="U16" i="8" s="1"/>
  <c r="F19" i="8"/>
  <c r="I17" i="8"/>
  <c r="U17" i="8" s="1"/>
  <c r="J17" i="8"/>
  <c r="V17" i="8" s="1"/>
  <c r="S18" i="8"/>
  <c r="E20" i="8"/>
  <c r="Q20" i="8" s="1"/>
  <c r="H18" i="8"/>
  <c r="T18" i="8" s="1"/>
  <c r="B22" i="8"/>
  <c r="A21" i="8"/>
  <c r="N21" i="8"/>
  <c r="J16" i="8"/>
  <c r="V16" i="8" s="1"/>
  <c r="AB8" i="1"/>
  <c r="C13" i="9"/>
  <c r="K16" i="8" l="1"/>
  <c r="W16" i="8" s="1"/>
  <c r="I18" i="8"/>
  <c r="U18" i="8" s="1"/>
  <c r="E21" i="8"/>
  <c r="Q21" i="8" s="1"/>
  <c r="N22" i="8"/>
  <c r="A22" i="8"/>
  <c r="B23" i="8"/>
  <c r="F20" i="8"/>
  <c r="K17" i="8"/>
  <c r="W17" i="8" s="1"/>
  <c r="J18" i="8"/>
  <c r="V18" i="8" s="1"/>
  <c r="R19" i="8"/>
  <c r="G19" i="8"/>
  <c r="S19" i="8" s="1"/>
  <c r="G20" i="8"/>
  <c r="S20" i="8" s="1"/>
  <c r="H20" i="8" l="1"/>
  <c r="T20" i="8" s="1"/>
  <c r="E22" i="8"/>
  <c r="Q22" i="8" s="1"/>
  <c r="H19" i="8"/>
  <c r="I19" i="8" s="1"/>
  <c r="R20" i="8"/>
  <c r="K18" i="8"/>
  <c r="W18" i="8" s="1"/>
  <c r="B24" i="8"/>
  <c r="N23" i="8"/>
  <c r="A23" i="8"/>
  <c r="F21" i="8"/>
  <c r="G21" i="8" s="1"/>
  <c r="S21" i="8" s="1"/>
  <c r="F22" i="8" l="1"/>
  <c r="R22" i="8" s="1"/>
  <c r="I20" i="8"/>
  <c r="J20" i="8" s="1"/>
  <c r="V20" i="8" s="1"/>
  <c r="E23" i="8"/>
  <c r="Q23" i="8" s="1"/>
  <c r="T19" i="8"/>
  <c r="G22" i="8"/>
  <c r="U20" i="8"/>
  <c r="H22" i="8"/>
  <c r="T22" i="8" s="1"/>
  <c r="R21" i="8"/>
  <c r="H21" i="8"/>
  <c r="T21" i="8" s="1"/>
  <c r="A24" i="8"/>
  <c r="N24" i="8"/>
  <c r="B25" i="8"/>
  <c r="J19" i="8"/>
  <c r="V19" i="8" s="1"/>
  <c r="U19" i="8"/>
  <c r="K19" i="8" l="1"/>
  <c r="W19" i="8" s="1"/>
  <c r="K20" i="8"/>
  <c r="W20" i="8" s="1"/>
  <c r="I21" i="8"/>
  <c r="E24" i="8"/>
  <c r="Q24" i="8" s="1"/>
  <c r="S22" i="8"/>
  <c r="I22" i="8"/>
  <c r="F23" i="8"/>
  <c r="A25" i="8"/>
  <c r="N25" i="8"/>
  <c r="B26" i="8"/>
  <c r="F24" i="8" l="1"/>
  <c r="R24" i="8" s="1"/>
  <c r="U22" i="8"/>
  <c r="J22" i="8"/>
  <c r="V22" i="8" s="1"/>
  <c r="K22" i="8"/>
  <c r="W22" i="8" s="1"/>
  <c r="U21" i="8"/>
  <c r="J21" i="8"/>
  <c r="V21" i="8" s="1"/>
  <c r="E25" i="8"/>
  <c r="Q25" i="8" s="1"/>
  <c r="R23" i="8"/>
  <c r="B27" i="8"/>
  <c r="N26" i="8"/>
  <c r="A26" i="8"/>
  <c r="G23" i="8"/>
  <c r="S23" i="8" s="1"/>
  <c r="H24" i="8" l="1"/>
  <c r="G24" i="8"/>
  <c r="S24" i="8" s="1"/>
  <c r="A27" i="8"/>
  <c r="N27" i="8"/>
  <c r="B28" i="8"/>
  <c r="E26" i="8"/>
  <c r="Q26" i="8" s="1"/>
  <c r="T24" i="8"/>
  <c r="H23" i="8"/>
  <c r="I23" i="8" s="1"/>
  <c r="U23" i="8" s="1"/>
  <c r="F25" i="8"/>
  <c r="R25" i="8" s="1"/>
  <c r="K21" i="8"/>
  <c r="W21" i="8" s="1"/>
  <c r="J24" i="8" l="1"/>
  <c r="V24" i="8" s="1"/>
  <c r="F26" i="8"/>
  <c r="R26" i="8" s="1"/>
  <c r="G25" i="8"/>
  <c r="S25" i="8" s="1"/>
  <c r="I24" i="8"/>
  <c r="J23" i="8"/>
  <c r="V23" i="8" s="1"/>
  <c r="T23" i="8"/>
  <c r="N28" i="8"/>
  <c r="A28" i="8"/>
  <c r="B29" i="8"/>
  <c r="G26" i="8"/>
  <c r="E27" i="8"/>
  <c r="Q27" i="8" s="1"/>
  <c r="U24" i="8" l="1"/>
  <c r="K24" i="8"/>
  <c r="W24" i="8" s="1"/>
  <c r="H25" i="8"/>
  <c r="T25" i="8" s="1"/>
  <c r="S26" i="8"/>
  <c r="H26" i="8"/>
  <c r="T26" i="8" s="1"/>
  <c r="I26" i="8"/>
  <c r="U26" i="8" s="1"/>
  <c r="K23" i="8"/>
  <c r="W23" i="8" s="1"/>
  <c r="F27" i="8"/>
  <c r="B30" i="8"/>
  <c r="N29" i="8"/>
  <c r="A29" i="8"/>
  <c r="I25" i="8"/>
  <c r="U25" i="8" s="1"/>
  <c r="E28" i="8"/>
  <c r="Q28" i="8" s="1"/>
  <c r="F28" i="8" l="1"/>
  <c r="R28" i="8" s="1"/>
  <c r="J25" i="8"/>
  <c r="V25" i="8" s="1"/>
  <c r="J26" i="8"/>
  <c r="V26" i="8" s="1"/>
  <c r="E29" i="8"/>
  <c r="Q29" i="8" s="1"/>
  <c r="A30" i="8"/>
  <c r="N30" i="8"/>
  <c r="B31" i="8"/>
  <c r="R27" i="8"/>
  <c r="G27" i="8"/>
  <c r="S27" i="8" s="1"/>
  <c r="H27" i="8"/>
  <c r="T27" i="8" s="1"/>
  <c r="G28" i="8" l="1"/>
  <c r="H28" i="8" s="1"/>
  <c r="T28" i="8" s="1"/>
  <c r="K25" i="8"/>
  <c r="W25" i="8" s="1"/>
  <c r="K26" i="8"/>
  <c r="W26" i="8" s="1"/>
  <c r="B32" i="8"/>
  <c r="A31" i="8"/>
  <c r="N31" i="8"/>
  <c r="S28" i="8"/>
  <c r="I27" i="8"/>
  <c r="U27" i="8" s="1"/>
  <c r="E30" i="8"/>
  <c r="Q30" i="8" s="1"/>
  <c r="F29" i="8"/>
  <c r="F30" i="8" l="1"/>
  <c r="I28" i="8"/>
  <c r="U28" i="8" s="1"/>
  <c r="E31" i="8"/>
  <c r="Q31" i="8" s="1"/>
  <c r="B33" i="8"/>
  <c r="N32" i="8"/>
  <c r="A32" i="8"/>
  <c r="R29" i="8"/>
  <c r="H29" i="8"/>
  <c r="T29" i="8" s="1"/>
  <c r="J27" i="8"/>
  <c r="V27" i="8" s="1"/>
  <c r="G29" i="8"/>
  <c r="S29" i="8" s="1"/>
  <c r="J28" i="8"/>
  <c r="V28" i="8" s="1"/>
  <c r="K27" i="8" l="1"/>
  <c r="W27" i="8" s="1"/>
  <c r="F31" i="8"/>
  <c r="H31" i="8"/>
  <c r="T31" i="8" s="1"/>
  <c r="K28" i="8"/>
  <c r="W28" i="8" s="1"/>
  <c r="I29" i="8"/>
  <c r="U29" i="8" s="1"/>
  <c r="B34" i="8"/>
  <c r="N33" i="8"/>
  <c r="A33" i="8"/>
  <c r="R30" i="8"/>
  <c r="G31" i="8"/>
  <c r="R31" i="8"/>
  <c r="E32" i="8"/>
  <c r="Q32" i="8" s="1"/>
  <c r="F32" i="8"/>
  <c r="R32" i="8" s="1"/>
  <c r="G30" i="8"/>
  <c r="S30" i="8" l="1"/>
  <c r="H30" i="8"/>
  <c r="E33" i="8"/>
  <c r="Q33" i="8" s="1"/>
  <c r="H32" i="8"/>
  <c r="T32" i="8" s="1"/>
  <c r="G32" i="8"/>
  <c r="S31" i="8"/>
  <c r="I31" i="8"/>
  <c r="J29" i="8"/>
  <c r="A34" i="8"/>
  <c r="N34" i="8"/>
  <c r="B35" i="8"/>
  <c r="F33" i="8" l="1"/>
  <c r="R33" i="8" s="1"/>
  <c r="I32" i="8"/>
  <c r="U32" i="8" s="1"/>
  <c r="E34" i="8"/>
  <c r="Q34" i="8" s="1"/>
  <c r="G33" i="8"/>
  <c r="V29" i="8"/>
  <c r="K29" i="8"/>
  <c r="W29" i="8" s="1"/>
  <c r="S32" i="8"/>
  <c r="J32" i="8"/>
  <c r="V32" i="8" s="1"/>
  <c r="U31" i="8"/>
  <c r="J31" i="8"/>
  <c r="V31" i="8" s="1"/>
  <c r="N35" i="8"/>
  <c r="B36" i="8"/>
  <c r="A35" i="8"/>
  <c r="T30" i="8"/>
  <c r="I30" i="8"/>
  <c r="K31" i="8" l="1"/>
  <c r="W31" i="8" s="1"/>
  <c r="K32" i="8"/>
  <c r="W32" i="8" s="1"/>
  <c r="F34" i="8"/>
  <c r="R34" i="8" s="1"/>
  <c r="U30" i="8"/>
  <c r="J30" i="8"/>
  <c r="E35" i="8"/>
  <c r="Q35" i="8" s="1"/>
  <c r="F35" i="8"/>
  <c r="R35" i="8" s="1"/>
  <c r="B37" i="8"/>
  <c r="A36" i="8"/>
  <c r="N36" i="8"/>
  <c r="S33" i="8"/>
  <c r="H33" i="8"/>
  <c r="G34" i="8" l="1"/>
  <c r="G35" i="8"/>
  <c r="H35" i="8" s="1"/>
  <c r="T33" i="8"/>
  <c r="I33" i="8"/>
  <c r="U33" i="8" s="1"/>
  <c r="V30" i="8"/>
  <c r="K30" i="8"/>
  <c r="W30" i="8" s="1"/>
  <c r="E36" i="8"/>
  <c r="Q36" i="8" s="1"/>
  <c r="J33" i="8"/>
  <c r="V33" i="8" s="1"/>
  <c r="A37" i="8"/>
  <c r="N37" i="8"/>
  <c r="B38" i="8"/>
  <c r="S34" i="8" l="1"/>
  <c r="H34" i="8"/>
  <c r="T34" i="8" s="1"/>
  <c r="I34" i="8"/>
  <c r="U34" i="8" s="1"/>
  <c r="T35" i="8"/>
  <c r="I35" i="8"/>
  <c r="U35" i="8" s="1"/>
  <c r="E37" i="8"/>
  <c r="Q37" i="8" s="1"/>
  <c r="F36" i="8"/>
  <c r="B39" i="8"/>
  <c r="N38" i="8"/>
  <c r="A38" i="8"/>
  <c r="K33" i="8"/>
  <c r="W33" i="8" s="1"/>
  <c r="S35" i="8"/>
  <c r="J35" i="8"/>
  <c r="V35" i="8" s="1"/>
  <c r="J34" i="8" l="1"/>
  <c r="V34" i="8" s="1"/>
  <c r="E38" i="8"/>
  <c r="Q38" i="8" s="1"/>
  <c r="F38" i="8"/>
  <c r="R38" i="8" s="1"/>
  <c r="K35" i="8"/>
  <c r="W35" i="8" s="1"/>
  <c r="F37" i="8"/>
  <c r="R36" i="8"/>
  <c r="K34" i="8"/>
  <c r="W34" i="8" s="1"/>
  <c r="N39" i="8"/>
  <c r="A39" i="8"/>
  <c r="B40" i="8"/>
  <c r="G36" i="8"/>
  <c r="S36" i="8" s="1"/>
  <c r="E39" i="8" l="1"/>
  <c r="Q39" i="8" s="1"/>
  <c r="G38" i="8"/>
  <c r="R37" i="8"/>
  <c r="H36" i="8"/>
  <c r="T36" i="8" s="1"/>
  <c r="G37" i="8"/>
  <c r="S37" i="8" s="1"/>
  <c r="N40" i="8"/>
  <c r="A40" i="8"/>
  <c r="B41" i="8"/>
  <c r="H37" i="8" l="1"/>
  <c r="T37" i="8" s="1"/>
  <c r="A41" i="8"/>
  <c r="N41" i="8"/>
  <c r="B42" i="8"/>
  <c r="S38" i="8"/>
  <c r="E40" i="8"/>
  <c r="Q40" i="8" s="1"/>
  <c r="I37" i="8"/>
  <c r="J37" i="8" s="1"/>
  <c r="V37" i="8" s="1"/>
  <c r="F39" i="8"/>
  <c r="H38" i="8"/>
  <c r="I36" i="8"/>
  <c r="U36" i="8" s="1"/>
  <c r="F40" i="8" l="1"/>
  <c r="G40" i="8" s="1"/>
  <c r="S40" i="8" s="1"/>
  <c r="T38" i="8"/>
  <c r="I38" i="8"/>
  <c r="U38" i="8" s="1"/>
  <c r="A42" i="8"/>
  <c r="N42" i="8"/>
  <c r="B43" i="8"/>
  <c r="U37" i="8"/>
  <c r="K37" i="8"/>
  <c r="W37" i="8" s="1"/>
  <c r="R39" i="8"/>
  <c r="G39" i="8"/>
  <c r="J36" i="8"/>
  <c r="V36" i="8" s="1"/>
  <c r="E41" i="8"/>
  <c r="Q41" i="8" s="1"/>
  <c r="F41" i="8" l="1"/>
  <c r="G41" i="8" s="1"/>
  <c r="S41" i="8" s="1"/>
  <c r="K36" i="8"/>
  <c r="W36" i="8" s="1"/>
  <c r="R40" i="8"/>
  <c r="H40" i="8"/>
  <c r="T40" i="8" s="1"/>
  <c r="E42" i="8"/>
  <c r="Q42" i="8" s="1"/>
  <c r="S39" i="8"/>
  <c r="I39" i="8"/>
  <c r="U39" i="8" s="1"/>
  <c r="H39" i="8"/>
  <c r="J38" i="8"/>
  <c r="A43" i="8"/>
  <c r="N43" i="8"/>
  <c r="B44" i="8"/>
  <c r="I40" i="8" l="1"/>
  <c r="U40" i="8" s="1"/>
  <c r="F42" i="8"/>
  <c r="R42" i="8" s="1"/>
  <c r="N44" i="8"/>
  <c r="A44" i="8"/>
  <c r="B45" i="8"/>
  <c r="E43" i="8"/>
  <c r="Q43" i="8" s="1"/>
  <c r="V38" i="8"/>
  <c r="K38" i="8"/>
  <c r="W38" i="8" s="1"/>
  <c r="R41" i="8"/>
  <c r="T39" i="8"/>
  <c r="J39" i="8"/>
  <c r="V39" i="8" s="1"/>
  <c r="H41" i="8"/>
  <c r="T41" i="8" s="1"/>
  <c r="G42" i="8" l="1"/>
  <c r="J40" i="8"/>
  <c r="V40" i="8" s="1"/>
  <c r="F43" i="8"/>
  <c r="R43" i="8" s="1"/>
  <c r="K39" i="8"/>
  <c r="W39" i="8" s="1"/>
  <c r="K40" i="8"/>
  <c r="W40" i="8" s="1"/>
  <c r="A45" i="8"/>
  <c r="B46" i="8"/>
  <c r="N45" i="8"/>
  <c r="E44" i="8"/>
  <c r="Q44" i="8" s="1"/>
  <c r="I41" i="8"/>
  <c r="G43" i="8" l="1"/>
  <c r="S42" i="8"/>
  <c r="H42" i="8"/>
  <c r="T42" i="8" s="1"/>
  <c r="I42" i="8"/>
  <c r="U42" i="8" s="1"/>
  <c r="U41" i="8"/>
  <c r="J41" i="8"/>
  <c r="A46" i="8"/>
  <c r="N46" i="8"/>
  <c r="B47" i="8"/>
  <c r="E45" i="8"/>
  <c r="Q45" i="8" s="1"/>
  <c r="F45" i="8"/>
  <c r="R45" i="8" s="1"/>
  <c r="F44" i="8"/>
  <c r="R44" i="8" s="1"/>
  <c r="S43" i="8"/>
  <c r="H43" i="8"/>
  <c r="T43" i="8" s="1"/>
  <c r="I43" i="8" l="1"/>
  <c r="J42" i="8"/>
  <c r="A47" i="8"/>
  <c r="N47" i="8"/>
  <c r="B48" i="8"/>
  <c r="E46" i="8"/>
  <c r="Q46" i="8" s="1"/>
  <c r="V41" i="8"/>
  <c r="K41" i="8"/>
  <c r="W41" i="8" s="1"/>
  <c r="G45" i="8"/>
  <c r="G44" i="8"/>
  <c r="H44" i="8" s="1"/>
  <c r="T44" i="8" s="1"/>
  <c r="U43" i="8" l="1"/>
  <c r="J43" i="8"/>
  <c r="V42" i="8"/>
  <c r="K42" i="8"/>
  <c r="W42" i="8" s="1"/>
  <c r="S45" i="8"/>
  <c r="E47" i="8"/>
  <c r="Q47" i="8" s="1"/>
  <c r="F46" i="8"/>
  <c r="R46" i="8" s="1"/>
  <c r="B49" i="8"/>
  <c r="A48" i="8"/>
  <c r="N48" i="8"/>
  <c r="H45" i="8"/>
  <c r="T45" i="8" s="1"/>
  <c r="S44" i="8"/>
  <c r="I44" i="8"/>
  <c r="U44" i="8" s="1"/>
  <c r="AC8" i="1"/>
  <c r="AV1" i="1"/>
  <c r="BB8" i="1"/>
  <c r="AQ8" i="1"/>
  <c r="AP8" i="1"/>
  <c r="AN8" i="1"/>
  <c r="BA6" i="1"/>
  <c r="AI8" i="1"/>
  <c r="BE5" i="1"/>
  <c r="Q11" i="10"/>
  <c r="AK8" i="1"/>
  <c r="AL8" i="1" l="1"/>
  <c r="BA4" i="1"/>
  <c r="AS2" i="1"/>
  <c r="J44" i="8"/>
  <c r="V44" i="8" s="1"/>
  <c r="G46" i="8"/>
  <c r="S46" i="8" s="1"/>
  <c r="V43" i="8"/>
  <c r="K43" i="8"/>
  <c r="W43" i="8" s="1"/>
  <c r="F47" i="8"/>
  <c r="R47" i="8" s="1"/>
  <c r="K44" i="8"/>
  <c r="W44" i="8" s="1"/>
  <c r="E48" i="8"/>
  <c r="Q48" i="8" s="1"/>
  <c r="A49" i="8"/>
  <c r="B50" i="8"/>
  <c r="N49" i="8"/>
  <c r="H46" i="8"/>
  <c r="I45" i="8"/>
  <c r="U45" i="8" s="1"/>
  <c r="BE6" i="1"/>
  <c r="BD6" i="1"/>
  <c r="G47" i="8" l="1"/>
  <c r="S47" i="8" s="1"/>
  <c r="F48" i="8"/>
  <c r="R48" i="8" s="1"/>
  <c r="T46" i="8"/>
  <c r="J45" i="8"/>
  <c r="V45" i="8" s="1"/>
  <c r="A50" i="8"/>
  <c r="B51" i="8"/>
  <c r="N50" i="8"/>
  <c r="I46" i="8"/>
  <c r="U46" i="8" s="1"/>
  <c r="E49" i="8"/>
  <c r="Q49" i="8" s="1"/>
  <c r="AY5" i="1"/>
  <c r="AY4" i="1"/>
  <c r="BI4" i="1" l="1"/>
  <c r="BI2" i="1"/>
  <c r="K37" i="2" s="1"/>
  <c r="BI3" i="1"/>
  <c r="K45" i="8"/>
  <c r="W45" i="8" s="1"/>
  <c r="G48" i="8"/>
  <c r="H47" i="8"/>
  <c r="F49" i="8"/>
  <c r="R49" i="8" s="1"/>
  <c r="N51" i="8"/>
  <c r="B52" i="8"/>
  <c r="A51" i="8"/>
  <c r="S48" i="8"/>
  <c r="G49" i="8"/>
  <c r="S49" i="8" s="1"/>
  <c r="E50" i="8"/>
  <c r="Q50" i="8" s="1"/>
  <c r="F50" i="8"/>
  <c r="R50" i="8" s="1"/>
  <c r="H48" i="8"/>
  <c r="J46" i="8"/>
  <c r="V46" i="8" s="1"/>
  <c r="A38" i="2"/>
  <c r="A3" i="1"/>
  <c r="A36" i="2"/>
  <c r="AM5" i="1"/>
  <c r="G4" i="1"/>
  <c r="C2" i="1"/>
  <c r="A2" i="1"/>
  <c r="B10" i="11" l="1"/>
  <c r="H2" i="10"/>
  <c r="I6" i="4"/>
  <c r="L6" i="4" s="1"/>
  <c r="M9" i="4" s="1"/>
  <c r="M10" i="4" s="1"/>
  <c r="B38" i="2"/>
  <c r="A40" i="2"/>
  <c r="H6" i="10"/>
  <c r="B21" i="11"/>
  <c r="T47" i="8"/>
  <c r="I47" i="8"/>
  <c r="U47" i="8" s="1"/>
  <c r="T48" i="8"/>
  <c r="K46" i="8"/>
  <c r="W46" i="8" s="1"/>
  <c r="G50" i="8"/>
  <c r="E51" i="8"/>
  <c r="Q51" i="8" s="1"/>
  <c r="B53" i="8"/>
  <c r="A52" i="8"/>
  <c r="N52" i="8"/>
  <c r="I48" i="8"/>
  <c r="U48" i="8" s="1"/>
  <c r="H49" i="8"/>
  <c r="H50" i="8"/>
  <c r="T50" i="8" s="1"/>
  <c r="T40" i="2"/>
  <c r="K36" i="2"/>
  <c r="BG6" i="1"/>
  <c r="T38" i="2"/>
  <c r="P3" i="2"/>
  <c r="T39" i="2"/>
  <c r="O34" i="11" l="1"/>
  <c r="Q9" i="2"/>
  <c r="R9" i="2" s="1"/>
  <c r="O39" i="2"/>
  <c r="R39" i="2" s="1"/>
  <c r="B36" i="11" s="1"/>
  <c r="O37" i="11"/>
  <c r="O31" i="11"/>
  <c r="Q7" i="2"/>
  <c r="R7" i="2" s="1"/>
  <c r="Q15" i="2"/>
  <c r="R15" i="2" s="1"/>
  <c r="Q10" i="2"/>
  <c r="R10" i="2" s="1"/>
  <c r="Q13" i="2"/>
  <c r="R13" i="2" s="1"/>
  <c r="Q8" i="2"/>
  <c r="R8" i="2" s="1"/>
  <c r="Q12" i="2"/>
  <c r="R12" i="2" s="1"/>
  <c r="P18" i="2"/>
  <c r="Q21" i="2" s="1"/>
  <c r="R21" i="2" s="1"/>
  <c r="Q6" i="2"/>
  <c r="R6" i="2" s="1"/>
  <c r="Q14" i="2"/>
  <c r="R14" i="2" s="1"/>
  <c r="Q16" i="2"/>
  <c r="R16" i="2" s="1"/>
  <c r="Q11" i="2"/>
  <c r="R11" i="2" s="1"/>
  <c r="J11" i="4"/>
  <c r="J12" i="4" s="1"/>
  <c r="J10" i="4"/>
  <c r="J15" i="4"/>
  <c r="J16" i="4" s="1"/>
  <c r="J17" i="4" s="1"/>
  <c r="J18" i="4"/>
  <c r="J19" i="4" s="1"/>
  <c r="J13" i="4"/>
  <c r="J14" i="4"/>
  <c r="J9" i="4"/>
  <c r="M11" i="4"/>
  <c r="M12" i="4" s="1"/>
  <c r="M13" i="4" s="1"/>
  <c r="M14" i="4" s="1"/>
  <c r="F51" i="8"/>
  <c r="R51" i="8" s="1"/>
  <c r="J47" i="8"/>
  <c r="G51" i="8"/>
  <c r="S51" i="8" s="1"/>
  <c r="S50" i="8"/>
  <c r="J50" i="8"/>
  <c r="V50" i="8" s="1"/>
  <c r="I50" i="8"/>
  <c r="U50" i="8" s="1"/>
  <c r="J48" i="8"/>
  <c r="V48" i="8" s="1"/>
  <c r="E52" i="8"/>
  <c r="Q52" i="8" s="1"/>
  <c r="T49" i="8"/>
  <c r="A53" i="8"/>
  <c r="N53" i="8"/>
  <c r="B54" i="8"/>
  <c r="I49" i="8"/>
  <c r="Q22" i="2" l="1"/>
  <c r="R22" i="2" s="1"/>
  <c r="Q3" i="2"/>
  <c r="J6" i="4"/>
  <c r="M15" i="4"/>
  <c r="M16" i="4" s="1"/>
  <c r="M17" i="4" s="1"/>
  <c r="M18" i="4" s="1"/>
  <c r="M19" i="4" s="1"/>
  <c r="V47" i="8"/>
  <c r="K47" i="8"/>
  <c r="W47" i="8" s="1"/>
  <c r="U49" i="8"/>
  <c r="J49" i="8"/>
  <c r="V49" i="8" s="1"/>
  <c r="H51" i="8"/>
  <c r="I51" i="8" s="1"/>
  <c r="U51" i="8" s="1"/>
  <c r="A54" i="8"/>
  <c r="N54" i="8"/>
  <c r="B55" i="8"/>
  <c r="K50" i="8"/>
  <c r="W50" i="8" s="1"/>
  <c r="K48" i="8"/>
  <c r="W48" i="8" s="1"/>
  <c r="F52" i="8"/>
  <c r="E53" i="8"/>
  <c r="Q53" i="8" s="1"/>
  <c r="Q23" i="2" l="1"/>
  <c r="R23" i="2" s="1"/>
  <c r="M6" i="4"/>
  <c r="E54" i="8"/>
  <c r="Q54" i="8" s="1"/>
  <c r="K49" i="8"/>
  <c r="W49" i="8" s="1"/>
  <c r="A55" i="8"/>
  <c r="N55" i="8"/>
  <c r="B56" i="8"/>
  <c r="R52" i="8"/>
  <c r="G52" i="8"/>
  <c r="S52" i="8" s="1"/>
  <c r="T51" i="8"/>
  <c r="F53" i="8"/>
  <c r="J51" i="8"/>
  <c r="V51" i="8" s="1"/>
  <c r="Q24" i="2" l="1"/>
  <c r="R24" i="2" s="1"/>
  <c r="I52" i="8"/>
  <c r="N56" i="8"/>
  <c r="A56" i="8"/>
  <c r="B57" i="8"/>
  <c r="K51" i="8"/>
  <c r="W51" i="8" s="1"/>
  <c r="H52" i="8"/>
  <c r="R53" i="8"/>
  <c r="G53" i="8"/>
  <c r="S53" i="8" s="1"/>
  <c r="E55" i="8"/>
  <c r="Q55" i="8" s="1"/>
  <c r="F54" i="8"/>
  <c r="R54" i="8" s="1"/>
  <c r="Q25" i="2" l="1"/>
  <c r="R25" i="2" s="1"/>
  <c r="G55" i="8"/>
  <c r="S55" i="8" s="1"/>
  <c r="F55" i="8"/>
  <c r="R55" i="8" s="1"/>
  <c r="J52" i="8"/>
  <c r="V52" i="8" s="1"/>
  <c r="U52" i="8"/>
  <c r="H55" i="8"/>
  <c r="T52" i="8"/>
  <c r="N57" i="8"/>
  <c r="B58" i="8"/>
  <c r="A57" i="8"/>
  <c r="G54" i="8"/>
  <c r="S54" i="8" s="1"/>
  <c r="H54" i="8"/>
  <c r="T54" i="8" s="1"/>
  <c r="E56" i="8"/>
  <c r="Q56" i="8" s="1"/>
  <c r="F56" i="8"/>
  <c r="R56" i="8" s="1"/>
  <c r="H53" i="8"/>
  <c r="Q26" i="2" l="1"/>
  <c r="R26" i="2" s="1"/>
  <c r="H56" i="8"/>
  <c r="T56" i="8" s="1"/>
  <c r="G56" i="8"/>
  <c r="S56" i="8" s="1"/>
  <c r="K52" i="8"/>
  <c r="W52" i="8" s="1"/>
  <c r="I54" i="8"/>
  <c r="U54" i="8" s="1"/>
  <c r="N58" i="8"/>
  <c r="A58" i="8"/>
  <c r="B59" i="8"/>
  <c r="J54" i="8"/>
  <c r="V54" i="8" s="1"/>
  <c r="T53" i="8"/>
  <c r="I53" i="8"/>
  <c r="U53" i="8" s="1"/>
  <c r="E57" i="8"/>
  <c r="Q57" i="8" s="1"/>
  <c r="T55" i="8"/>
  <c r="I55" i="8"/>
  <c r="K54" i="8"/>
  <c r="W54" i="8" s="1"/>
  <c r="Q27" i="2" l="1"/>
  <c r="R27" i="2" s="1"/>
  <c r="I56" i="8"/>
  <c r="F57" i="8"/>
  <c r="R57" i="8" s="1"/>
  <c r="U55" i="8"/>
  <c r="E58" i="8"/>
  <c r="Q58" i="8" s="1"/>
  <c r="F58" i="8"/>
  <c r="R58" i="8" s="1"/>
  <c r="J53" i="8"/>
  <c r="G57" i="8"/>
  <c r="B60" i="8"/>
  <c r="N59" i="8"/>
  <c r="A59" i="8"/>
  <c r="J55" i="8"/>
  <c r="V55" i="8" s="1"/>
  <c r="Q28" i="2" l="1"/>
  <c r="Q29" i="2" s="1"/>
  <c r="R29" i="2" s="1"/>
  <c r="U56" i="8"/>
  <c r="J56" i="8"/>
  <c r="V56" i="8" s="1"/>
  <c r="B61" i="8"/>
  <c r="A60" i="8"/>
  <c r="N60" i="8"/>
  <c r="H57" i="8"/>
  <c r="T57" i="8" s="1"/>
  <c r="F59" i="8"/>
  <c r="R59" i="8" s="1"/>
  <c r="E59" i="8"/>
  <c r="Q59" i="8" s="1"/>
  <c r="V53" i="8"/>
  <c r="K53" i="8"/>
  <c r="W53" i="8" s="1"/>
  <c r="K55" i="8"/>
  <c r="W55" i="8" s="1"/>
  <c r="S57" i="8"/>
  <c r="G58" i="8"/>
  <c r="H58" i="8" s="1"/>
  <c r="T58" i="8" s="1"/>
  <c r="R28" i="2" l="1"/>
  <c r="Q30" i="2"/>
  <c r="R30" i="2" s="1"/>
  <c r="K56" i="8"/>
  <c r="W56" i="8" s="1"/>
  <c r="I57" i="8"/>
  <c r="U57" i="8" s="1"/>
  <c r="E60" i="8"/>
  <c r="Q60" i="8" s="1"/>
  <c r="S58" i="8"/>
  <c r="I58" i="8"/>
  <c r="U58" i="8" s="1"/>
  <c r="G59" i="8"/>
  <c r="A61" i="8"/>
  <c r="B62" i="8"/>
  <c r="N61" i="8"/>
  <c r="J57" i="8"/>
  <c r="V57" i="8" s="1"/>
  <c r="Q31" i="2" l="1"/>
  <c r="R31" i="2" s="1"/>
  <c r="O38" i="2" s="1"/>
  <c r="R38" i="2" s="1"/>
  <c r="B31" i="11" s="1"/>
  <c r="K57" i="8"/>
  <c r="W57" i="8" s="1"/>
  <c r="S59" i="8"/>
  <c r="F60" i="8"/>
  <c r="B63" i="8"/>
  <c r="A62" i="8"/>
  <c r="N62" i="8"/>
  <c r="J58" i="8"/>
  <c r="E61" i="8"/>
  <c r="Q61" i="8" s="1"/>
  <c r="H59" i="8"/>
  <c r="I59" i="8" s="1"/>
  <c r="U59" i="8" s="1"/>
  <c r="Q18" i="2" l="1"/>
  <c r="F61" i="8"/>
  <c r="E62" i="8"/>
  <c r="Q62" i="8" s="1"/>
  <c r="T59" i="8"/>
  <c r="J59" i="8"/>
  <c r="V59" i="8" s="1"/>
  <c r="A63" i="8"/>
  <c r="B64" i="8"/>
  <c r="N63" i="8"/>
  <c r="K59" i="8"/>
  <c r="W59" i="8" s="1"/>
  <c r="G61" i="8"/>
  <c r="S61" i="8" s="1"/>
  <c r="V58" i="8"/>
  <c r="K58" i="8"/>
  <c r="W58" i="8" s="1"/>
  <c r="R60" i="8"/>
  <c r="G60" i="8"/>
  <c r="F62" i="8" l="1"/>
  <c r="R62" i="8" s="1"/>
  <c r="E63" i="8"/>
  <c r="Q63" i="8" s="1"/>
  <c r="R61" i="8"/>
  <c r="H61" i="8"/>
  <c r="T61" i="8" s="1"/>
  <c r="S60" i="8"/>
  <c r="H60" i="8"/>
  <c r="A64" i="8"/>
  <c r="B65" i="8"/>
  <c r="N64" i="8"/>
  <c r="G62" i="8"/>
  <c r="I61" i="8"/>
  <c r="U61" i="8" s="1"/>
  <c r="J61" i="8" l="1"/>
  <c r="V61" i="8" s="1"/>
  <c r="I62" i="8"/>
  <c r="U62" i="8" s="1"/>
  <c r="H62" i="8"/>
  <c r="T62" i="8" s="1"/>
  <c r="T60" i="8"/>
  <c r="I60" i="8"/>
  <c r="U60" i="8" s="1"/>
  <c r="S62" i="8"/>
  <c r="N65" i="8"/>
  <c r="A65" i="8"/>
  <c r="B66" i="8"/>
  <c r="F63" i="8"/>
  <c r="E64" i="8"/>
  <c r="Q64" i="8" s="1"/>
  <c r="K61" i="8" l="1"/>
  <c r="W61" i="8" s="1"/>
  <c r="R63" i="8"/>
  <c r="G63" i="8"/>
  <c r="S63" i="8" s="1"/>
  <c r="A66" i="8"/>
  <c r="N66" i="8"/>
  <c r="B67" i="8"/>
  <c r="F64" i="8"/>
  <c r="E65" i="8"/>
  <c r="Q65" i="8" s="1"/>
  <c r="J62" i="8"/>
  <c r="V62" i="8" s="1"/>
  <c r="J60" i="8"/>
  <c r="H63" i="8"/>
  <c r="T63" i="8" s="1"/>
  <c r="R64" i="8" l="1"/>
  <c r="F66" i="8"/>
  <c r="R66" i="8" s="1"/>
  <c r="E66" i="8"/>
  <c r="Q66" i="8" s="1"/>
  <c r="G64" i="8"/>
  <c r="H64" i="8" s="1"/>
  <c r="T64" i="8" s="1"/>
  <c r="A67" i="8"/>
  <c r="B68" i="8"/>
  <c r="N67" i="8"/>
  <c r="K62" i="8"/>
  <c r="W62" i="8" s="1"/>
  <c r="V60" i="8"/>
  <c r="K60" i="8"/>
  <c r="W60" i="8" s="1"/>
  <c r="F65" i="8"/>
  <c r="G65" i="8" s="1"/>
  <c r="S65" i="8" s="1"/>
  <c r="I63" i="8"/>
  <c r="U63" i="8" s="1"/>
  <c r="E67" i="8" l="1"/>
  <c r="Q67" i="8" s="1"/>
  <c r="H65" i="8"/>
  <c r="T65" i="8" s="1"/>
  <c r="R65" i="8"/>
  <c r="S64" i="8"/>
  <c r="G66" i="8"/>
  <c r="S66" i="8" s="1"/>
  <c r="J63" i="8"/>
  <c r="V63" i="8" s="1"/>
  <c r="H66" i="8"/>
  <c r="T66" i="8" s="1"/>
  <c r="I65" i="8"/>
  <c r="U65" i="8" s="1"/>
  <c r="A68" i="8"/>
  <c r="B69" i="8"/>
  <c r="N68" i="8"/>
  <c r="I64" i="8"/>
  <c r="U64" i="8" s="1"/>
  <c r="J64" i="8" l="1"/>
  <c r="V64" i="8" s="1"/>
  <c r="K63" i="8"/>
  <c r="W63" i="8" s="1"/>
  <c r="J65" i="8"/>
  <c r="V65" i="8" s="1"/>
  <c r="E68" i="8"/>
  <c r="Q68" i="8" s="1"/>
  <c r="I66" i="8"/>
  <c r="J66" i="8" s="1"/>
  <c r="V66" i="8" s="1"/>
  <c r="A69" i="8"/>
  <c r="B70" i="8"/>
  <c r="N69" i="8"/>
  <c r="F67" i="8"/>
  <c r="R67" i="8" s="1"/>
  <c r="K65" i="8" l="1"/>
  <c r="W65" i="8" s="1"/>
  <c r="K64" i="8"/>
  <c r="W64" i="8" s="1"/>
  <c r="G67" i="8"/>
  <c r="S67" i="8" s="1"/>
  <c r="U66" i="8"/>
  <c r="K66" i="8"/>
  <c r="W66" i="8" s="1"/>
  <c r="N70" i="8"/>
  <c r="A70" i="8"/>
  <c r="B71" i="8"/>
  <c r="E69" i="8"/>
  <c r="Q69" i="8" s="1"/>
  <c r="F68" i="8"/>
  <c r="H67" i="8" l="1"/>
  <c r="T67" i="8" s="1"/>
  <c r="F69" i="8"/>
  <c r="R69" i="8" s="1"/>
  <c r="G69" i="8"/>
  <c r="S69" i="8" s="1"/>
  <c r="G68" i="8"/>
  <c r="S68" i="8" s="1"/>
  <c r="B72" i="8"/>
  <c r="N71" i="8"/>
  <c r="A71" i="8"/>
  <c r="R68" i="8"/>
  <c r="E70" i="8"/>
  <c r="Q70" i="8" s="1"/>
  <c r="F70" i="8"/>
  <c r="R70" i="8" s="1"/>
  <c r="H68" i="8" l="1"/>
  <c r="T68" i="8" s="1"/>
  <c r="I67" i="8"/>
  <c r="H69" i="8"/>
  <c r="I69" i="8" s="1"/>
  <c r="U69" i="8" s="1"/>
  <c r="E71" i="8"/>
  <c r="Q71" i="8" s="1"/>
  <c r="J69" i="8"/>
  <c r="V69" i="8" s="1"/>
  <c r="A72" i="8"/>
  <c r="B73" i="8"/>
  <c r="N72" i="8"/>
  <c r="G70" i="8"/>
  <c r="H70" i="8" s="1"/>
  <c r="K69" i="8"/>
  <c r="W69" i="8" s="1"/>
  <c r="I68" i="8"/>
  <c r="U68" i="8" s="1"/>
  <c r="U67" i="8" l="1"/>
  <c r="J67" i="8"/>
  <c r="V67" i="8" s="1"/>
  <c r="T69" i="8"/>
  <c r="T70" i="8"/>
  <c r="I70" i="8"/>
  <c r="U70" i="8" s="1"/>
  <c r="E72" i="8"/>
  <c r="Q72" i="8" s="1"/>
  <c r="F72" i="8"/>
  <c r="R72" i="8" s="1"/>
  <c r="J68" i="8"/>
  <c r="V68" i="8" s="1"/>
  <c r="S70" i="8"/>
  <c r="N73" i="8"/>
  <c r="B74" i="8"/>
  <c r="A73" i="8"/>
  <c r="F71" i="8"/>
  <c r="K67" i="8" l="1"/>
  <c r="W67" i="8" s="1"/>
  <c r="G71" i="8"/>
  <c r="S71" i="8" s="1"/>
  <c r="J70" i="8"/>
  <c r="V70" i="8" s="1"/>
  <c r="E73" i="8"/>
  <c r="Q73" i="8" s="1"/>
  <c r="K68" i="8"/>
  <c r="W68" i="8" s="1"/>
  <c r="A74" i="8"/>
  <c r="N74" i="8"/>
  <c r="B75" i="8"/>
  <c r="R71" i="8"/>
  <c r="G72" i="8"/>
  <c r="K70" i="8"/>
  <c r="W70" i="8" s="1"/>
  <c r="F73" i="8" l="1"/>
  <c r="R73" i="8" s="1"/>
  <c r="H71" i="8"/>
  <c r="T71" i="8" s="1"/>
  <c r="N75" i="8"/>
  <c r="B76" i="8"/>
  <c r="A75" i="8"/>
  <c r="E74" i="8"/>
  <c r="Q74" i="8" s="1"/>
  <c r="S72" i="8"/>
  <c r="H72" i="8"/>
  <c r="I72" i="8" s="1"/>
  <c r="U72" i="8" s="1"/>
  <c r="I71" i="8" l="1"/>
  <c r="G73" i="8"/>
  <c r="S73" i="8" s="1"/>
  <c r="T72" i="8"/>
  <c r="H73" i="8"/>
  <c r="E75" i="8"/>
  <c r="Q75" i="8" s="1"/>
  <c r="J72" i="8"/>
  <c r="V72" i="8" s="1"/>
  <c r="F74" i="8"/>
  <c r="N76" i="8"/>
  <c r="A76" i="8"/>
  <c r="B77" i="8"/>
  <c r="U71" i="8" l="1"/>
  <c r="J71" i="8"/>
  <c r="V71" i="8" s="1"/>
  <c r="N77" i="8"/>
  <c r="B78" i="8"/>
  <c r="A77" i="8"/>
  <c r="F75" i="8"/>
  <c r="R74" i="8"/>
  <c r="H74" i="8"/>
  <c r="T74" i="8" s="1"/>
  <c r="G74" i="8"/>
  <c r="S74" i="8" s="1"/>
  <c r="F76" i="8"/>
  <c r="R76" i="8" s="1"/>
  <c r="E76" i="8"/>
  <c r="Q76" i="8" s="1"/>
  <c r="T73" i="8"/>
  <c r="I73" i="8"/>
  <c r="K72" i="8"/>
  <c r="W72" i="8" s="1"/>
  <c r="K71" i="8" l="1"/>
  <c r="W71" i="8" s="1"/>
  <c r="G76" i="8"/>
  <c r="G75" i="8"/>
  <c r="H75" i="8" s="1"/>
  <c r="T75" i="8" s="1"/>
  <c r="E77" i="8"/>
  <c r="Q77" i="8" s="1"/>
  <c r="U73" i="8"/>
  <c r="J73" i="8"/>
  <c r="H76" i="8"/>
  <c r="T76" i="8" s="1"/>
  <c r="I74" i="8"/>
  <c r="U74" i="8" s="1"/>
  <c r="N78" i="8"/>
  <c r="B79" i="8"/>
  <c r="A78" i="8"/>
  <c r="R75" i="8"/>
  <c r="E78" i="8" l="1"/>
  <c r="Q78" i="8" s="1"/>
  <c r="A79" i="8"/>
  <c r="B80" i="8"/>
  <c r="N79" i="8"/>
  <c r="J74" i="8"/>
  <c r="V74" i="8" s="1"/>
  <c r="F77" i="8"/>
  <c r="G77" i="8" s="1"/>
  <c r="S77" i="8" s="1"/>
  <c r="K74" i="8"/>
  <c r="W74" i="8" s="1"/>
  <c r="V73" i="8"/>
  <c r="K73" i="8"/>
  <c r="W73" i="8" s="1"/>
  <c r="S76" i="8"/>
  <c r="I76" i="8"/>
  <c r="U76" i="8" s="1"/>
  <c r="S75" i="8"/>
  <c r="I75" i="8"/>
  <c r="U75" i="8" s="1"/>
  <c r="E79" i="8" l="1"/>
  <c r="Q79" i="8" s="1"/>
  <c r="H77" i="8"/>
  <c r="T77" i="8" s="1"/>
  <c r="J75" i="8"/>
  <c r="V75" i="8" s="1"/>
  <c r="J76" i="8"/>
  <c r="V76" i="8" s="1"/>
  <c r="R77" i="8"/>
  <c r="A80" i="8"/>
  <c r="B81" i="8"/>
  <c r="N80" i="8"/>
  <c r="F78" i="8"/>
  <c r="I77" i="8" l="1"/>
  <c r="F79" i="8"/>
  <c r="A81" i="8"/>
  <c r="N81" i="8"/>
  <c r="B82" i="8"/>
  <c r="K75" i="8"/>
  <c r="W75" i="8" s="1"/>
  <c r="R78" i="8"/>
  <c r="G78" i="8"/>
  <c r="S78" i="8" s="1"/>
  <c r="E80" i="8"/>
  <c r="Q80" i="8" s="1"/>
  <c r="K76" i="8"/>
  <c r="W76" i="8" s="1"/>
  <c r="R79" i="8" l="1"/>
  <c r="G79" i="8"/>
  <c r="A82" i="8"/>
  <c r="N82" i="8"/>
  <c r="B83" i="8"/>
  <c r="H78" i="8"/>
  <c r="T78" i="8" s="1"/>
  <c r="U77" i="8"/>
  <c r="K77" i="8"/>
  <c r="W77" i="8" s="1"/>
  <c r="J77" i="8"/>
  <c r="V77" i="8" s="1"/>
  <c r="F80" i="8"/>
  <c r="R80" i="8" s="1"/>
  <c r="E81" i="8"/>
  <c r="Q81" i="8" s="1"/>
  <c r="G80" i="8" l="1"/>
  <c r="S80" i="8" s="1"/>
  <c r="F81" i="8"/>
  <c r="R81" i="8" s="1"/>
  <c r="G81" i="8"/>
  <c r="S81" i="8" s="1"/>
  <c r="I78" i="8"/>
  <c r="U78" i="8" s="1"/>
  <c r="B84" i="8"/>
  <c r="A83" i="8"/>
  <c r="N83" i="8"/>
  <c r="S79" i="8"/>
  <c r="H79" i="8"/>
  <c r="T79" i="8" s="1"/>
  <c r="E82" i="8"/>
  <c r="Q82" i="8" s="1"/>
  <c r="K78" i="8" l="1"/>
  <c r="W78" i="8" s="1"/>
  <c r="J78" i="8"/>
  <c r="V78" i="8" s="1"/>
  <c r="H80" i="8"/>
  <c r="I80" i="8" s="1"/>
  <c r="U80" i="8" s="1"/>
  <c r="H81" i="8"/>
  <c r="T81" i="8"/>
  <c r="I81" i="8"/>
  <c r="I79" i="8"/>
  <c r="J79" i="8" s="1"/>
  <c r="V79" i="8" s="1"/>
  <c r="F82" i="8"/>
  <c r="E83" i="8"/>
  <c r="Q83" i="8" s="1"/>
  <c r="B85" i="8"/>
  <c r="A84" i="8"/>
  <c r="N84" i="8"/>
  <c r="J80" i="8"/>
  <c r="V80" i="8" s="1"/>
  <c r="T80" i="8" l="1"/>
  <c r="K80" i="8"/>
  <c r="W80" i="8" s="1"/>
  <c r="U81" i="8"/>
  <c r="J81" i="8"/>
  <c r="V81" i="8" s="1"/>
  <c r="R82" i="8"/>
  <c r="E84" i="8"/>
  <c r="Q84" i="8" s="1"/>
  <c r="A85" i="8"/>
  <c r="N85" i="8"/>
  <c r="B86" i="8"/>
  <c r="F83" i="8"/>
  <c r="R83" i="8" s="1"/>
  <c r="U79" i="8"/>
  <c r="K79" i="8"/>
  <c r="W79" i="8" s="1"/>
  <c r="G82" i="8"/>
  <c r="F84" i="8" l="1"/>
  <c r="R84" i="8" s="1"/>
  <c r="E85" i="8"/>
  <c r="Q85" i="8" s="1"/>
  <c r="F85" i="8"/>
  <c r="R85" i="8" s="1"/>
  <c r="G83" i="8"/>
  <c r="S83" i="8" s="1"/>
  <c r="S82" i="8"/>
  <c r="H82" i="8"/>
  <c r="H83" i="8"/>
  <c r="T83" i="8" s="1"/>
  <c r="K81" i="8"/>
  <c r="W81" i="8" s="1"/>
  <c r="N86" i="8"/>
  <c r="B87" i="8"/>
  <c r="A86" i="8"/>
  <c r="G84" i="8"/>
  <c r="S84" i="8" s="1"/>
  <c r="H84" i="8" l="1"/>
  <c r="T84" i="8" s="1"/>
  <c r="H85" i="8"/>
  <c r="T85" i="8" s="1"/>
  <c r="G85" i="8"/>
  <c r="F86" i="8"/>
  <c r="R86" i="8" s="1"/>
  <c r="E86" i="8"/>
  <c r="Q86" i="8" s="1"/>
  <c r="T82" i="8"/>
  <c r="I82" i="8"/>
  <c r="B88" i="8"/>
  <c r="N87" i="8"/>
  <c r="A87" i="8"/>
  <c r="I83" i="8"/>
  <c r="I84" i="8" l="1"/>
  <c r="U84" i="8" s="1"/>
  <c r="B89" i="8"/>
  <c r="N88" i="8"/>
  <c r="A88" i="8"/>
  <c r="U83" i="8"/>
  <c r="I85" i="8"/>
  <c r="J83" i="8"/>
  <c r="V83" i="8" s="1"/>
  <c r="U82" i="8"/>
  <c r="E87" i="8"/>
  <c r="Q87" i="8" s="1"/>
  <c r="G86" i="8"/>
  <c r="S85" i="8"/>
  <c r="J85" i="8"/>
  <c r="V85" i="8" s="1"/>
  <c r="J82" i="8"/>
  <c r="V82" i="8" s="1"/>
  <c r="J84" i="8" l="1"/>
  <c r="V84" i="8" s="1"/>
  <c r="K83" i="8"/>
  <c r="W83" i="8" s="1"/>
  <c r="F87" i="8"/>
  <c r="E88" i="8"/>
  <c r="Q88" i="8" s="1"/>
  <c r="K84" i="8"/>
  <c r="W84" i="8" s="1"/>
  <c r="S86" i="8"/>
  <c r="H86" i="8"/>
  <c r="G87" i="8"/>
  <c r="S87" i="8" s="1"/>
  <c r="K82" i="8"/>
  <c r="W82" i="8" s="1"/>
  <c r="U85" i="8"/>
  <c r="K85" i="8"/>
  <c r="W85" i="8" s="1"/>
  <c r="B90" i="8"/>
  <c r="A89" i="8"/>
  <c r="N89" i="8"/>
  <c r="E89" i="8" l="1"/>
  <c r="Q89" i="8" s="1"/>
  <c r="F89" i="8"/>
  <c r="R89" i="8" s="1"/>
  <c r="F88" i="8"/>
  <c r="N90" i="8"/>
  <c r="B91" i="8"/>
  <c r="A90" i="8"/>
  <c r="T86" i="8"/>
  <c r="I86" i="8"/>
  <c r="R87" i="8"/>
  <c r="H87" i="8"/>
  <c r="T87" i="8" s="1"/>
  <c r="I87" i="8" l="1"/>
  <c r="A91" i="8"/>
  <c r="N91" i="8"/>
  <c r="B92" i="8"/>
  <c r="G89" i="8"/>
  <c r="U86" i="8"/>
  <c r="J86" i="8"/>
  <c r="V86" i="8" s="1"/>
  <c r="R88" i="8"/>
  <c r="G88" i="8"/>
  <c r="E90" i="8"/>
  <c r="Q90" i="8" s="1"/>
  <c r="K86" i="8" l="1"/>
  <c r="W86" i="8" s="1"/>
  <c r="F90" i="8"/>
  <c r="R90" i="8" s="1"/>
  <c r="U87" i="8"/>
  <c r="J87" i="8"/>
  <c r="H88" i="8"/>
  <c r="T88" i="8" s="1"/>
  <c r="A92" i="8"/>
  <c r="B93" i="8"/>
  <c r="N92" i="8"/>
  <c r="S88" i="8"/>
  <c r="S89" i="8"/>
  <c r="H89" i="8"/>
  <c r="E91" i="8"/>
  <c r="Q91" i="8" s="1"/>
  <c r="F91" i="8"/>
  <c r="R91" i="8" s="1"/>
  <c r="I88" i="8"/>
  <c r="U88" i="8" s="1"/>
  <c r="G90" i="8" l="1"/>
  <c r="G91" i="8"/>
  <c r="S91" i="8" s="1"/>
  <c r="V87" i="8"/>
  <c r="K87" i="8"/>
  <c r="W87" i="8" s="1"/>
  <c r="T89" i="8"/>
  <c r="I89" i="8"/>
  <c r="J88" i="8"/>
  <c r="V88" i="8" s="1"/>
  <c r="E92" i="8"/>
  <c r="Q92" i="8" s="1"/>
  <c r="N93" i="8"/>
  <c r="B94" i="8"/>
  <c r="A93" i="8"/>
  <c r="K88" i="8" l="1"/>
  <c r="W88" i="8" s="1"/>
  <c r="H91" i="8"/>
  <c r="S90" i="8"/>
  <c r="H90" i="8"/>
  <c r="F92" i="8"/>
  <c r="A94" i="8"/>
  <c r="N94" i="8"/>
  <c r="B95" i="8"/>
  <c r="F93" i="8"/>
  <c r="R93" i="8" s="1"/>
  <c r="E93" i="8"/>
  <c r="Q93" i="8" s="1"/>
  <c r="G92" i="8"/>
  <c r="S92" i="8" s="1"/>
  <c r="U89" i="8"/>
  <c r="J89" i="8"/>
  <c r="T90" i="8" l="1"/>
  <c r="T91" i="8"/>
  <c r="I91" i="8"/>
  <c r="I90" i="8"/>
  <c r="U90" i="8" s="1"/>
  <c r="G93" i="8"/>
  <c r="E94" i="8"/>
  <c r="Q94" i="8" s="1"/>
  <c r="F94" i="8"/>
  <c r="H92" i="8"/>
  <c r="T92" i="8" s="1"/>
  <c r="H93" i="8"/>
  <c r="T93" i="8" s="1"/>
  <c r="N95" i="8"/>
  <c r="A95" i="8"/>
  <c r="B96" i="8"/>
  <c r="R92" i="8"/>
  <c r="V89" i="8"/>
  <c r="K89" i="8"/>
  <c r="W89" i="8" s="1"/>
  <c r="U91" i="8" l="1"/>
  <c r="J90" i="8"/>
  <c r="V90" i="8" s="1"/>
  <c r="I92" i="8"/>
  <c r="U92" i="8" s="1"/>
  <c r="J91" i="8"/>
  <c r="V91" i="8" s="1"/>
  <c r="J92" i="8"/>
  <c r="V92" i="8" s="1"/>
  <c r="B97" i="8"/>
  <c r="N96" i="8"/>
  <c r="A96" i="8"/>
  <c r="E95" i="8"/>
  <c r="Q95" i="8" s="1"/>
  <c r="S93" i="8"/>
  <c r="I93" i="8"/>
  <c r="G94" i="8"/>
  <c r="R94" i="8"/>
  <c r="F95" i="8" l="1"/>
  <c r="R95" i="8" s="1"/>
  <c r="K91" i="8"/>
  <c r="W91" i="8" s="1"/>
  <c r="K90" i="8"/>
  <c r="W90" i="8" s="1"/>
  <c r="U93" i="8"/>
  <c r="J93" i="8"/>
  <c r="V93" i="8" s="1"/>
  <c r="G95" i="8"/>
  <c r="S95" i="8" s="1"/>
  <c r="F96" i="8"/>
  <c r="R96" i="8" s="1"/>
  <c r="E96" i="8"/>
  <c r="Q96" i="8" s="1"/>
  <c r="H95" i="8"/>
  <c r="T95" i="8" s="1"/>
  <c r="S94" i="8"/>
  <c r="N97" i="8"/>
  <c r="A97" i="8"/>
  <c r="B98" i="8"/>
  <c r="K92" i="8"/>
  <c r="W92" i="8" s="1"/>
  <c r="I94" i="8"/>
  <c r="U94" i="8" s="1"/>
  <c r="H94" i="8"/>
  <c r="T94" i="8" s="1"/>
  <c r="K93" i="8" l="1"/>
  <c r="W93" i="8" s="1"/>
  <c r="I95" i="8"/>
  <c r="U95" i="8" s="1"/>
  <c r="E97" i="8"/>
  <c r="Q97" i="8" s="1"/>
  <c r="J95" i="8"/>
  <c r="V95" i="8" s="1"/>
  <c r="G96" i="8"/>
  <c r="A98" i="8"/>
  <c r="N98" i="8"/>
  <c r="B99" i="8"/>
  <c r="J94" i="8"/>
  <c r="V94" i="8" s="1"/>
  <c r="S96" i="8" l="1"/>
  <c r="H96" i="8"/>
  <c r="T96" i="8" s="1"/>
  <c r="F97" i="8"/>
  <c r="R97" i="8" s="1"/>
  <c r="A99" i="8"/>
  <c r="N99" i="8"/>
  <c r="B100" i="8"/>
  <c r="K95" i="8"/>
  <c r="W95" i="8" s="1"/>
  <c r="E98" i="8"/>
  <c r="Q98" i="8" s="1"/>
  <c r="K94" i="8"/>
  <c r="W94" i="8" s="1"/>
  <c r="A100" i="8" l="1"/>
  <c r="N100" i="8"/>
  <c r="B101" i="8"/>
  <c r="G97" i="8"/>
  <c r="E99" i="8"/>
  <c r="Q99" i="8" s="1"/>
  <c r="F99" i="8"/>
  <c r="R99" i="8" s="1"/>
  <c r="F98" i="8"/>
  <c r="R98" i="8" s="1"/>
  <c r="I96" i="8"/>
  <c r="U96" i="8" s="1"/>
  <c r="G98" i="8" l="1"/>
  <c r="S98" i="8" s="1"/>
  <c r="A101" i="8"/>
  <c r="B102" i="8"/>
  <c r="N101" i="8"/>
  <c r="H98" i="8"/>
  <c r="S97" i="8"/>
  <c r="H97" i="8"/>
  <c r="T97" i="8" s="1"/>
  <c r="E100" i="8"/>
  <c r="Q100" i="8" s="1"/>
  <c r="J96" i="8"/>
  <c r="V96" i="8" s="1"/>
  <c r="G99" i="8"/>
  <c r="S99" i="8" s="1"/>
  <c r="F100" i="8" l="1"/>
  <c r="R100" i="8" s="1"/>
  <c r="H99" i="8"/>
  <c r="T99" i="8" s="1"/>
  <c r="A102" i="8"/>
  <c r="N102" i="8"/>
  <c r="B103" i="8"/>
  <c r="I99" i="8"/>
  <c r="U99" i="8" s="1"/>
  <c r="T98" i="8"/>
  <c r="I98" i="8"/>
  <c r="E101" i="8"/>
  <c r="Q101" i="8" s="1"/>
  <c r="I97" i="8"/>
  <c r="K96" i="8"/>
  <c r="W96" i="8" s="1"/>
  <c r="F101" i="8" l="1"/>
  <c r="R101" i="8" s="1"/>
  <c r="G100" i="8"/>
  <c r="G101" i="8"/>
  <c r="S101" i="8" s="1"/>
  <c r="H100" i="8"/>
  <c r="T100" i="8" s="1"/>
  <c r="J99" i="8"/>
  <c r="V99" i="8" s="1"/>
  <c r="U97" i="8"/>
  <c r="J97" i="8"/>
  <c r="V97" i="8" s="1"/>
  <c r="S100" i="8"/>
  <c r="E102" i="8"/>
  <c r="Q102" i="8" s="1"/>
  <c r="U98" i="8"/>
  <c r="J98" i="8"/>
  <c r="V98" i="8" s="1"/>
  <c r="B104" i="8"/>
  <c r="N103" i="8"/>
  <c r="A103" i="8"/>
  <c r="I100" i="8"/>
  <c r="U100" i="8" s="1"/>
  <c r="J100" i="8" l="1"/>
  <c r="V100" i="8" s="1"/>
  <c r="K99" i="8"/>
  <c r="W99" i="8" s="1"/>
  <c r="H101" i="8"/>
  <c r="T101" i="8" s="1"/>
  <c r="A104" i="8"/>
  <c r="B105" i="8"/>
  <c r="N104" i="8"/>
  <c r="E103" i="8"/>
  <c r="Q103" i="8" s="1"/>
  <c r="K98" i="8"/>
  <c r="W98" i="8" s="1"/>
  <c r="F102" i="8"/>
  <c r="K97" i="8"/>
  <c r="W97" i="8" s="1"/>
  <c r="K100" i="8"/>
  <c r="W100" i="8" s="1"/>
  <c r="I101" i="8" l="1"/>
  <c r="F103" i="8"/>
  <c r="R103" i="8" s="1"/>
  <c r="E104" i="8"/>
  <c r="Q104" i="8" s="1"/>
  <c r="G103" i="8"/>
  <c r="S103" i="8" s="1"/>
  <c r="N105" i="8"/>
  <c r="B106" i="8"/>
  <c r="A105" i="8"/>
  <c r="R102" i="8"/>
  <c r="G102" i="8"/>
  <c r="S102" i="8" s="1"/>
  <c r="U101" i="8" l="1"/>
  <c r="J101" i="8"/>
  <c r="H103" i="8"/>
  <c r="E105" i="8"/>
  <c r="Q105" i="8" s="1"/>
  <c r="F105" i="8"/>
  <c r="R105" i="8" s="1"/>
  <c r="N106" i="8"/>
  <c r="A106" i="8"/>
  <c r="B107" i="8"/>
  <c r="H102" i="8"/>
  <c r="F104" i="8"/>
  <c r="T103" i="8" l="1"/>
  <c r="I103" i="8"/>
  <c r="V101" i="8"/>
  <c r="K101" i="8"/>
  <c r="W101" i="8" s="1"/>
  <c r="R104" i="8"/>
  <c r="G104" i="8"/>
  <c r="S104" i="8" s="1"/>
  <c r="A107" i="8"/>
  <c r="B108" i="8"/>
  <c r="N107" i="8"/>
  <c r="G105" i="8"/>
  <c r="T102" i="8"/>
  <c r="I102" i="8"/>
  <c r="U102" i="8" s="1"/>
  <c r="E106" i="8"/>
  <c r="Q106" i="8" s="1"/>
  <c r="U103" i="8" l="1"/>
  <c r="J103" i="8"/>
  <c r="F106" i="8"/>
  <c r="A108" i="8"/>
  <c r="B109" i="8"/>
  <c r="N108" i="8"/>
  <c r="H104" i="8"/>
  <c r="S105" i="8"/>
  <c r="H105" i="8"/>
  <c r="E107" i="8"/>
  <c r="Q107" i="8" s="1"/>
  <c r="J102" i="8"/>
  <c r="F107" i="8" l="1"/>
  <c r="V103" i="8"/>
  <c r="K103" i="8"/>
  <c r="W103" i="8" s="1"/>
  <c r="V102" i="8"/>
  <c r="K102" i="8"/>
  <c r="W102" i="8" s="1"/>
  <c r="T104" i="8"/>
  <c r="I104" i="8"/>
  <c r="E108" i="8"/>
  <c r="Q108" i="8" s="1"/>
  <c r="R106" i="8"/>
  <c r="T105" i="8"/>
  <c r="I105" i="8"/>
  <c r="U105" i="8" s="1"/>
  <c r="N109" i="8"/>
  <c r="A109" i="8"/>
  <c r="B110" i="8"/>
  <c r="G106" i="8"/>
  <c r="S106" i="8" s="1"/>
  <c r="R107" i="8" l="1"/>
  <c r="G107" i="8"/>
  <c r="S107" i="8" s="1"/>
  <c r="H107" i="8"/>
  <c r="T107" i="8" s="1"/>
  <c r="E109" i="8"/>
  <c r="Q109" i="8" s="1"/>
  <c r="B111" i="8"/>
  <c r="A110" i="8"/>
  <c r="N110" i="8"/>
  <c r="H106" i="8"/>
  <c r="J105" i="8"/>
  <c r="V105" i="8" s="1"/>
  <c r="F108" i="8"/>
  <c r="J104" i="8"/>
  <c r="U104" i="8"/>
  <c r="F109" i="8" l="1"/>
  <c r="R109" i="8" s="1"/>
  <c r="G109" i="8"/>
  <c r="S109" i="8" s="1"/>
  <c r="I107" i="8"/>
  <c r="U107" i="8" s="1"/>
  <c r="J107" i="8"/>
  <c r="V107" i="8" s="1"/>
  <c r="R108" i="8"/>
  <c r="E110" i="8"/>
  <c r="Q110" i="8" s="1"/>
  <c r="G108" i="8"/>
  <c r="S108" i="8" s="1"/>
  <c r="T106" i="8"/>
  <c r="I106" i="8"/>
  <c r="B112" i="8"/>
  <c r="N111" i="8"/>
  <c r="A111" i="8"/>
  <c r="H109" i="8"/>
  <c r="T109" i="8" s="1"/>
  <c r="V104" i="8"/>
  <c r="K104" i="8"/>
  <c r="W104" i="8" s="1"/>
  <c r="K105" i="8"/>
  <c r="W105" i="8" s="1"/>
  <c r="F110" i="8" l="1"/>
  <c r="R110" i="8" s="1"/>
  <c r="K107" i="8"/>
  <c r="W107" i="8" s="1"/>
  <c r="H108" i="8"/>
  <c r="T108" i="8" s="1"/>
  <c r="A112" i="8"/>
  <c r="B113" i="8"/>
  <c r="N112" i="8"/>
  <c r="I109" i="8"/>
  <c r="E111" i="8"/>
  <c r="Q111" i="8" s="1"/>
  <c r="U106" i="8"/>
  <c r="J106" i="8"/>
  <c r="V106" i="8" s="1"/>
  <c r="K106" i="8" l="1"/>
  <c r="W106" i="8" s="1"/>
  <c r="G110" i="8"/>
  <c r="F111" i="8"/>
  <c r="E112" i="8"/>
  <c r="Q112" i="8" s="1"/>
  <c r="F112" i="8"/>
  <c r="R112" i="8" s="1"/>
  <c r="A113" i="8"/>
  <c r="N113" i="8"/>
  <c r="B114" i="8"/>
  <c r="U109" i="8"/>
  <c r="J109" i="8"/>
  <c r="V109" i="8" s="1"/>
  <c r="I108" i="8"/>
  <c r="S110" i="8" l="1"/>
  <c r="H110" i="8"/>
  <c r="A114" i="8"/>
  <c r="N114" i="8"/>
  <c r="B115" i="8"/>
  <c r="U108" i="8"/>
  <c r="J108" i="8"/>
  <c r="V108" i="8" s="1"/>
  <c r="K109" i="8"/>
  <c r="W109" i="8" s="1"/>
  <c r="E113" i="8"/>
  <c r="Q113" i="8" s="1"/>
  <c r="F113" i="8"/>
  <c r="R113" i="8" s="1"/>
  <c r="R111" i="8"/>
  <c r="G111" i="8"/>
  <c r="G112" i="8"/>
  <c r="S112" i="8" s="1"/>
  <c r="T110" i="8" l="1"/>
  <c r="I110" i="8"/>
  <c r="U110" i="8" s="1"/>
  <c r="A115" i="8"/>
  <c r="B116" i="8"/>
  <c r="N115" i="8"/>
  <c r="H112" i="8"/>
  <c r="T112" i="8" s="1"/>
  <c r="G113" i="8"/>
  <c r="S111" i="8"/>
  <c r="H111" i="8"/>
  <c r="K108" i="8"/>
  <c r="W108" i="8" s="1"/>
  <c r="E114" i="8"/>
  <c r="Q114" i="8" s="1"/>
  <c r="J110" i="8" l="1"/>
  <c r="S113" i="8"/>
  <c r="I112" i="8"/>
  <c r="U112" i="8" s="1"/>
  <c r="E115" i="8"/>
  <c r="Q115" i="8" s="1"/>
  <c r="F114" i="8"/>
  <c r="R114" i="8" s="1"/>
  <c r="T111" i="8"/>
  <c r="I111" i="8"/>
  <c r="U111" i="8" s="1"/>
  <c r="H113" i="8"/>
  <c r="T113" i="8" s="1"/>
  <c r="N116" i="8"/>
  <c r="A116" i="8"/>
  <c r="B117" i="8"/>
  <c r="V110" i="8" l="1"/>
  <c r="K110" i="8"/>
  <c r="W110" i="8" s="1"/>
  <c r="I113" i="8"/>
  <c r="U113" i="8" s="1"/>
  <c r="G114" i="8"/>
  <c r="S114" i="8" s="1"/>
  <c r="J112" i="8"/>
  <c r="V112" i="8" s="1"/>
  <c r="J111" i="8"/>
  <c r="H114" i="8"/>
  <c r="T114" i="8" s="1"/>
  <c r="E116" i="8"/>
  <c r="Q116" i="8" s="1"/>
  <c r="F116" i="8"/>
  <c r="R116" i="8" s="1"/>
  <c r="F115" i="8"/>
  <c r="J113" i="8"/>
  <c r="V113" i="8" s="1"/>
  <c r="N117" i="8"/>
  <c r="B118" i="8"/>
  <c r="A117" i="8"/>
  <c r="K113" i="8" l="1"/>
  <c r="W113" i="8" s="1"/>
  <c r="R115" i="8"/>
  <c r="G115" i="8"/>
  <c r="S115" i="8" s="1"/>
  <c r="A118" i="8"/>
  <c r="B119" i="8"/>
  <c r="N118" i="8"/>
  <c r="V111" i="8"/>
  <c r="K111" i="8"/>
  <c r="W111" i="8" s="1"/>
  <c r="E117" i="8"/>
  <c r="Q117" i="8" s="1"/>
  <c r="I114" i="8"/>
  <c r="U114" i="8" s="1"/>
  <c r="G116" i="8"/>
  <c r="K112" i="8"/>
  <c r="W112" i="8" s="1"/>
  <c r="H115" i="8" l="1"/>
  <c r="T115" i="8" s="1"/>
  <c r="H116" i="8"/>
  <c r="T116" i="8" s="1"/>
  <c r="S116" i="8"/>
  <c r="J114" i="8"/>
  <c r="V114" i="8" s="1"/>
  <c r="B120" i="8"/>
  <c r="A119" i="8"/>
  <c r="N119" i="8"/>
  <c r="K114" i="8"/>
  <c r="W114" i="8" s="1"/>
  <c r="I116" i="8"/>
  <c r="U116" i="8" s="1"/>
  <c r="F117" i="8"/>
  <c r="R117" i="8" s="1"/>
  <c r="E118" i="8"/>
  <c r="Q118" i="8" s="1"/>
  <c r="I115" i="8" l="1"/>
  <c r="U115" i="8" s="1"/>
  <c r="J115" i="8"/>
  <c r="V115" i="8" s="1"/>
  <c r="J116" i="8"/>
  <c r="V116" i="8" s="1"/>
  <c r="K116" i="8"/>
  <c r="W116" i="8" s="1"/>
  <c r="B121" i="8"/>
  <c r="A120" i="8"/>
  <c r="N120" i="8"/>
  <c r="F118" i="8"/>
  <c r="G118" i="8" s="1"/>
  <c r="S118" i="8" s="1"/>
  <c r="G117" i="8"/>
  <c r="E119" i="8"/>
  <c r="Q119" i="8" s="1"/>
  <c r="I117" i="8" l="1"/>
  <c r="U117" i="8" s="1"/>
  <c r="H117" i="8"/>
  <c r="T117" i="8" s="1"/>
  <c r="K115" i="8"/>
  <c r="W115" i="8" s="1"/>
  <c r="F119" i="8"/>
  <c r="S117" i="8"/>
  <c r="R118" i="8"/>
  <c r="E120" i="8"/>
  <c r="Q120" i="8" s="1"/>
  <c r="H118" i="8"/>
  <c r="T118" i="8" s="1"/>
  <c r="N121" i="8"/>
  <c r="B122" i="8"/>
  <c r="A121" i="8"/>
  <c r="J117" i="8" l="1"/>
  <c r="V117" i="8" s="1"/>
  <c r="F120" i="8"/>
  <c r="K117" i="8"/>
  <c r="W117" i="8" s="1"/>
  <c r="E121" i="8"/>
  <c r="Q121" i="8" s="1"/>
  <c r="I118" i="8"/>
  <c r="U118" i="8" s="1"/>
  <c r="G120" i="8"/>
  <c r="S120" i="8" s="1"/>
  <c r="R119" i="8"/>
  <c r="G119" i="8"/>
  <c r="A122" i="8"/>
  <c r="B123" i="8"/>
  <c r="N122" i="8"/>
  <c r="E122" i="8" l="1"/>
  <c r="Q122" i="8" s="1"/>
  <c r="S119" i="8"/>
  <c r="H119" i="8"/>
  <c r="T119" i="8" s="1"/>
  <c r="J118" i="8"/>
  <c r="R120" i="8"/>
  <c r="B124" i="8"/>
  <c r="N123" i="8"/>
  <c r="A123" i="8"/>
  <c r="F121" i="8"/>
  <c r="H120" i="8"/>
  <c r="T120" i="8" s="1"/>
  <c r="I120" i="8" l="1"/>
  <c r="E123" i="8"/>
  <c r="Q123" i="8" s="1"/>
  <c r="F122" i="8"/>
  <c r="V118" i="8"/>
  <c r="K118" i="8"/>
  <c r="W118" i="8" s="1"/>
  <c r="R121" i="8"/>
  <c r="G121" i="8"/>
  <c r="A124" i="8"/>
  <c r="N124" i="8"/>
  <c r="B125" i="8"/>
  <c r="I119" i="8"/>
  <c r="U119" i="8" s="1"/>
  <c r="E124" i="8" l="1"/>
  <c r="Q124" i="8" s="1"/>
  <c r="H121" i="8"/>
  <c r="T121" i="8" s="1"/>
  <c r="R122" i="8"/>
  <c r="G122" i="8"/>
  <c r="H122" i="8" s="1"/>
  <c r="T122" i="8" s="1"/>
  <c r="F123" i="8"/>
  <c r="S121" i="8"/>
  <c r="B126" i="8"/>
  <c r="A125" i="8"/>
  <c r="N125" i="8"/>
  <c r="J119" i="8"/>
  <c r="V119" i="8" s="1"/>
  <c r="U120" i="8"/>
  <c r="J120" i="8"/>
  <c r="A126" i="8" l="1"/>
  <c r="N126" i="8"/>
  <c r="B127" i="8"/>
  <c r="R123" i="8"/>
  <c r="G123" i="8"/>
  <c r="F124" i="8"/>
  <c r="S122" i="8"/>
  <c r="I122" i="8"/>
  <c r="U122" i="8" s="1"/>
  <c r="K119" i="8"/>
  <c r="W119" i="8" s="1"/>
  <c r="E125" i="8"/>
  <c r="Q125" i="8" s="1"/>
  <c r="F125" i="8"/>
  <c r="R125" i="8" s="1"/>
  <c r="V120" i="8"/>
  <c r="K120" i="8"/>
  <c r="W120" i="8" s="1"/>
  <c r="I121" i="8"/>
  <c r="J122" i="8" l="1"/>
  <c r="V122" i="8" s="1"/>
  <c r="A127" i="8"/>
  <c r="B128" i="8"/>
  <c r="N127" i="8"/>
  <c r="U121" i="8"/>
  <c r="J121" i="8"/>
  <c r="V121" i="8" s="1"/>
  <c r="G125" i="8"/>
  <c r="S125" i="8" s="1"/>
  <c r="R124" i="8"/>
  <c r="G124" i="8"/>
  <c r="S123" i="8"/>
  <c r="H123" i="8"/>
  <c r="E126" i="8"/>
  <c r="Q126" i="8" s="1"/>
  <c r="F126" i="8"/>
  <c r="R126" i="8" s="1"/>
  <c r="H125" i="8" l="1"/>
  <c r="T125" i="8" s="1"/>
  <c r="T123" i="8"/>
  <c r="I123" i="8"/>
  <c r="U123" i="8" s="1"/>
  <c r="S124" i="8"/>
  <c r="H124" i="8"/>
  <c r="K121" i="8"/>
  <c r="W121" i="8" s="1"/>
  <c r="A128" i="8"/>
  <c r="N128" i="8"/>
  <c r="B129" i="8"/>
  <c r="K122" i="8"/>
  <c r="W122" i="8" s="1"/>
  <c r="H126" i="8"/>
  <c r="T126" i="8" s="1"/>
  <c r="G126" i="8"/>
  <c r="E127" i="8"/>
  <c r="Q127" i="8" s="1"/>
  <c r="F127" i="8" l="1"/>
  <c r="R127" i="8" s="1"/>
  <c r="I125" i="8"/>
  <c r="J123" i="8"/>
  <c r="V123" i="8" s="1"/>
  <c r="A129" i="8"/>
  <c r="B130" i="8"/>
  <c r="N129" i="8"/>
  <c r="T124" i="8"/>
  <c r="J125" i="8"/>
  <c r="U125" i="8"/>
  <c r="I124" i="8"/>
  <c r="U124" i="8" s="1"/>
  <c r="S126" i="8"/>
  <c r="I126" i="8"/>
  <c r="U126" i="8" s="1"/>
  <c r="J126" i="8"/>
  <c r="V126" i="8" s="1"/>
  <c r="E128" i="8"/>
  <c r="Q128" i="8" s="1"/>
  <c r="G127" i="8"/>
  <c r="S127" i="8" s="1"/>
  <c r="K123" i="8"/>
  <c r="W123" i="8" s="1"/>
  <c r="J124" i="8" l="1"/>
  <c r="V124" i="8" s="1"/>
  <c r="E129" i="8"/>
  <c r="Q129" i="8" s="1"/>
  <c r="H127" i="8"/>
  <c r="T127" i="8" s="1"/>
  <c r="N130" i="8"/>
  <c r="B131" i="8"/>
  <c r="A130" i="8"/>
  <c r="K124" i="8"/>
  <c r="W124" i="8" s="1"/>
  <c r="K126" i="8"/>
  <c r="W126" i="8" s="1"/>
  <c r="F128" i="8"/>
  <c r="R128" i="8" s="1"/>
  <c r="V125" i="8"/>
  <c r="K125" i="8"/>
  <c r="W125" i="8" s="1"/>
  <c r="I127" i="8" l="1"/>
  <c r="U127" i="8" s="1"/>
  <c r="E130" i="8"/>
  <c r="Q130" i="8" s="1"/>
  <c r="F130" i="8"/>
  <c r="R130" i="8" s="1"/>
  <c r="B132" i="8"/>
  <c r="N131" i="8"/>
  <c r="A131" i="8"/>
  <c r="G128" i="8"/>
  <c r="F129" i="8"/>
  <c r="G130" i="8" l="1"/>
  <c r="S130" i="8" s="1"/>
  <c r="J127" i="8"/>
  <c r="S128" i="8"/>
  <c r="E131" i="8"/>
  <c r="Q131" i="8" s="1"/>
  <c r="F131" i="8"/>
  <c r="R131" i="8" s="1"/>
  <c r="V127" i="8"/>
  <c r="K127" i="8"/>
  <c r="W127" i="8" s="1"/>
  <c r="H128" i="8"/>
  <c r="R129" i="8"/>
  <c r="G129" i="8"/>
  <c r="N132" i="8"/>
  <c r="B133" i="8"/>
  <c r="A132" i="8"/>
  <c r="H130" i="8"/>
  <c r="I130" i="8" s="1"/>
  <c r="U130" i="8" s="1"/>
  <c r="T130" i="8" l="1"/>
  <c r="H129" i="8"/>
  <c r="S129" i="8"/>
  <c r="T128" i="8"/>
  <c r="I128" i="8"/>
  <c r="N133" i="8"/>
  <c r="A133" i="8"/>
  <c r="B134" i="8"/>
  <c r="J130" i="8"/>
  <c r="V130" i="8" s="1"/>
  <c r="F132" i="8"/>
  <c r="R132" i="8" s="1"/>
  <c r="E132" i="8"/>
  <c r="Q132" i="8" s="1"/>
  <c r="G131" i="8"/>
  <c r="S131" i="8" s="1"/>
  <c r="H131" i="8" l="1"/>
  <c r="T131" i="8" s="1"/>
  <c r="U128" i="8"/>
  <c r="K128" i="8"/>
  <c r="W128" i="8" s="1"/>
  <c r="J128" i="8"/>
  <c r="V128" i="8" s="1"/>
  <c r="K130" i="8"/>
  <c r="W130" i="8" s="1"/>
  <c r="E133" i="8"/>
  <c r="Q133" i="8" s="1"/>
  <c r="T129" i="8"/>
  <c r="I129" i="8"/>
  <c r="G132" i="8"/>
  <c r="S132" i="8" s="1"/>
  <c r="B135" i="8"/>
  <c r="N134" i="8"/>
  <c r="A134" i="8"/>
  <c r="I131" i="8"/>
  <c r="A135" i="8" l="1"/>
  <c r="B136" i="8"/>
  <c r="N135" i="8"/>
  <c r="F133" i="8"/>
  <c r="U131" i="8"/>
  <c r="J131" i="8"/>
  <c r="V131" i="8" s="1"/>
  <c r="H132" i="8"/>
  <c r="I132" i="8" s="1"/>
  <c r="U132" i="8" s="1"/>
  <c r="U129" i="8"/>
  <c r="J129" i="8"/>
  <c r="E134" i="8"/>
  <c r="Q134" i="8" s="1"/>
  <c r="F134" i="8"/>
  <c r="R134" i="8" s="1"/>
  <c r="G133" i="8"/>
  <c r="S133" i="8" s="1"/>
  <c r="K131" i="8" l="1"/>
  <c r="W131" i="8" s="1"/>
  <c r="H133" i="8"/>
  <c r="T132" i="8"/>
  <c r="G134" i="8"/>
  <c r="N136" i="8"/>
  <c r="B137" i="8"/>
  <c r="A136" i="8"/>
  <c r="H134" i="8"/>
  <c r="T134" i="8" s="1"/>
  <c r="V129" i="8"/>
  <c r="K129" i="8"/>
  <c r="W129" i="8" s="1"/>
  <c r="J132" i="8"/>
  <c r="V132" i="8" s="1"/>
  <c r="R133" i="8"/>
  <c r="I133" i="8"/>
  <c r="U133" i="8" s="1"/>
  <c r="E135" i="8"/>
  <c r="Q135" i="8" s="1"/>
  <c r="F135" i="8"/>
  <c r="R135" i="8" s="1"/>
  <c r="G135" i="8" l="1"/>
  <c r="S135" i="8" s="1"/>
  <c r="I134" i="8"/>
  <c r="U134" i="8" s="1"/>
  <c r="J134" i="8"/>
  <c r="V134" i="8" s="1"/>
  <c r="E136" i="8"/>
  <c r="Q136" i="8" s="1"/>
  <c r="T133" i="8"/>
  <c r="J133" i="8"/>
  <c r="S134" i="8"/>
  <c r="B138" i="8"/>
  <c r="N137" i="8"/>
  <c r="A137" i="8"/>
  <c r="K132" i="8"/>
  <c r="W132" i="8" s="1"/>
  <c r="H135" i="8" l="1"/>
  <c r="I135" i="8" s="1"/>
  <c r="U135" i="8" s="1"/>
  <c r="K134" i="8"/>
  <c r="W134" i="8" s="1"/>
  <c r="A138" i="8"/>
  <c r="N138" i="8"/>
  <c r="B139" i="8"/>
  <c r="E137" i="8"/>
  <c r="Q137" i="8" s="1"/>
  <c r="V133" i="8"/>
  <c r="K133" i="8"/>
  <c r="W133" i="8" s="1"/>
  <c r="F136" i="8"/>
  <c r="R136" i="8" s="1"/>
  <c r="J135" i="8" l="1"/>
  <c r="V135" i="8" s="1"/>
  <c r="T135" i="8"/>
  <c r="F137" i="8"/>
  <c r="R137" i="8" s="1"/>
  <c r="N139" i="8"/>
  <c r="A139" i="8"/>
  <c r="B140" i="8"/>
  <c r="G136" i="8"/>
  <c r="S136" i="8" s="1"/>
  <c r="E138" i="8"/>
  <c r="Q138" i="8" s="1"/>
  <c r="G137" i="8" l="1"/>
  <c r="S137" i="8" s="1"/>
  <c r="H136" i="8"/>
  <c r="T136" i="8" s="1"/>
  <c r="K135" i="8"/>
  <c r="W135" i="8" s="1"/>
  <c r="F138" i="8"/>
  <c r="R138" i="8" s="1"/>
  <c r="I136" i="8"/>
  <c r="N140" i="8"/>
  <c r="A140" i="8"/>
  <c r="B141" i="8"/>
  <c r="E139" i="8"/>
  <c r="Q139" i="8" s="1"/>
  <c r="G138" i="8"/>
  <c r="S138" i="8" s="1"/>
  <c r="H137" i="8"/>
  <c r="T137" i="8" s="1"/>
  <c r="F139" i="8" l="1"/>
  <c r="R139" i="8" s="1"/>
  <c r="I137" i="8"/>
  <c r="U137" i="8" s="1"/>
  <c r="B142" i="8"/>
  <c r="A141" i="8"/>
  <c r="N141" i="8"/>
  <c r="U136" i="8"/>
  <c r="J136" i="8"/>
  <c r="V136" i="8" s="1"/>
  <c r="E140" i="8"/>
  <c r="Q140" i="8" s="1"/>
  <c r="F140" i="8"/>
  <c r="R140" i="8" s="1"/>
  <c r="H138" i="8"/>
  <c r="T138" i="8" s="1"/>
  <c r="G139" i="8" l="1"/>
  <c r="S139" i="8" s="1"/>
  <c r="J137" i="8"/>
  <c r="E141" i="8"/>
  <c r="Q141" i="8" s="1"/>
  <c r="G140" i="8"/>
  <c r="K136" i="8"/>
  <c r="W136" i="8" s="1"/>
  <c r="B143" i="8"/>
  <c r="A142" i="8"/>
  <c r="N142" i="8"/>
  <c r="I138" i="8"/>
  <c r="U138" i="8" s="1"/>
  <c r="J138" i="8" l="1"/>
  <c r="F141" i="8"/>
  <c r="R141" i="8" s="1"/>
  <c r="H139" i="8"/>
  <c r="V137" i="8"/>
  <c r="K137" i="8"/>
  <c r="W137" i="8" s="1"/>
  <c r="T139" i="8"/>
  <c r="S140" i="8"/>
  <c r="H140" i="8"/>
  <c r="I139" i="8"/>
  <c r="U139" i="8" s="1"/>
  <c r="A143" i="8"/>
  <c r="B144" i="8"/>
  <c r="N143" i="8"/>
  <c r="E142" i="8"/>
  <c r="Q142" i="8" s="1"/>
  <c r="F142" i="8"/>
  <c r="R142" i="8" s="1"/>
  <c r="J139" i="8"/>
  <c r="V139" i="8" s="1"/>
  <c r="K139" i="8" l="1"/>
  <c r="W139" i="8" s="1"/>
  <c r="V138" i="8"/>
  <c r="K138" i="8"/>
  <c r="W138" i="8" s="1"/>
  <c r="G141" i="8"/>
  <c r="S141" i="8" s="1"/>
  <c r="G142" i="8"/>
  <c r="H142" i="8" s="1"/>
  <c r="T142" i="8" s="1"/>
  <c r="T140" i="8"/>
  <c r="I140" i="8"/>
  <c r="U140" i="8" s="1"/>
  <c r="A144" i="8"/>
  <c r="B145" i="8"/>
  <c r="N144" i="8"/>
  <c r="E143" i="8"/>
  <c r="Q143" i="8" s="1"/>
  <c r="F143" i="8"/>
  <c r="R143" i="8" s="1"/>
  <c r="J140" i="8"/>
  <c r="V140" i="8" s="1"/>
  <c r="H141" i="8" l="1"/>
  <c r="N145" i="8"/>
  <c r="A145" i="8"/>
  <c r="B146" i="8"/>
  <c r="E144" i="8"/>
  <c r="Q144" i="8" s="1"/>
  <c r="K140" i="8"/>
  <c r="W140" i="8" s="1"/>
  <c r="G143" i="8"/>
  <c r="S143" i="8" s="1"/>
  <c r="I142" i="8"/>
  <c r="U142" i="8" s="1"/>
  <c r="S142" i="8"/>
  <c r="J142" i="8"/>
  <c r="V142" i="8" s="1"/>
  <c r="T141" i="8" l="1"/>
  <c r="I141" i="8"/>
  <c r="U141" i="8" s="1"/>
  <c r="N146" i="8"/>
  <c r="B147" i="8"/>
  <c r="A146" i="8"/>
  <c r="E145" i="8"/>
  <c r="Q145" i="8" s="1"/>
  <c r="K142" i="8"/>
  <c r="W142" i="8" s="1"/>
  <c r="F144" i="8"/>
  <c r="H143" i="8"/>
  <c r="I143" i="8" s="1"/>
  <c r="U143" i="8" s="1"/>
  <c r="J141" i="8" l="1"/>
  <c r="E146" i="8"/>
  <c r="Q146" i="8" s="1"/>
  <c r="T143" i="8"/>
  <c r="N147" i="8"/>
  <c r="B148" i="8"/>
  <c r="A147" i="8"/>
  <c r="J143" i="8"/>
  <c r="V143" i="8" s="1"/>
  <c r="R144" i="8"/>
  <c r="G144" i="8"/>
  <c r="F145" i="8"/>
  <c r="V141" i="8" l="1"/>
  <c r="K141" i="8"/>
  <c r="W141" i="8" s="1"/>
  <c r="K143" i="8"/>
  <c r="W143" i="8" s="1"/>
  <c r="S144" i="8"/>
  <c r="R145" i="8"/>
  <c r="B149" i="8"/>
  <c r="N148" i="8"/>
  <c r="A148" i="8"/>
  <c r="F146" i="8"/>
  <c r="R146" i="8" s="1"/>
  <c r="E147" i="8"/>
  <c r="Q147" i="8" s="1"/>
  <c r="G145" i="8"/>
  <c r="H144" i="8"/>
  <c r="T144" i="8" s="1"/>
  <c r="F147" i="8" l="1"/>
  <c r="R147" i="8" s="1"/>
  <c r="G146" i="8"/>
  <c r="S146" i="8" s="1"/>
  <c r="E148" i="8"/>
  <c r="Q148" i="8" s="1"/>
  <c r="S145" i="8"/>
  <c r="H146" i="8"/>
  <c r="A149" i="8"/>
  <c r="B150" i="8"/>
  <c r="N149" i="8"/>
  <c r="I144" i="8"/>
  <c r="U144" i="8" s="1"/>
  <c r="G147" i="8"/>
  <c r="H145" i="8"/>
  <c r="T145" i="8" s="1"/>
  <c r="I146" i="8"/>
  <c r="U146" i="8" s="1"/>
  <c r="G148" i="8" l="1"/>
  <c r="S148" i="8" s="1"/>
  <c r="F148" i="8"/>
  <c r="R148" i="8" s="1"/>
  <c r="J146" i="8"/>
  <c r="V146" i="8" s="1"/>
  <c r="T146" i="8"/>
  <c r="K146" i="8"/>
  <c r="W146" i="8" s="1"/>
  <c r="A150" i="8"/>
  <c r="B151" i="8"/>
  <c r="N150" i="8"/>
  <c r="S147" i="8"/>
  <c r="H147" i="8"/>
  <c r="T147" i="8" s="1"/>
  <c r="I145" i="8"/>
  <c r="U145" i="8" s="1"/>
  <c r="J144" i="8"/>
  <c r="V144" i="8" s="1"/>
  <c r="E149" i="8"/>
  <c r="Q149" i="8" s="1"/>
  <c r="F149" i="8"/>
  <c r="R149" i="8" s="1"/>
  <c r="H148" i="8" l="1"/>
  <c r="T148" i="8" s="1"/>
  <c r="J145" i="8"/>
  <c r="V145" i="8" s="1"/>
  <c r="I148" i="8"/>
  <c r="U148" i="8" s="1"/>
  <c r="K144" i="8"/>
  <c r="W144" i="8" s="1"/>
  <c r="G149" i="8"/>
  <c r="S149" i="8" s="1"/>
  <c r="I147" i="8"/>
  <c r="U147" i="8" s="1"/>
  <c r="E150" i="8"/>
  <c r="Q150" i="8" s="1"/>
  <c r="A151" i="8"/>
  <c r="B152" i="8"/>
  <c r="N151" i="8"/>
  <c r="K145" i="8"/>
  <c r="W145" i="8" s="1"/>
  <c r="J147" i="8"/>
  <c r="V147" i="8" s="1"/>
  <c r="J148" i="8"/>
  <c r="V148" i="8" s="1"/>
  <c r="H149" i="8" l="1"/>
  <c r="T149" i="8" s="1"/>
  <c r="K148" i="8"/>
  <c r="W148" i="8" s="1"/>
  <c r="B153" i="8"/>
  <c r="A152" i="8"/>
  <c r="N152" i="8"/>
  <c r="F150" i="8"/>
  <c r="F151" i="8"/>
  <c r="R151" i="8" s="1"/>
  <c r="E151" i="8"/>
  <c r="Q151" i="8" s="1"/>
  <c r="I149" i="8"/>
  <c r="U149" i="8" s="1"/>
  <c r="K147" i="8"/>
  <c r="W147" i="8" s="1"/>
  <c r="J149" i="8"/>
  <c r="V149" i="8" s="1"/>
  <c r="H151" i="8" l="1"/>
  <c r="T151" i="8" s="1"/>
  <c r="G151" i="8"/>
  <c r="S151" i="8" s="1"/>
  <c r="R150" i="8"/>
  <c r="G150" i="8"/>
  <c r="S150" i="8" s="1"/>
  <c r="H150" i="8"/>
  <c r="T150" i="8" s="1"/>
  <c r="A153" i="8"/>
  <c r="N153" i="8"/>
  <c r="B154" i="8"/>
  <c r="K149" i="8"/>
  <c r="W149" i="8" s="1"/>
  <c r="E152" i="8"/>
  <c r="Q152" i="8" s="1"/>
  <c r="F152" i="8" l="1"/>
  <c r="R152" i="8" s="1"/>
  <c r="I151" i="8"/>
  <c r="U151" i="8" s="1"/>
  <c r="I150" i="8"/>
  <c r="E153" i="8"/>
  <c r="Q153" i="8" s="1"/>
  <c r="A154" i="8"/>
  <c r="N154" i="8"/>
  <c r="B155" i="8"/>
  <c r="J151" i="8"/>
  <c r="G152" i="8" l="1"/>
  <c r="H152" i="8" s="1"/>
  <c r="T152" i="8" s="1"/>
  <c r="V151" i="8"/>
  <c r="K151" i="8"/>
  <c r="W151" i="8" s="1"/>
  <c r="E154" i="8"/>
  <c r="Q154" i="8" s="1"/>
  <c r="U150" i="8"/>
  <c r="A155" i="8"/>
  <c r="B156" i="8"/>
  <c r="N155" i="8"/>
  <c r="J150" i="8"/>
  <c r="V150" i="8" s="1"/>
  <c r="F153" i="8"/>
  <c r="I152" i="8" l="1"/>
  <c r="U152" i="8" s="1"/>
  <c r="S152" i="8"/>
  <c r="F154" i="8"/>
  <c r="R153" i="8"/>
  <c r="B157" i="8"/>
  <c r="N156" i="8"/>
  <c r="A156" i="8"/>
  <c r="G153" i="8"/>
  <c r="S153" i="8" s="1"/>
  <c r="E155" i="8"/>
  <c r="Q155" i="8" s="1"/>
  <c r="K150" i="8"/>
  <c r="W150" i="8" s="1"/>
  <c r="G154" i="8"/>
  <c r="S154" i="8" s="1"/>
  <c r="J152" i="8" l="1"/>
  <c r="V152" i="8" s="1"/>
  <c r="E156" i="8"/>
  <c r="Q156" i="8" s="1"/>
  <c r="R154" i="8"/>
  <c r="H154" i="8"/>
  <c r="I154" i="8" s="1"/>
  <c r="U154" i="8" s="1"/>
  <c r="B158" i="8"/>
  <c r="N157" i="8"/>
  <c r="A157" i="8"/>
  <c r="F155" i="8"/>
  <c r="H153" i="8"/>
  <c r="K152" i="8" l="1"/>
  <c r="W152" i="8" s="1"/>
  <c r="T153" i="8"/>
  <c r="R155" i="8"/>
  <c r="G155" i="8"/>
  <c r="B159" i="8"/>
  <c r="N158" i="8"/>
  <c r="A158" i="8"/>
  <c r="T154" i="8"/>
  <c r="J154" i="8"/>
  <c r="V154" i="8" s="1"/>
  <c r="I153" i="8"/>
  <c r="U153" i="8" s="1"/>
  <c r="E157" i="8"/>
  <c r="Q157" i="8" s="1"/>
  <c r="F156" i="8"/>
  <c r="R156" i="8" l="1"/>
  <c r="S155" i="8"/>
  <c r="H155" i="8"/>
  <c r="B160" i="8"/>
  <c r="N159" i="8"/>
  <c r="A159" i="8"/>
  <c r="G156" i="8"/>
  <c r="S156" i="8" s="1"/>
  <c r="F157" i="8"/>
  <c r="R157" i="8" s="1"/>
  <c r="K154" i="8"/>
  <c r="W154" i="8" s="1"/>
  <c r="E158" i="8"/>
  <c r="Q158" i="8" s="1"/>
  <c r="J153" i="8"/>
  <c r="G157" i="8" l="1"/>
  <c r="S157" i="8" s="1"/>
  <c r="V153" i="8"/>
  <c r="K153" i="8"/>
  <c r="W153" i="8" s="1"/>
  <c r="F158" i="8"/>
  <c r="E159" i="8"/>
  <c r="Q159" i="8" s="1"/>
  <c r="T155" i="8"/>
  <c r="I155" i="8"/>
  <c r="G158" i="8"/>
  <c r="S158" i="8" s="1"/>
  <c r="B161" i="8"/>
  <c r="N160" i="8"/>
  <c r="A160" i="8"/>
  <c r="H156" i="8"/>
  <c r="H157" i="8" l="1"/>
  <c r="I157" i="8"/>
  <c r="U157" i="8" s="1"/>
  <c r="E160" i="8"/>
  <c r="Q160" i="8" s="1"/>
  <c r="T157" i="8"/>
  <c r="R158" i="8"/>
  <c r="H158" i="8"/>
  <c r="T158" i="8" s="1"/>
  <c r="A161" i="8"/>
  <c r="B162" i="8"/>
  <c r="N161" i="8"/>
  <c r="T156" i="8"/>
  <c r="I156" i="8"/>
  <c r="U156" i="8" s="1"/>
  <c r="U155" i="8"/>
  <c r="J155" i="8"/>
  <c r="V155" i="8" s="1"/>
  <c r="J157" i="8"/>
  <c r="V157" i="8" s="1"/>
  <c r="F159" i="8"/>
  <c r="H159" i="8" l="1"/>
  <c r="T159" i="8" s="1"/>
  <c r="G159" i="8"/>
  <c r="S159" i="8" s="1"/>
  <c r="K156" i="8"/>
  <c r="W156" i="8" s="1"/>
  <c r="J156" i="8"/>
  <c r="V156" i="8" s="1"/>
  <c r="K155" i="8"/>
  <c r="W155" i="8" s="1"/>
  <c r="F160" i="8"/>
  <c r="R160" i="8" s="1"/>
  <c r="A162" i="8"/>
  <c r="N162" i="8"/>
  <c r="B163" i="8"/>
  <c r="I158" i="8"/>
  <c r="U158" i="8" s="1"/>
  <c r="E161" i="8"/>
  <c r="Q161" i="8" s="1"/>
  <c r="G161" i="8"/>
  <c r="S161" i="8" s="1"/>
  <c r="F161" i="8"/>
  <c r="R161" i="8" s="1"/>
  <c r="H161" i="8"/>
  <c r="T161" i="8" s="1"/>
  <c r="G160" i="8"/>
  <c r="S160" i="8" s="1"/>
  <c r="K157" i="8"/>
  <c r="W157" i="8" s="1"/>
  <c r="R159" i="8"/>
  <c r="H160" i="8"/>
  <c r="T160" i="8" s="1"/>
  <c r="J158" i="8" l="1"/>
  <c r="V158" i="8" s="1"/>
  <c r="I159" i="8"/>
  <c r="K158" i="8"/>
  <c r="W158" i="8" s="1"/>
  <c r="E162" i="8"/>
  <c r="Q162" i="8" s="1"/>
  <c r="F162" i="8"/>
  <c r="R162" i="8" s="1"/>
  <c r="I160" i="8"/>
  <c r="U160" i="8" s="1"/>
  <c r="N163" i="8"/>
  <c r="B164" i="8"/>
  <c r="A163" i="8"/>
  <c r="I161" i="8"/>
  <c r="U161" i="8" s="1"/>
  <c r="G162" i="8" l="1"/>
  <c r="S162" i="8" s="1"/>
  <c r="U159" i="8"/>
  <c r="J159" i="8"/>
  <c r="A164" i="8"/>
  <c r="N164" i="8"/>
  <c r="B165" i="8"/>
  <c r="H162" i="8"/>
  <c r="T162" i="8" s="1"/>
  <c r="J160" i="8"/>
  <c r="V160" i="8" s="1"/>
  <c r="E163" i="8"/>
  <c r="Q163" i="8" s="1"/>
  <c r="F163" i="8"/>
  <c r="J161" i="8"/>
  <c r="V161" i="8" s="1"/>
  <c r="V159" i="8" l="1"/>
  <c r="K159" i="8"/>
  <c r="W159" i="8" s="1"/>
  <c r="I162" i="8"/>
  <c r="U162" i="8" s="1"/>
  <c r="H163" i="8"/>
  <c r="T163" i="8" s="1"/>
  <c r="E164" i="8"/>
  <c r="Q164" i="8" s="1"/>
  <c r="K161" i="8"/>
  <c r="W161" i="8" s="1"/>
  <c r="K160" i="8"/>
  <c r="W160" i="8" s="1"/>
  <c r="G163" i="8"/>
  <c r="S163" i="8" s="1"/>
  <c r="R163" i="8"/>
  <c r="A165" i="8"/>
  <c r="N165" i="8"/>
  <c r="B166" i="8"/>
  <c r="J162" i="8" l="1"/>
  <c r="V162" i="8" s="1"/>
  <c r="K162" i="8"/>
  <c r="W162" i="8" s="1"/>
  <c r="E165" i="8"/>
  <c r="Q165" i="8" s="1"/>
  <c r="N166" i="8"/>
  <c r="B167" i="8"/>
  <c r="A166" i="8"/>
  <c r="I163" i="8"/>
  <c r="U163" i="8" s="1"/>
  <c r="F164" i="8"/>
  <c r="R164" i="8" s="1"/>
  <c r="E166" i="8" l="1"/>
  <c r="Q166" i="8" s="1"/>
  <c r="F165" i="8"/>
  <c r="G164" i="8"/>
  <c r="B168" i="8"/>
  <c r="N167" i="8"/>
  <c r="A167" i="8"/>
  <c r="J163" i="8"/>
  <c r="V163" i="8" s="1"/>
  <c r="E167" i="8" l="1"/>
  <c r="Q167" i="8" s="1"/>
  <c r="R165" i="8"/>
  <c r="G165" i="8"/>
  <c r="N168" i="8"/>
  <c r="B169" i="8"/>
  <c r="A168" i="8"/>
  <c r="K163" i="8"/>
  <c r="W163" i="8" s="1"/>
  <c r="S164" i="8"/>
  <c r="H164" i="8"/>
  <c r="F166" i="8"/>
  <c r="F167" i="8" l="1"/>
  <c r="R167" i="8" s="1"/>
  <c r="T164" i="8"/>
  <c r="I164" i="8"/>
  <c r="U164" i="8" s="1"/>
  <c r="A169" i="8"/>
  <c r="N169" i="8"/>
  <c r="B170" i="8"/>
  <c r="S165" i="8"/>
  <c r="H165" i="8"/>
  <c r="R166" i="8"/>
  <c r="G166" i="8"/>
  <c r="S166" i="8" s="1"/>
  <c r="G167" i="8"/>
  <c r="E168" i="8"/>
  <c r="Q168" i="8" s="1"/>
  <c r="H166" i="8" l="1"/>
  <c r="T166" i="8" s="1"/>
  <c r="S167" i="8"/>
  <c r="H167" i="8"/>
  <c r="J164" i="8"/>
  <c r="E169" i="8"/>
  <c r="Q169" i="8" s="1"/>
  <c r="A170" i="8"/>
  <c r="B171" i="8"/>
  <c r="N170" i="8"/>
  <c r="T165" i="8"/>
  <c r="I165" i="8"/>
  <c r="U165" i="8" s="1"/>
  <c r="J165" i="8"/>
  <c r="V165" i="8" s="1"/>
  <c r="F168" i="8"/>
  <c r="I166" i="8"/>
  <c r="U166" i="8" s="1"/>
  <c r="F169" i="8" l="1"/>
  <c r="R169" i="8" s="1"/>
  <c r="R168" i="8"/>
  <c r="E170" i="8"/>
  <c r="Q170" i="8" s="1"/>
  <c r="N171" i="8"/>
  <c r="A171" i="8"/>
  <c r="B172" i="8"/>
  <c r="V164" i="8"/>
  <c r="K164" i="8"/>
  <c r="W164" i="8" s="1"/>
  <c r="G168" i="8"/>
  <c r="K165" i="8"/>
  <c r="W165" i="8" s="1"/>
  <c r="T167" i="8"/>
  <c r="I167" i="8"/>
  <c r="U167" i="8" s="1"/>
  <c r="G169" i="8"/>
  <c r="S169" i="8" s="1"/>
  <c r="J166" i="8"/>
  <c r="V166" i="8" s="1"/>
  <c r="S168" i="8" l="1"/>
  <c r="J167" i="8"/>
  <c r="V167" i="8" s="1"/>
  <c r="A172" i="8"/>
  <c r="N172" i="8"/>
  <c r="B173" i="8"/>
  <c r="K166" i="8"/>
  <c r="W166" i="8" s="1"/>
  <c r="H168" i="8"/>
  <c r="T168" i="8" s="1"/>
  <c r="H169" i="8"/>
  <c r="T169" i="8" s="1"/>
  <c r="E171" i="8"/>
  <c r="Q171" i="8" s="1"/>
  <c r="F171" i="8"/>
  <c r="R171" i="8" s="1"/>
  <c r="F170" i="8"/>
  <c r="R170" i="8" s="1"/>
  <c r="K167" i="8"/>
  <c r="W167" i="8" s="1"/>
  <c r="I168" i="8" l="1"/>
  <c r="U168" i="8" s="1"/>
  <c r="G170" i="8"/>
  <c r="N173" i="8"/>
  <c r="A173" i="8"/>
  <c r="B174" i="8"/>
  <c r="H170" i="8"/>
  <c r="T170" i="8" s="1"/>
  <c r="E172" i="8"/>
  <c r="Q172" i="8" s="1"/>
  <c r="G172" i="8"/>
  <c r="S172" i="8" s="1"/>
  <c r="F172" i="8"/>
  <c r="R172" i="8" s="1"/>
  <c r="I169" i="8"/>
  <c r="U169" i="8" s="1"/>
  <c r="J168" i="8"/>
  <c r="V168" i="8" s="1"/>
  <c r="G171" i="8"/>
  <c r="H171" i="8" s="1"/>
  <c r="T171" i="8" s="1"/>
  <c r="H172" i="8" l="1"/>
  <c r="T172" i="8" s="1"/>
  <c r="I170" i="8"/>
  <c r="U170" i="8" s="1"/>
  <c r="J169" i="8"/>
  <c r="V169" i="8" s="1"/>
  <c r="N174" i="8"/>
  <c r="A174" i="8"/>
  <c r="B175" i="8"/>
  <c r="S170" i="8"/>
  <c r="J170" i="8"/>
  <c r="V170" i="8" s="1"/>
  <c r="E173" i="8"/>
  <c r="Q173" i="8" s="1"/>
  <c r="K168" i="8"/>
  <c r="W168" i="8" s="1"/>
  <c r="S171" i="8"/>
  <c r="K169" i="8"/>
  <c r="W169" i="8" s="1"/>
  <c r="K170" i="8"/>
  <c r="W170" i="8" s="1"/>
  <c r="I172" i="8"/>
  <c r="U172" i="8" s="1"/>
  <c r="I171" i="8"/>
  <c r="U171" i="8" s="1"/>
  <c r="J172" i="8" l="1"/>
  <c r="V172" i="8" s="1"/>
  <c r="J171" i="8"/>
  <c r="V171" i="8" s="1"/>
  <c r="F173" i="8"/>
  <c r="A175" i="8"/>
  <c r="N175" i="8"/>
  <c r="B176" i="8"/>
  <c r="K171" i="8"/>
  <c r="W171" i="8" s="1"/>
  <c r="E174" i="8"/>
  <c r="Q174" i="8" s="1"/>
  <c r="K172" i="8" l="1"/>
  <c r="W172" i="8" s="1"/>
  <c r="R173" i="8"/>
  <c r="G173" i="8"/>
  <c r="S173" i="8" s="1"/>
  <c r="N176" i="8"/>
  <c r="B177" i="8"/>
  <c r="A176" i="8"/>
  <c r="F174" i="8"/>
  <c r="G174" i="8" s="1"/>
  <c r="S174" i="8" s="1"/>
  <c r="E175" i="8"/>
  <c r="Q175" i="8" s="1"/>
  <c r="F175" i="8" l="1"/>
  <c r="G175" i="8" s="1"/>
  <c r="R175" i="8"/>
  <c r="R174" i="8"/>
  <c r="H174" i="8"/>
  <c r="I174" i="8" s="1"/>
  <c r="U174" i="8" s="1"/>
  <c r="E176" i="8"/>
  <c r="Q176" i="8" s="1"/>
  <c r="H173" i="8"/>
  <c r="T173" i="8" s="1"/>
  <c r="N177" i="8"/>
  <c r="A177" i="8"/>
  <c r="B178" i="8"/>
  <c r="S175" i="8" l="1"/>
  <c r="H175" i="8"/>
  <c r="T175" i="8" s="1"/>
  <c r="I173" i="8"/>
  <c r="U173" i="8" s="1"/>
  <c r="F176" i="8"/>
  <c r="R176" i="8" s="1"/>
  <c r="N178" i="8"/>
  <c r="B179" i="8"/>
  <c r="A178" i="8"/>
  <c r="I175" i="8"/>
  <c r="E177" i="8"/>
  <c r="Q177" i="8" s="1"/>
  <c r="F177" i="8"/>
  <c r="R177" i="8" s="1"/>
  <c r="J173" i="8"/>
  <c r="V173" i="8" s="1"/>
  <c r="T174" i="8"/>
  <c r="J174" i="8"/>
  <c r="V174" i="8" s="1"/>
  <c r="G176" i="8" l="1"/>
  <c r="K173" i="8"/>
  <c r="W173" i="8" s="1"/>
  <c r="S176" i="8"/>
  <c r="H176" i="8"/>
  <c r="I176" i="8" s="1"/>
  <c r="U176" i="8" s="1"/>
  <c r="K174" i="8"/>
  <c r="W174" i="8" s="1"/>
  <c r="E178" i="8"/>
  <c r="Q178" i="8" s="1"/>
  <c r="G177" i="8"/>
  <c r="U175" i="8"/>
  <c r="J175" i="8"/>
  <c r="V175" i="8" s="1"/>
  <c r="A179" i="8"/>
  <c r="N179" i="8"/>
  <c r="B180" i="8"/>
  <c r="K175" i="8" l="1"/>
  <c r="W175" i="8" s="1"/>
  <c r="N180" i="8"/>
  <c r="B181" i="8"/>
  <c r="A180" i="8"/>
  <c r="S177" i="8"/>
  <c r="H177" i="8"/>
  <c r="T176" i="8"/>
  <c r="J176" i="8"/>
  <c r="V176" i="8" s="1"/>
  <c r="E179" i="8"/>
  <c r="Q179" i="8" s="1"/>
  <c r="F178" i="8"/>
  <c r="T177" i="8" l="1"/>
  <c r="R178" i="8"/>
  <c r="G178" i="8"/>
  <c r="S178" i="8" s="1"/>
  <c r="K176" i="8"/>
  <c r="W176" i="8" s="1"/>
  <c r="F179" i="8"/>
  <c r="G179" i="8" s="1"/>
  <c r="I177" i="8"/>
  <c r="U177" i="8" s="1"/>
  <c r="E180" i="8"/>
  <c r="Q180" i="8" s="1"/>
  <c r="F180" i="8"/>
  <c r="A181" i="8"/>
  <c r="N181" i="8"/>
  <c r="B182" i="8"/>
  <c r="S179" i="8" l="1"/>
  <c r="B183" i="8"/>
  <c r="N182" i="8"/>
  <c r="A182" i="8"/>
  <c r="E181" i="8"/>
  <c r="Q181" i="8" s="1"/>
  <c r="R179" i="8"/>
  <c r="H179" i="8"/>
  <c r="T179" i="8" s="1"/>
  <c r="H178" i="8"/>
  <c r="J177" i="8"/>
  <c r="V177" i="8" s="1"/>
  <c r="G180" i="8"/>
  <c r="R180" i="8"/>
  <c r="F181" i="8" l="1"/>
  <c r="R181" i="8" s="1"/>
  <c r="I179" i="8"/>
  <c r="U179" i="8" s="1"/>
  <c r="K177" i="8"/>
  <c r="W177" i="8" s="1"/>
  <c r="G181" i="8"/>
  <c r="S181" i="8" s="1"/>
  <c r="H180" i="8"/>
  <c r="T180" i="8" s="1"/>
  <c r="N183" i="8"/>
  <c r="B184" i="8"/>
  <c r="A183" i="8"/>
  <c r="S180" i="8"/>
  <c r="J179" i="8"/>
  <c r="V179" i="8" s="1"/>
  <c r="E182" i="8"/>
  <c r="Q182" i="8" s="1"/>
  <c r="T178" i="8"/>
  <c r="I178" i="8"/>
  <c r="U178" i="8" s="1"/>
  <c r="H181" i="8"/>
  <c r="T181" i="8" s="1"/>
  <c r="I180" i="8"/>
  <c r="U180" i="8" s="1"/>
  <c r="J180" i="8" l="1"/>
  <c r="V180" i="8" s="1"/>
  <c r="F182" i="8"/>
  <c r="R182" i="8" s="1"/>
  <c r="K179" i="8"/>
  <c r="W179" i="8" s="1"/>
  <c r="J181" i="8"/>
  <c r="V181" i="8" s="1"/>
  <c r="I181" i="8"/>
  <c r="U181" i="8" s="1"/>
  <c r="K180" i="8"/>
  <c r="W180" i="8" s="1"/>
  <c r="E183" i="8"/>
  <c r="Q183" i="8" s="1"/>
  <c r="J178" i="8"/>
  <c r="A184" i="8"/>
  <c r="N184" i="8"/>
  <c r="B185" i="8"/>
  <c r="F183" i="8" l="1"/>
  <c r="R183" i="8" s="1"/>
  <c r="G182" i="8"/>
  <c r="V178" i="8"/>
  <c r="K178" i="8"/>
  <c r="W178" i="8" s="1"/>
  <c r="G183" i="8"/>
  <c r="S183" i="8" s="1"/>
  <c r="E184" i="8"/>
  <c r="Q184" i="8" s="1"/>
  <c r="F184" i="8"/>
  <c r="R184" i="8" s="1"/>
  <c r="S182" i="8"/>
  <c r="H182" i="8"/>
  <c r="T182" i="8" s="1"/>
  <c r="K181" i="8"/>
  <c r="W181" i="8" s="1"/>
  <c r="B186" i="8"/>
  <c r="A185" i="8"/>
  <c r="N185" i="8"/>
  <c r="I182" i="8" l="1"/>
  <c r="U182" i="8" s="1"/>
  <c r="H183" i="8"/>
  <c r="T183" i="8" s="1"/>
  <c r="I183" i="8"/>
  <c r="U183" i="8" s="1"/>
  <c r="B187" i="8"/>
  <c r="A186" i="8"/>
  <c r="N186" i="8"/>
  <c r="G184" i="8"/>
  <c r="E185" i="8"/>
  <c r="Q185" i="8" s="1"/>
  <c r="H184" i="8"/>
  <c r="T184" i="8" s="1"/>
  <c r="J182" i="8" l="1"/>
  <c r="S184" i="8"/>
  <c r="J183" i="8"/>
  <c r="V183" i="8" s="1"/>
  <c r="F185" i="8"/>
  <c r="G185" i="8" s="1"/>
  <c r="S185" i="8" s="1"/>
  <c r="E186" i="8"/>
  <c r="Q186" i="8" s="1"/>
  <c r="I184" i="8"/>
  <c r="U184" i="8" s="1"/>
  <c r="N187" i="8"/>
  <c r="A187" i="8"/>
  <c r="K183" i="8" l="1"/>
  <c r="W183" i="8" s="1"/>
  <c r="V182" i="8"/>
  <c r="K182" i="8"/>
  <c r="W182" i="8" s="1"/>
  <c r="R185" i="8"/>
  <c r="F186" i="8"/>
  <c r="R186" i="8" s="1"/>
  <c r="E187" i="8"/>
  <c r="Q187" i="8" s="1"/>
  <c r="H185" i="8"/>
  <c r="T185" i="8" s="1"/>
  <c r="J184" i="8"/>
  <c r="V184" i="8" s="1"/>
  <c r="I185" i="8" l="1"/>
  <c r="K184" i="8"/>
  <c r="W184" i="8" s="1"/>
  <c r="F187" i="8"/>
  <c r="G186" i="8"/>
  <c r="J185" i="8" l="1"/>
  <c r="V185" i="8" s="1"/>
  <c r="U185" i="8"/>
  <c r="S186" i="8"/>
  <c r="R187" i="8"/>
  <c r="G187" i="8"/>
  <c r="H186" i="8"/>
  <c r="T186" i="8" s="1"/>
  <c r="S187" i="8" l="1"/>
  <c r="H187" i="8"/>
  <c r="T187" i="8" s="1"/>
  <c r="K185" i="8"/>
  <c r="W185" i="8" s="1"/>
  <c r="I186" i="8"/>
  <c r="U186" i="8" l="1"/>
  <c r="J186" i="8"/>
  <c r="V186" i="8" s="1"/>
  <c r="K186" i="8"/>
  <c r="W186" i="8" s="1"/>
  <c r="I187" i="8"/>
  <c r="U187" i="8" l="1"/>
  <c r="J187" i="8"/>
  <c r="V187" i="8" s="1"/>
  <c r="K187" i="8" l="1"/>
  <c r="W187" i="8" s="1"/>
  <c r="BB2" i="1"/>
  <c r="BC2" i="1" s="1"/>
  <c r="BA19" i="1"/>
  <c r="BA13" i="1"/>
  <c r="BA12" i="1"/>
  <c r="BA14" i="1"/>
  <c r="BA10" i="1"/>
  <c r="BA11" i="1"/>
  <c r="BA16" i="1"/>
  <c r="BA9" i="1"/>
  <c r="BA17" i="1"/>
  <c r="BA15" i="1"/>
  <c r="BA18" i="1" l="1"/>
  <c r="BA20" i="1"/>
  <c r="BA34" i="1"/>
  <c r="BA28" i="1"/>
  <c r="BA27" i="1"/>
  <c r="BA32" i="1"/>
  <c r="BA21" i="1"/>
  <c r="BA33" i="1"/>
  <c r="BA29" i="1"/>
  <c r="BA24" i="1"/>
  <c r="BA26" i="1"/>
  <c r="BA31" i="1"/>
  <c r="BA25" i="1"/>
  <c r="BD2" i="1"/>
  <c r="BE2" i="1" s="1"/>
  <c r="BF2" i="1" s="1"/>
  <c r="BG2" i="1" s="1"/>
  <c r="BH2" i="1" s="1"/>
  <c r="BA2" i="1" s="1"/>
  <c r="BA22" i="1"/>
  <c r="BA30" i="1"/>
  <c r="BA23" i="1"/>
  <c r="BA38" i="1" l="1"/>
  <c r="BA39" i="1"/>
  <c r="BA40" i="1"/>
  <c r="BA41" i="1"/>
  <c r="BA42" i="1"/>
  <c r="BA37" i="1"/>
  <c r="BA35" i="1"/>
  <c r="BA36" i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11:09:46 - Clock Start
SQ-1 11:10:22 70/Good
SQ-2 11:10:42 - 80
11:22:02 - Clock Start
SQ-2 11:22:33 -80/No-Lift
SQ-3 11:23:02 - 105
11:36:45 - Clock Start
SQ-3 11:37:16 -105/No-Lift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
12:35:24 - Clock Start
12:35:58 - Clock Start
BP-1 12:36:25 40/Good
BP-2 12:36:45 - 50
12:49:42 - Clock Start
BP-2 12:50:16 50/Good
BP-3 12:50:46 - 55
13:02:01 - Clock Start
BP-3 13:02:40 -55/No-Lift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
14:12:19 - Clock Start
DL-1 14:12:34 80/Good
DL-2 14:12:52 - 100
14:21:10 - Clock Start
DL-2 14:21:26 100/Good
DL-3 14:21:46 - 110
14:32:34 - Clock Start
DL-3 14:32:51 110/Good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11:11:01 - Clock Start
SQ-1 11:11:25 75/Good
SQ-2 11:11:44 - 80
11:23:04 - Clock Start
SQ-2 11:23:25 80/Good
SQ-3 11:23:50 - 90
11:33:56 - Clock Start
SQ-3 11:34:22 -90/No-Lift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
12:36:54 - Clock Start
BP-1 12:37:18 40/Good
BP-2 12:37:33 - 45
12:48:44 - Clock Start
BP-2 12:49:10 45/Good
BP-3 12:49:38 - 50
13:00:57 - Clock Start
BP-3 13:01:26 -50/No-Lift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
DL-1 13:37:01 - 100
14:14:18 - Clock Start
DL-1 14:14:35 100/Good
DL-2 14:15:25 - 112,5
14:23:02 - Clock Start
DL-2 14:23:22 112,5/Good
DL-3 14:23:39 - 115
DL-2 14:24:44 - 117,5
DL-2 14:25:10 - 112,5
DL-3 14:25:48 - 115
DL-3 14:25:49 - 115
DL-3 14:25:57 - 117,5
14:35:00 - Clock Start
DL-3 14:35:20 117,5/Good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11:11:55 - Clock Start
SQ-1 11:12:21 80/Good
SQ-2 11:12:58 - 85
11:23:53 - Clock Start
SQ-2 11:24:19 85/Good
SQ-3 11:24:49 - 92,5
11:34:50 - Clock Start
SQ-3 11:35:17 92,5/Good
SQ-3 18:07:38 - 93,5
SQ-3 18:09:34 - 93
SQ-3 18:12:59 - 92,5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
12:46:27 - Clock Start
BP-1 12:46:49 75/Good
BP-2 12:47:27 - 80
12:58:18 - Clock Start
BP-2 12:58:41 80/Good
BP-3 12:59:28 - 82,5
13:10:12 - Clock Start
BP-3 13:10:40 82,5/Good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
14:13:07 - Clock Start
DL-1 14:13:26 100/Good
DL-2 14:14:04 - 105
14:21:57 - Clock Start
DL-2 14:22:15 105/Good
DL-3 14:22:49 - 110
14:33:25 - Clock Start
DL-3 14:33:41 110/Good</t>
        </r>
      </text>
    </comment>
    <comment ref="O12" authorId="1" shapeId="0">
      <text>
        <r>
          <rPr>
            <sz val="8"/>
            <color indexed="81"/>
            <rFont val="Tahoma"/>
            <family val="2"/>
          </rPr>
          <t>Squat History:
11:12:52 - Clock Start
SQ-1 11:13:22 90/Good
SQ-2 11:14:48 - 100
11:24:52 - Clock Start
SQ-2 11:25:18 -100/No-Lift
SQ-3 11:25:50 - 100
11:35:47 - Clock Start
SQ-3 11:36:15 100/Good</t>
        </r>
      </text>
    </comment>
    <comment ref="T12" authorId="1" shapeId="0">
      <text>
        <r>
          <rPr>
            <sz val="8"/>
            <color indexed="81"/>
            <rFont val="Tahoma"/>
            <family val="2"/>
          </rPr>
          <t>Bench History:
12:40:01 - Clock Start
BP-1 12:40:31 60/Good
BP-2 12:40:48 - 70
12:56:14 - Clock Start
BP-2 12:56:41 70/Good
BP-3 12:57:50 - 75
13:08:16 - Clock Start
BP-3 13:08:51 75/Good</t>
        </r>
      </text>
    </comment>
    <comment ref="Y12" authorId="1" shapeId="0">
      <text>
        <r>
          <rPr>
            <sz val="8"/>
            <color indexed="81"/>
            <rFont val="Tahoma"/>
            <family val="2"/>
          </rPr>
          <t>Deadlift History:
14:13:46 - Clock Start
DL-1 14:14:06 100/Good
DL-2 14:14:43 - 120
14:23:56 - Clock Start
DL-2 14:24:11 120/Good
DL-3 14:24:24 - 140
14:37:11 - Clock Start
DL-3 14:37:25 140/Good</t>
        </r>
      </text>
    </comment>
    <comment ref="O13" authorId="1" shapeId="0">
      <text>
        <r>
          <rPr>
            <sz val="8"/>
            <color indexed="81"/>
            <rFont val="Tahoma"/>
            <family val="2"/>
          </rPr>
          <t>Squat History:
11:13:55 - Clock Start
SQ-1 11:14:19 100/Good
SQ-2 11:14:31 - 110
11:25:53 - Clock Start
SQ-2 11:26:18 110/Good
SQ-3 11:26:34 - 112,5
11:37:52 - Clock Start
SQ-3 11:38:13 -112,5/No-Lift</t>
        </r>
      </text>
    </comment>
    <comment ref="T13" authorId="1" shapeId="0">
      <text>
        <r>
          <rPr>
            <sz val="8"/>
            <color indexed="81"/>
            <rFont val="Tahoma"/>
            <family val="2"/>
          </rPr>
          <t>Bench History:
12:43:03 - Clock Start
BP-1 12:43:33 67,5/Good
BP-2 12:43:57 - 70
12:54:55 - Clock Start
BP-2 12:55:53 70/Good
BP-3 12:56:54 - 75
13:07:29 - Clock Start
BP-3 13:08:01 75/Good</t>
        </r>
      </text>
    </comment>
    <comment ref="Y13" authorId="1" shapeId="0">
      <text>
        <r>
          <rPr>
            <sz val="8"/>
            <color indexed="81"/>
            <rFont val="Tahoma"/>
            <family val="2"/>
          </rPr>
          <t>Deadlift History:
14:16:56 - Clock Start
DL-1 14:17:13 130/Good
DL-2 14:17:32 - 140
DL-2 14:26:05 140/Good
DL-2 14:26:37 - 140
14:26:57 - Clock Start
DL-2 14:27:15 140/Good
DL-3 14:27:39 - 150
14:38:06 - Clock Start
DL-3 14:38:22 150/Good</t>
        </r>
      </text>
    </comment>
    <comment ref="O14" authorId="1" shapeId="0">
      <text>
        <r>
          <rPr>
            <sz val="8"/>
            <color indexed="81"/>
            <rFont val="Tahoma"/>
            <family val="2"/>
          </rPr>
          <t>Squat History:
11:14:41 - Clock Start
SQ-1 11:15:13 100/Good
SQ-2 11:15:22 - 110
11:26:40 - Clock Start
SQ-2 11:27:11 110/Good</t>
        </r>
      </text>
    </comment>
    <comment ref="T14" authorId="1" shapeId="0">
      <text>
        <r>
          <rPr>
            <sz val="8"/>
            <color indexed="81"/>
            <rFont val="Tahoma"/>
            <family val="2"/>
          </rPr>
          <t>Bench History:
12:39:08 - Clock Start
BP-1 12:39:41 60/Good
BP-2 12:39:53 - 65
12:52:53 - Clock Start
BP-2 12:53:26 65/Good
BP-3 12:53:48 - 67,5
13:04:14 - Clock Start
BP-3 13:04:47 67,5/Good</t>
        </r>
      </text>
    </comment>
    <comment ref="Y14" authorId="1" shapeId="0">
      <text>
        <r>
          <rPr>
            <sz val="8"/>
            <color indexed="81"/>
            <rFont val="Tahoma"/>
            <family val="2"/>
          </rPr>
          <t>Deadlift History:
14:15:42 - Clock Start
DL-1 14:15:51 120/Good
DL-2 14:16:03 - 130
DL-2 14:25:13 130/Good</t>
        </r>
      </text>
    </comment>
    <comment ref="O15" authorId="1" shapeId="0">
      <text>
        <r>
          <rPr>
            <sz val="8"/>
            <color indexed="81"/>
            <rFont val="Tahoma"/>
            <family val="2"/>
          </rPr>
          <t>Squat History:
11:15:44 - Clock Start
SQ-1 11:16:02 110/Good
SQ-2 11:16:23 - 115
11:27:42 - Clock Start
SQ-2 11:28:05 115/Good
SQ-3 11:28:36 - 
SQ-3 11:28:38 - 
SQ-3 11:28:50 - 125
11:39:52 - Clock Start
SQ-3 11:40:11 125/Good</t>
        </r>
      </text>
    </comment>
    <comment ref="T15" authorId="1" shapeId="0">
      <text>
        <r>
          <rPr>
            <sz val="8"/>
            <color indexed="81"/>
            <rFont val="Tahoma"/>
            <family val="2"/>
          </rPr>
          <t>Bench History:
12:47:31 - Clock Start
BP-1 12:47:53 100/Good
BP-2 12:48:24 - 105
12:59:50 - Clock Start
BP-2 13:00:16 105/Good
BP-3 13:00:46 - 110
13:12:19 - Clock Start
BP-3 13:12:43 110/Good</t>
        </r>
      </text>
    </comment>
    <comment ref="Y15" authorId="1" shapeId="0">
      <text>
        <r>
          <rPr>
            <sz val="8"/>
            <color indexed="81"/>
            <rFont val="Tahoma"/>
            <family val="2"/>
          </rPr>
          <t>Deadlift History:
14:18:26 - Clock Start
DL-1 14:18:35 150/Good
DL-2 14:18:54 - 180
14:31:18 - Clock Start
DL-2 14:31:28 180/Good
DL-3 14:31:52 - 200
14:43:05 - Clock Start
DL-3 14:43:14 200/Good</t>
        </r>
      </text>
    </comment>
    <comment ref="O16" authorId="1" shapeId="0">
      <text>
        <r>
          <rPr>
            <sz val="8"/>
            <color indexed="81"/>
            <rFont val="Tahoma"/>
            <family val="2"/>
          </rPr>
          <t>Squat History:
11:16:26 - Clock Start
SQ-1 11:16:47 110/Good
SQ-2 11:17:06 - 120
11:28:42 - Clock Start
SQ-2 11:28:59 120/Good
SQ-3 11:29:10 - 127,5
11:40:48 - Clock Start
SQ-3 11:41:18 -127,5/No-Lift</t>
        </r>
      </text>
    </comment>
    <comment ref="T16" authorId="1" shapeId="0">
      <text>
        <r>
          <rPr>
            <sz val="8"/>
            <color indexed="81"/>
            <rFont val="Tahoma"/>
            <family val="2"/>
          </rPr>
          <t>Bench History:
12:45:24 - Clock Start
BP-1 12:45:47 70/Good
BP-2 12:46:07 - 80
12:58:50 - Clock Start
BP-2 12:59:23 80/Good
BP-3 12:59:45 - 85
13:11:02 - Clock Start
BP-3 13:11:35 -85/No-Lift</t>
        </r>
      </text>
    </comment>
    <comment ref="Y16" authorId="1" shapeId="0">
      <text>
        <r>
          <rPr>
            <sz val="8"/>
            <color indexed="81"/>
            <rFont val="Tahoma"/>
            <family val="2"/>
          </rPr>
          <t>Deadlift History:
14:16:06 - Clock Start
DL-1 14:16:20 120/Good
DL-2 14:16:39 - 140
14:27:42 - Clock Start
DL-2 14:27:56 140/Good
DL-3 14:28:29 - 150
14:38:55 - Clock Start
DL-3 14:39:11 -150/No-Lift</t>
        </r>
      </text>
    </comment>
    <comment ref="O17" authorId="1" shapeId="0">
      <text>
        <r>
          <rPr>
            <sz val="8"/>
            <color indexed="81"/>
            <rFont val="Tahoma"/>
            <family val="2"/>
          </rPr>
          <t>Squat History:
11:17:22 - Clock Start
SQ-1 11:18:05 115/Good
SQ-2 11:18:17 - 120
11:29:23 - Clock Start
SQ-2 11:29:50 120/Good
SQ-3 11:30:01 - 122,5
11:38:54 - Clock Start
SQ-3 11:39:22 -122,5/No-Lift</t>
        </r>
      </text>
    </comment>
    <comment ref="T17" authorId="1" shapeId="0">
      <text>
        <r>
          <rPr>
            <sz val="8"/>
            <color indexed="81"/>
            <rFont val="Tahoma"/>
            <family val="2"/>
          </rPr>
          <t>Bench History:
12:42:02 - Clock Start
BP-1 12:42:35 65/Good
BP-2 12:42:54 - 67,5
12:53:52 - Clock Start
BP-2 12:54:29 67,5/Good
BP-3 12:54:46 - 70
13:06:22 - Clock Start
BP-3 13:06:56 -70/No-Lift</t>
        </r>
      </text>
    </comment>
    <comment ref="Y17" authorId="1" shapeId="0">
      <text>
        <r>
          <rPr>
            <sz val="8"/>
            <color indexed="81"/>
            <rFont val="Tahoma"/>
            <family val="2"/>
          </rPr>
          <t>Deadlift History:
14:18:57 - Clock Start
DL-1 14:19:10 150/Good
DL-2 14:19:27 - 162,5
14:29:26 - Clock Start
DL-2 14:29:41 -162,5/No-Lift
DL-3 14:31:08 - 162,5
14:40:55 - Clock Start
DL-3 14:41:13 162,5/Good</t>
        </r>
      </text>
    </comment>
    <comment ref="O18" authorId="1" shapeId="0">
      <text>
        <r>
          <rPr>
            <sz val="8"/>
            <color indexed="81"/>
            <rFont val="Tahoma"/>
            <family val="2"/>
          </rPr>
          <t>Squat History:
11:18:37 - Clock Start
SQ-1 11:19:13 125/Good
SQ-2 11:19:42 - 130
11:30:21 - Clock Start
SQ-2 11:30:54 130/Good
SQ-3 11:31:30 - 135
11:41:47 - Clock Start
SQ-3 11:42:16 -135/No-Lift</t>
        </r>
      </text>
    </comment>
    <comment ref="T18" authorId="1" shapeId="0">
      <text>
        <r>
          <rPr>
            <sz val="8"/>
            <color indexed="81"/>
            <rFont val="Tahoma"/>
            <family val="2"/>
          </rPr>
          <t>Bench History:
BP-1 12:02:25 - 67,5
12:44:17 - Clock Start
BP-1 12:44:50 67,5/Good
BP-2 12:45:19 - 72,5
12:57:12 - Clock Start
BP-2 12:57:38 72,5/Good
BP-3 12:58:11 - 77,5
13:09:20 - Clock Start
BP-3 13:09:52 -77,5/No-Lift</t>
        </r>
      </text>
    </comment>
    <comment ref="Y18" authorId="1" shapeId="0">
      <text>
        <r>
          <rPr>
            <sz val="8"/>
            <color indexed="81"/>
            <rFont val="Tahoma"/>
            <family val="2"/>
          </rPr>
          <t>Deadlift History:
14:17:41 - Clock Start
DL-1 14:17:58 140/Good
DL-2 14:18:16 - 150
14:28:32 - Clock Start
DL-2 14:28:45 150/Good
DL-3 14:29:10 - 160
14:39:52 - Clock Start
DL-3 14:40:14 -160/No-Lift</t>
        </r>
      </text>
    </comment>
    <comment ref="O19" authorId="1" shapeId="0">
      <text>
        <r>
          <rPr>
            <sz val="8"/>
            <color indexed="81"/>
            <rFont val="Tahoma"/>
            <family val="2"/>
          </rPr>
          <t>Squat History:
11:19:38 - Clock Start
SQ-1 11:20:08 130/Good
SQ-2 11:20:50 - 145
11:31:20 - Clock Start
SQ-2 11:31:54 145/Good
SQ-3 11:32:35 - 155
11:42:46 - Clock Start
SQ-3 11:43:12 -155/No-Lift</t>
        </r>
      </text>
    </comment>
    <comment ref="T19" authorId="1" shapeId="0">
      <text>
        <r>
          <rPr>
            <sz val="8"/>
            <color indexed="81"/>
            <rFont val="Tahoma"/>
            <family val="2"/>
          </rPr>
          <t>Bench History:
12:38:08 - Clock Start
BP-1 12:38:50 60/Good
BP-2 12:39:20 - 65
12:51:53 - Clock Start
BP-2 12:52:33 -65/No-Lift
BP-3 12:53:38 - 70
13:05:15 - Clock Start
BP-3 13:05:52 -70/No-Lift</t>
        </r>
      </text>
    </comment>
    <comment ref="Y19" authorId="1" shapeId="0">
      <text>
        <r>
          <rPr>
            <sz val="8"/>
            <color indexed="81"/>
            <rFont val="Tahoma"/>
            <family val="2"/>
          </rPr>
          <t>Deadlift History:
14:15:08 - Clock Start
DL-1 14:15:30 120/Good
DL-2 14:15:46 - 130
14:24:50 - Clock Start
DL-2 14:25:02 130/Good
DL-3 14:26:20 - 135
14:36:17 - Clock Start
DL-3 14:36:36 135/Good</t>
        </r>
      </text>
    </comment>
    <comment ref="O20" authorId="1" shapeId="0">
      <text>
        <r>
          <rPr>
            <sz val="8"/>
            <color indexed="81"/>
            <rFont val="Tahoma"/>
            <family val="2"/>
          </rPr>
          <t>Squat History:
11:20:43 - Clock Start
SQ-1 11:21:13 160/Good
SQ-2 11:21:32 - 170
11:32:27 - Clock Start
SQ-2 11:33:03 170/Good</t>
        </r>
      </text>
    </comment>
    <comment ref="T20" authorId="1" shapeId="0">
      <text>
        <r>
          <rPr>
            <sz val="8"/>
            <color indexed="81"/>
            <rFont val="Tahoma"/>
            <family val="2"/>
          </rPr>
          <t>Bench History:
12:40:51 - Clock Start
BP-1 12:41:20 60/Good
BP-2 12:41:44 - 62,5
12:50:52 - Clock Start
BP-2 12:51:23 62,5/Good
BP-3 12:51:35 - 65
13:03:18 - Clock Start
BP-3 13:03:54 65/Good</t>
        </r>
      </text>
    </comment>
    <comment ref="Y20" authorId="1" shapeId="0">
      <text>
        <r>
          <rPr>
            <sz val="8"/>
            <color indexed="81"/>
            <rFont val="Tahoma"/>
            <family val="2"/>
          </rPr>
          <t>Deadlift History:
14:19:43 - Clock Start
DL-1 14:19:59 160/Good
DL-2 14:20:24 - 167,5
14:30:20 - Clock Start
DL-2 14:30:38 167,5/Good
DL-3 14:30:51 - 175
14:42:01 - Clock Start
DL-3 14:42:22 175/Good</t>
        </r>
      </text>
    </comment>
    <comment ref="O21" authorId="1" shapeId="0">
      <text>
        <r>
          <rPr>
            <sz val="8"/>
            <color indexed="81"/>
            <rFont val="Tahoma"/>
            <family val="2"/>
          </rPr>
          <t>Squat History:
11:45:19 - Clock Start
SQ-1 11:45:43 145/Good
SQ-2 11:46:00 - 155
12:00:48 - Clock Start
SQ-2 12:01:11 155/Good
SQ-3 12:01:47 - 170
12:18:41 - Clock Start
SQ-3 12:19:08 170/Good</t>
        </r>
      </text>
    </comment>
    <comment ref="T21" authorId="1" shapeId="0">
      <text>
        <r>
          <rPr>
            <sz val="8"/>
            <color indexed="81"/>
            <rFont val="Tahoma"/>
            <family val="2"/>
          </rPr>
          <t>Bench History:
13:22:49 - Clock Start
BP-1 13:23:24 120/Good
BP-2 13:23:53 - 130
13:40:34 - Clock Start
BP-2 13:41:10 130/Good
BP-3 13:41:34 - 140
13:55:10 - Clock Start
BP-3 13:55:48 140/Good</t>
        </r>
      </text>
    </comment>
    <comment ref="Y21" authorId="1" shapeId="0">
      <text>
        <r>
          <rPr>
            <sz val="8"/>
            <color indexed="81"/>
            <rFont val="Tahoma"/>
            <family val="2"/>
          </rPr>
          <t>Deadlift History:
14:45:54 - Clock Start
DL-1 14:46:06 190/Good
DL-2 14:46:39 - 210
14:59:42 - Clock Start
DL-2 14:59:57 210/Good
DL-3 15:00:35 - 230
15:17:43 - Clock Start
DL-3 15:17:58 230/Good</t>
        </r>
      </text>
    </comment>
    <comment ref="O22" authorId="1" shapeId="0">
      <text>
        <r>
          <rPr>
            <sz val="8"/>
            <color indexed="81"/>
            <rFont val="Tahoma"/>
            <family val="2"/>
          </rPr>
          <t>Squat History:
11:46:19 - Clock Start
SQ-1 11:46:45 147,5/Good
SQ-2 11:47:11 - 157,5
12:01:37 - Clock Start
SQ-2 12:02:04 157,5/Good
SQ-3 12:02:44 - 162,5
12:16:26 - Clock Start
SQ-3 12:17:00 162,5/Good</t>
        </r>
      </text>
    </comment>
    <comment ref="T22" authorId="1" shapeId="0">
      <text>
        <r>
          <rPr>
            <sz val="8"/>
            <color indexed="81"/>
            <rFont val="Tahoma"/>
            <family val="2"/>
          </rPr>
          <t>Bench History:
13:14:44 - Clock Start
BP-1 13:15:15 95/Good
BP-2 13:15:30 - 100
13:31:11 - Clock Start
BP-2 13:31:48 100/Good
BP-3 13:32:21 - 105
13:47:09 - Clock Start
BP-3 13:47:51 105/Good</t>
        </r>
      </text>
    </comment>
    <comment ref="Y22" authorId="1" shapeId="0">
      <text>
        <r>
          <rPr>
            <sz val="8"/>
            <color indexed="81"/>
            <rFont val="Tahoma"/>
            <family val="2"/>
          </rPr>
          <t>Deadlift History:
DL-1 14:07:31 - 195
14:46:41 - Clock Start
DL-1 14:46:59 195/Good
DL-2 14:47:22 - 210
14:58:00 - Clock Start
DL-2 14:58:32 -210/No-Lift
DL-3 14:58:40 - 210
15:10:27 - Clock Start
DL-3 15:11:01 210/Good</t>
        </r>
      </text>
    </comment>
    <comment ref="O23" authorId="1" shapeId="0">
      <text>
        <r>
          <rPr>
            <sz val="8"/>
            <color indexed="81"/>
            <rFont val="Tahoma"/>
            <family val="2"/>
          </rPr>
          <t>Squat History:
11:47:21 - Clock Start
SQ-1 11:47:52 150/Good
SQ-2 11:48:11 - 160
12:03:42 - Clock Start
SQ-2 12:04:11 -160/No-Lift
SQ-3 12:04:21 - 160
12:15:35 - Clock Start
SQ-3 12:16:00 -160/No-Lift</t>
        </r>
      </text>
    </comment>
    <comment ref="T23" authorId="1" shapeId="0">
      <text>
        <r>
          <rPr>
            <sz val="8"/>
            <color indexed="81"/>
            <rFont val="Tahoma"/>
            <family val="2"/>
          </rPr>
          <t>Bench History:
13:15:55 - Clock Start
BP-1 13:16:24 100/Good
BP-2 13:16:39 - 110
13:32:27 - Clock Start
BP-2 13:32:47 110/Good
BP-3 13:33:06 - 115
13:49:33 - Clock Start
BP-3 13:49:58 -115/No-Lift</t>
        </r>
      </text>
    </comment>
    <comment ref="Y23" authorId="1" shapeId="0">
      <text>
        <r>
          <rPr>
            <sz val="8"/>
            <color indexed="81"/>
            <rFont val="Tahoma"/>
            <family val="2"/>
          </rPr>
          <t>Deadlift History:
14:51:26 - Clock Start
DL-1 14:51:43 230/Good
DL-2 14:52:04 - 245
15:05:14 - Clock Start
DL-2 15:05:38 245/Good
DL-3 15:06:09 - 255
15:18:32 - Clock Start
DL-3 15:19:01 255/Good</t>
        </r>
      </text>
    </comment>
    <comment ref="O24" authorId="1" shapeId="0">
      <text>
        <r>
          <rPr>
            <sz val="8"/>
            <color indexed="81"/>
            <rFont val="Tahoma"/>
            <family val="2"/>
          </rPr>
          <t>Squat History:
11:48:33 - Clock Start
SQ-1 11:49:14 -160/No-Lift
SQ-2 11:49:28 - 160
12:02:34 - Clock Start
SQ-2 12:03:15 160/Good
SQ-3 12:03:51 - 165
12:17:33 - Clock Start
SQ-3 12:18:17 -165/No-Lift</t>
        </r>
      </text>
    </comment>
    <comment ref="T24" authorId="1" shapeId="0">
      <text>
        <r>
          <rPr>
            <sz val="8"/>
            <color indexed="81"/>
            <rFont val="Tahoma"/>
            <family val="2"/>
          </rPr>
          <t>Bench History:
13:17:07 - Clock Start
BP-1 13:17:44 105/Good
BP-2 13:18:01 - 112,5
13:33:15 - Clock Start
BP-2 13:34:16 -112,5/No-Lift
BP-3 13:34:29 - 112,5
13:48:18 - Clock Start
BP-3 13:49:06 -112,5/No-Lift</t>
        </r>
      </text>
    </comment>
    <comment ref="Y24" authorId="1" shapeId="0">
      <text>
        <r>
          <rPr>
            <sz val="8"/>
            <color indexed="81"/>
            <rFont val="Tahoma"/>
            <family val="2"/>
          </rPr>
          <t>Deadlift History:
14:47:27 - Clock Start
DL-1 14:47:42 200/Good
DL-2 14:47:57 - 220
15:01:40 - Clock Start
DL-2 15:02:02 220/Good
DL-3 15:02:38 - 227,5
15:14:22 - Clock Start
DL-3 15:14:47 -227,5/No-Lift</t>
        </r>
      </text>
    </comment>
    <comment ref="O25" authorId="1" shapeId="0">
      <text>
        <r>
          <rPr>
            <sz val="8"/>
            <color indexed="81"/>
            <rFont val="Tahoma"/>
            <family val="2"/>
          </rPr>
          <t>Squat History:
11:49:36 - Clock Start
SQ-1 11:50:11 160/Good
SQ-2 11:50:36 - 170
12:04:49 - Clock Start
SQ-2 12:05:32 170/Good
SQ-3 12:05:46 - 180
12:20:46 - Clock Start
SQ-3 12:21:29 180/Good</t>
        </r>
      </text>
    </comment>
    <comment ref="T25" authorId="1" shapeId="0">
      <text>
        <r>
          <rPr>
            <sz val="8"/>
            <color indexed="81"/>
            <rFont val="Tahoma"/>
            <family val="2"/>
          </rPr>
          <t>Bench History:
13:21:33 - Clock Start
BP-1 13:22:02 120/Good
BP-2 13:22:18 - 127,5
13:38:46 - Clock Start
BP-2 13:39:06 127,5/Good
BP-3 13:39:29 - 135
13:54:11 - Clock Start
BP-3 13:54:44 135/Good</t>
        </r>
      </text>
    </comment>
    <comment ref="Y25" authorId="1" shapeId="0">
      <text>
        <r>
          <rPr>
            <sz val="8"/>
            <color indexed="81"/>
            <rFont val="Tahoma"/>
            <family val="2"/>
          </rPr>
          <t>Deadlift History:
14:45:21 - Clock Start
DL-1 14:45:33 185/Good
DL-2 14:45:54 - 200
DL-2 14:46:49 - 215
15:00:46 - Clock Start
DL-2 15:01:10 215/Good
DL-3 15:01:38 - 230
15:16:56 - Clock Start
DL-3 15:17:10 -230/No-Lift</t>
        </r>
      </text>
    </comment>
    <comment ref="O26" authorId="1" shapeId="0">
      <text>
        <r>
          <rPr>
            <sz val="8"/>
            <color indexed="81"/>
            <rFont val="Tahoma"/>
            <family val="2"/>
          </rPr>
          <t>Squat History:
11:50:50 - Clock Start
SQ-1 11:51:15 170/Good
SQ-2 11:51:38 - 180
12:06:06 - Clock Start
SQ-2 12:06:36 -180/No-Lift
SQ-3 12:06:51 - 180
12:19:38 - Clock Start
12:19:59 - Clock Start
SQ-3 12:20:28 180/Good</t>
        </r>
      </text>
    </comment>
    <comment ref="T26" authorId="1" shapeId="0">
      <text>
        <r>
          <rPr>
            <sz val="8"/>
            <color indexed="81"/>
            <rFont val="Tahoma"/>
            <family val="2"/>
          </rPr>
          <t>Bench History:
13:20:30 - Clock Start
BP-1 13:20:57 117,5/Good
BP-2 13:21:12 - 125
13:37:04 - Clock Start
BP-2 13:37:30 125/Good
BP-3 13:38:42 - 132,5
13:53:10 - Clock Start
BP-3 13:53:35 -132,5/No-Lift</t>
        </r>
      </text>
    </comment>
    <comment ref="Y26" authorId="1" shapeId="0">
      <text>
        <r>
          <rPr>
            <sz val="8"/>
            <color indexed="81"/>
            <rFont val="Tahoma"/>
            <family val="2"/>
          </rPr>
          <t>Deadlift History:
14:49:39 - Clock Start
DL-1 14:50:02 215/Good
DL-2 14:50:21 - 222,5
15:03:17 - Clock Start
DL-2 15:03:50 222,5/Good
DL-3 15:04:14 - 227,5
15:15:15 - Clock Start
DL-3 15:15:38 -227,5/No-Lift</t>
        </r>
      </text>
    </comment>
    <comment ref="O27" authorId="1" shapeId="0">
      <text>
        <r>
          <rPr>
            <sz val="8"/>
            <color indexed="81"/>
            <rFont val="Tahoma"/>
            <family val="2"/>
          </rPr>
          <t>Squat History:
11:51:52 - Clock Start
SQ-1 11:52:23 175/Good
SQ-2 11:52:52 - 182,5
12:07:03 - Clock Start
SQ-2 12:07:36 -182,5/No-Lift
SQ-3 12:07:51 - 182,5
12:21:57 - Clock Start
SQ-3 12:22:23 -182,5/No-Lift</t>
        </r>
      </text>
    </comment>
    <comment ref="T27" authorId="1" shapeId="0">
      <text>
        <r>
          <rPr>
            <sz val="8"/>
            <color indexed="81"/>
            <rFont val="Tahoma"/>
            <family val="2"/>
          </rPr>
          <t>Bench History:
BP-1 12:15:45 - 115
BP-1 12:56:08 - 112,5
BP-1 13:02:49 - 110
13:18:21 - Clock Start
BP-1 13:18:51 110/Good
BP-2 13:19:16 - 117,5
13:34:47 - Clock Start
BP-2 13:35:17 117,5/Good
BP-3 13:35:44 - 125
13:51:19 - Clock Start
BP-3 13:51:56 -125/No-Lift</t>
        </r>
      </text>
    </comment>
    <comment ref="Y27" authorId="1" shapeId="0">
      <text>
        <r>
          <rPr>
            <sz val="8"/>
            <color indexed="81"/>
            <rFont val="Tahoma"/>
            <family val="2"/>
          </rPr>
          <t>Deadlift History:
DL-1 12:16:12 - 200
14:48:02 - Clock Start
DL-1 14:48:25 200/Good
DL-2 14:48:52 - 210
14:58:59 - Clock Start
DL-2 14:59:21 210/Good
DL-3 14:59:54 - 215
15:11:32 - Clock Start
DL-3 15:11:50 -215/No-Lift</t>
        </r>
      </text>
    </comment>
    <comment ref="O28" authorId="1" shapeId="0">
      <text>
        <r>
          <rPr>
            <sz val="8"/>
            <color indexed="81"/>
            <rFont val="Tahoma"/>
            <family val="2"/>
          </rPr>
          <t>Squat History:
11:53:00 - Clock Start
SQ-1 11:53:24 180/Good
SQ-2 11:54:01 - 190
12:08:07 - Clock Start
SQ-2 12:08:31 190/Good
SQ-3 12:08:48 - 200
12:22:57 - Clock Start
SQ-3 12:23:22 200/Good</t>
        </r>
      </text>
    </comment>
    <comment ref="T28" authorId="1" shapeId="0">
      <text>
        <r>
          <rPr>
            <sz val="8"/>
            <color indexed="81"/>
            <rFont val="Tahoma"/>
            <family val="2"/>
          </rPr>
          <t>Bench History:
13:19:28 - Clock Start
BP-1 13:19:55 -115/No-Lift
BP-2 13:20:17 - 120
13:35:47 - Clock Start
BP-2 13:36:10 120/Good
BP-3 13:36:27 - 125
13:50:28 - Clock Start
13:50:47 - Clock Start
BP-3 13:50:58 -125/No-Lift</t>
        </r>
      </text>
    </comment>
    <comment ref="Y28" authorId="1" shapeId="0">
      <text>
        <r>
          <rPr>
            <sz val="8"/>
            <color indexed="81"/>
            <rFont val="Tahoma"/>
            <family val="2"/>
          </rPr>
          <t>Deadlift History:
14:50:28 - Clock Start
DL-1 14:50:44 220/Good
DL-2 14:50:59 - 225
15:04:31 - Clock Start
DL-2 15:04:45 225/Good
DL-3 15:05:04 - 230
15:16:13 - Clock Start
DL-3 15:16:30 230/Good</t>
        </r>
      </text>
    </comment>
    <comment ref="O29" authorId="1" shapeId="0">
      <text>
        <r>
          <rPr>
            <sz val="8"/>
            <color indexed="81"/>
            <rFont val="Tahoma"/>
            <family val="2"/>
          </rPr>
          <t>Squat History:
11:53:51 - Clock Start
SQ-1 11:54:13 185/Good
SQ-2 11:54:37 - 195
12:08:53 - Clock Start
SQ-2 12:09:16 195/Good
SQ-3 12:09:39 - 200
12:23:38 - Clock Start
SQ-3 12:24:04 200/Good</t>
        </r>
      </text>
    </comment>
    <comment ref="T29" authorId="1" shapeId="0">
      <text>
        <r>
          <rPr>
            <sz val="8"/>
            <color indexed="81"/>
            <rFont val="Tahoma"/>
            <family val="2"/>
          </rPr>
          <t>Bench History:
13:23:57 - Clock Start
BP-1 13:24:23 122,5/Good
BP-2 13:24:49 - 127,5
13:39:35 - Clock Start
BP-2 13:40:06 -127,5/No-Lift
BP-3 13:40:21 - 127,5
13:52:19 - Clock Start
BP-3 13:52:48 127,5/Good</t>
        </r>
      </text>
    </comment>
    <comment ref="Y29" authorId="1" shapeId="0">
      <text>
        <r>
          <rPr>
            <sz val="8"/>
            <color indexed="81"/>
            <rFont val="Tahoma"/>
            <family val="2"/>
          </rPr>
          <t>Deadlift History:
14:48:58 - Clock Start
DL-1 14:49:13 205/Good
DL-2 14:49:23 - 220
15:02:33 - Clock Start
DL-2 15:02:53 220/Good
DL-3 15:03:10 - 225
15:12:57 - Clock Start
DL-3 15:13:16 -225/No-Lift</t>
        </r>
      </text>
    </comment>
    <comment ref="O30" authorId="1" shapeId="0">
      <text>
        <r>
          <rPr>
            <sz val="8"/>
            <color indexed="81"/>
            <rFont val="Tahoma"/>
            <family val="2"/>
          </rPr>
          <t>Squat History:
11:54:49 - Clock Start
SQ-1 11:55:16 190/Good
SQ-2 11:55:40 - 197,5
12:09:47 - Clock Start
SQ-2 12:10:15 197,5/Good
SQ-3 12:10:40 - 210
12:24:46 - Clock Start
SQ-3 12:25:20 210/Good</t>
        </r>
      </text>
    </comment>
    <comment ref="T30" authorId="1" shapeId="0">
      <text>
        <r>
          <rPr>
            <sz val="8"/>
            <color indexed="81"/>
            <rFont val="Tahoma"/>
            <family val="2"/>
          </rPr>
          <t>Bench History:
13:27:40 - Clock Start
BP-1 13:28:09 155/Good
BP-2 13:28:26 - 162,5
13:43:31 - Clock Start
BP-2 13:44:10 162,5/Good
BP-3 13:44:30 - 170
13:59:39 - Clock Start
BP-3 14:00:11 -170/No-Lift</t>
        </r>
      </text>
    </comment>
    <comment ref="Y30" authorId="1" shapeId="0">
      <text>
        <r>
          <rPr>
            <sz val="8"/>
            <color indexed="81"/>
            <rFont val="Tahoma"/>
            <family val="2"/>
          </rPr>
          <t>Deadlift History:
14:52:24 - Clock Start
DL-1 14:52:43 240/Good
DL-2 14:52:59 - 255
15:06:28 - Clock Start
DL-2 15:06:51 255/Good
DL-3 15:07:15 - 265
15:20:36 - Clock Start
DL-3 15:20:54 265/Good</t>
        </r>
      </text>
    </comment>
    <comment ref="O31" authorId="1" shapeId="0">
      <text>
        <r>
          <rPr>
            <sz val="8"/>
            <color indexed="81"/>
            <rFont val="Tahoma"/>
            <family val="2"/>
          </rPr>
          <t>Squat History:
SQ-1 11:37:27 - 210
11:56:01 - Clock Start
SQ-1 11:56:26 -210/No-Lift
SQ-2 11:57:14 - 210
12:10:46 - Clock Start
SQ-2 12:11:12 210/Good
SQ-3 12:11:34 - 220
12:25:55 - Clock Start
SQ-3 12:26:21 220/Good</t>
        </r>
      </text>
    </comment>
    <comment ref="T31" authorId="1" shapeId="0">
      <text>
        <r>
          <rPr>
            <sz val="8"/>
            <color indexed="81"/>
            <rFont val="Tahoma"/>
            <family val="2"/>
          </rPr>
          <t>Bench History:
13:26:21 - Clock Start
BP-1 13:27:00 150/Good
BP-2 13:27:24 - 160
13:42:40 - Clock Start
BP-2 13:43:07 160/Good
BP-3 13:43:20 - 165
13:57:41 - Clock Start
BP-3 13:58:08 165/Good</t>
        </r>
      </text>
    </comment>
    <comment ref="Y31" authorId="1" shapeId="0">
      <text>
        <r>
          <rPr>
            <sz val="8"/>
            <color indexed="81"/>
            <rFont val="Tahoma"/>
            <family val="2"/>
          </rPr>
          <t>Deadlift History:
14:53:05 - Clock Start
DL-1 14:53:21 240/Good
DL-2 14:53:36 - 260
15:07:18 - Clock Start
DL-2 15:07:35 -260/No-Lift
DL-3 15:07:47 - 260
15:19:42 - Clock Start
DL-3 15:19:59 -260/No-Lift</t>
        </r>
      </text>
    </comment>
    <comment ref="O32" authorId="1" shapeId="0">
      <text>
        <r>
          <rPr>
            <sz val="8"/>
            <color indexed="81"/>
            <rFont val="Tahoma"/>
            <family val="2"/>
          </rPr>
          <t>Squat History:
11:57:06 - Clock Start
SQ-1 11:57:32 220/Good
SQ-2 11:58:23 - 232,5
12:11:50 - Clock Start
SQ-2 12:12:19 232,5/Good
SQ-3 12:12:42 - 242,5
12:26:57 - Clock Start
SQ-3 12:27:30 -242,5/No-Lift</t>
        </r>
      </text>
    </comment>
    <comment ref="T32" authorId="1" shapeId="0">
      <text>
        <r>
          <rPr>
            <sz val="8"/>
            <color indexed="81"/>
            <rFont val="Tahoma"/>
            <family val="2"/>
          </rPr>
          <t>Bench History:
13:28:41 - Clock Start
BP-1 13:29:11 155/Good
BP-2 13:29:26 - 162,5
13:44:37 - Clock Start
BP-2 13:45:07 162,5/Good
BP-3 13:45:31 - 167,5
13:58:27 - Clock Start
BP-3 13:59:09 167,5/Good</t>
        </r>
      </text>
    </comment>
    <comment ref="Y32" authorId="1" shapeId="0">
      <text>
        <r>
          <rPr>
            <sz val="8"/>
            <color indexed="81"/>
            <rFont val="Tahoma"/>
            <family val="2"/>
          </rPr>
          <t>Deadlift History:
14:53:39 - Clock Start
DL-1 14:53:57 240/Good
DL-2 14:55:18 - 260
15:07:54 - Clock Start
DL-2 15:08:11 260/Good
DL-3 15:08:43 - 272,5
15:21:26 - Clock Start
DL-3 15:21:44 272,5/Good</t>
        </r>
      </text>
    </comment>
    <comment ref="O33" authorId="1" shapeId="0">
      <text>
        <r>
          <rPr>
            <sz val="8"/>
            <color indexed="81"/>
            <rFont val="Tahoma"/>
            <family val="2"/>
          </rPr>
          <t>Squat History:
11:58:26 - Clock Start
SQ-1 11:58:46 230/Good
SQ-2 11:59:16 - 240
12:12:49 - Clock Start
SQ-2 12:13:23 240/Good
SQ-3 12:13:56 - 250
12:28:15 - Clock Start
SQ-3 12:28:51 250/Good</t>
        </r>
      </text>
    </comment>
    <comment ref="T33" authorId="1" shapeId="0">
      <text>
        <r>
          <rPr>
            <sz val="8"/>
            <color indexed="81"/>
            <rFont val="Tahoma"/>
            <family val="2"/>
          </rPr>
          <t>Bench History:
13:25:17 - Clock Start
BP-1 13:25:51 150/Good
BP-2 13:26:17 - 157,5
13:41:41 - Clock Start
BP-2 13:42:15 157,5/Good
BP-3 13:42:30 - 165
13:56:23 - Clock Start
BP-3 13:57:07 165/Good</t>
        </r>
      </text>
    </comment>
    <comment ref="Y33" authorId="1" shapeId="0">
      <text>
        <r>
          <rPr>
            <sz val="8"/>
            <color indexed="81"/>
            <rFont val="Tahoma"/>
            <family val="2"/>
          </rPr>
          <t>Deadlift History:
DL-1 14:15:02 - 260
DL-1 14:54:09 260/Good
DL-1 14:54:46 - 260
14:55:20 - Clock Start
DL-1 14:55:52 260/Good
DL-2 14:55:58 - 285
15:08:52 - Clock Start
DL-2 15:09:23 285/Good
DL-3 15:09:34 - 300
15:22:41 - Clock Start
DL-3 15:23:18 -300/No-Lift</t>
        </r>
      </text>
    </comment>
    <comment ref="O34" authorId="1" shapeId="0">
      <text>
        <r>
          <rPr>
            <sz val="8"/>
            <color indexed="81"/>
            <rFont val="Tahoma"/>
            <family val="2"/>
          </rPr>
          <t xml:space="preserve">Squat History:
11:59:27 - Clock Start
SQ-1 11:59:57 280/Good
SQ-2 12:00:27 - 285
12:14:12 - Clock Start
SQ-2 12:14:43 285/Good
SQ-3 12:15:02 - 287,5
SQ-3 12:19:45 - </t>
        </r>
      </text>
    </comment>
    <comment ref="T34" authorId="1" shapeId="0">
      <text>
        <r>
          <rPr>
            <sz val="8"/>
            <color indexed="81"/>
            <rFont val="Tahoma"/>
            <family val="2"/>
          </rPr>
          <t>Bench History:
13:29:45 - Clock Start
BP-1 13:30:21 180/Good
BP-2 13:30:56 - 185
13:45:50 - Clock Start
BP-2 13:46:22 185/Good
BP-3 13:46:31 - 190
14:00:49 - Clock Start
BP-3 14:01:21 -190/No-Lift</t>
        </r>
      </text>
    </comment>
    <comment ref="Y34" authorId="1" shapeId="0">
      <text>
        <r>
          <rPr>
            <sz val="8"/>
            <color indexed="81"/>
            <rFont val="Tahoma"/>
            <family val="2"/>
          </rPr>
          <t xml:space="preserve">Deadlift History:
14:56:27 - Clock Start
DL-1 14:56:45 280/Good
DL-3 15:23:27 0/No-Lift
DL-3 17:05:30 - </t>
        </r>
      </text>
    </comment>
    <comment ref="O35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35" authorId="1" shapeId="0">
      <text>
        <r>
          <rPr>
            <sz val="8"/>
            <color indexed="81"/>
            <rFont val="Tahoma"/>
            <family val="2"/>
          </rPr>
          <t>Bench History:
10:34:57 - Clock Start
BP-1 10:35:32 47,5/Good
BP-2 10:35:48 - 50
10:45:16 - Clock Start
BP-2 10:45:49 50/Good
BP-3 10:46:10 - 52,5
10:55:00 - Clock Start
BP-3 10:55:35 -52,5/No-Lift</t>
        </r>
      </text>
    </comment>
    <comment ref="Y35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36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36" authorId="1" shapeId="0">
      <text>
        <r>
          <rPr>
            <sz val="8"/>
            <color indexed="81"/>
            <rFont val="Tahoma"/>
            <family val="2"/>
          </rPr>
          <t>Bench History:
10:36:22 - Clock Start
BP-1 10:36:58 60/Good
BP-2 10:37:33 - 65
10:46:27 - Clock Start
BP-2 10:47:00 65/Good
BP-3 10:47:30 - 70
10:56:16 - Clock Start
BP-3 10:56:49 -70/No-Lift</t>
        </r>
      </text>
    </comment>
    <comment ref="Y36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37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37" authorId="1" shapeId="0">
      <text>
        <r>
          <rPr>
            <sz val="8"/>
            <color indexed="81"/>
            <rFont val="Tahoma"/>
            <family val="2"/>
          </rPr>
          <t>Bench History:
BP-1 10:01:46 - 80
10:37:55 - Clock Start
BP-1 10:38:28 80/Good
BP-2 10:38:42 - 87,5
10:47:42 - Clock Start
BP-2 10:48:17 87,5/Good
BP-3 10:48:33 - 92,5
11:00:04 - Clock Start
BP-3 11:00:45 92,5/Good</t>
        </r>
      </text>
    </comment>
    <comment ref="Y37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3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38" authorId="1" shapeId="0">
      <text>
        <r>
          <rPr>
            <sz val="8"/>
            <color indexed="81"/>
            <rFont val="Tahoma"/>
            <family val="2"/>
          </rPr>
          <t>Bench History:
10:39:02 - Clock Start
BP-1 10:39:41 85/Good
BP-2 10:39:51 - 90
10:48:42 - Clock Start
BP-2 10:49:28 90/Good
BP-3 10:49:41 - 92,5
10:57:38 - Clock Start
BP-3 10:58:27 92,5/Good</t>
        </r>
      </text>
    </comment>
    <comment ref="Y3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39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39" authorId="1" shapeId="0">
      <text>
        <r>
          <rPr>
            <sz val="8"/>
            <color indexed="81"/>
            <rFont val="Tahoma"/>
            <family val="2"/>
          </rPr>
          <t>Bench History:
10:40:28 - Clock Start
BP-1 10:40:55 85/Good
BP-2 10:41:08 - 90
10:49:57 - Clock Start
BP-2 10:50:27 90/Good
BP-3 10:50:40 - 92,5
10:59:00 - Clock Start
BP-3 10:59:30 -92,5/No-Lift</t>
        </r>
      </text>
    </comment>
    <comment ref="Y39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40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40" authorId="1" shapeId="0">
      <text>
        <r>
          <rPr>
            <sz val="8"/>
            <color indexed="81"/>
            <rFont val="Tahoma"/>
            <family val="2"/>
          </rPr>
          <t>Bench History:
10:41:24 - Clock Start
BP-1 10:41:51 85/Good
BP-2 10:42:04 - 90
10:51:00 - Clock Start
BP-2 10:51:32 90/Good
BP-3 10:51:50 - 95
11:01:21 - Clock Start
BP-3 11:01:55 95/Good</t>
        </r>
      </text>
    </comment>
    <comment ref="Y4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41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41" authorId="1" shapeId="0">
      <text>
        <r>
          <rPr>
            <sz val="8"/>
            <color indexed="81"/>
            <rFont val="Tahoma"/>
            <family val="2"/>
          </rPr>
          <t>Bench History:
10:42:38 - Clock Start
BP-1 10:43:07 115/Good
BP-2 10:43:25 - 120
10:52:19 - Clock Start
BP-2 10:52:47 120/Good
BP-3 10:53:09 - 125
11:02:38 - Clock Start
BP-3 11:03:08 125/Good</t>
        </r>
      </text>
    </comment>
    <comment ref="Y4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42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42" authorId="1" shapeId="0">
      <text>
        <r>
          <rPr>
            <sz val="8"/>
            <color indexed="81"/>
            <rFont val="Tahoma"/>
            <family val="2"/>
          </rPr>
          <t>Bench History:
10:43:52 - Clock Start
BP-1 10:44:23 130/Good
BP-2 10:44:42 - 135
10:53:29 - Clock Start
BP-2 10:53:58 135/Good
BP-3 10:54:18 - 140
11:03:43 - Clock Start
BP-3 11:04:13 140/Good</t>
        </r>
      </text>
    </comment>
    <comment ref="Y42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<sst xmlns="http://schemas.openxmlformats.org/spreadsheetml/2006/main" count="955" uniqueCount="366">
  <si>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</si>
  <si>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</si>
  <si>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</si>
  <si>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</si>
  <si>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</si>
  <si>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</si>
  <si>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</si>
  <si>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</si>
  <si>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</si>
  <si>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</si>
  <si>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</si>
  <si>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</si>
  <si>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</si>
  <si>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</si>
  <si>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</si>
  <si>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</si>
  <si>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</si>
  <si>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</si>
  <si>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</si>
  <si>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</si>
  <si>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</si>
  <si>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</si>
  <si>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</si>
  <si>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</si>
  <si>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</si>
  <si>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</si>
  <si>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</si>
  <si>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</si>
  <si>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</si>
  <si>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</si>
  <si>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</si>
  <si>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</si>
  <si>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</si>
  <si>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</si>
  <si>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</si>
  <si>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</si>
  <si>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</si>
  <si>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</si>
  <si>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</si>
  <si>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</si>
  <si>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</si>
  <si>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</si>
  <si>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</si>
  <si>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</si>
  <si>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</si>
  <si>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</si>
  <si>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</si>
  <si>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</si>
  <si>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</si>
  <si>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</si>
  <si>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</si>
  <si>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</si>
  <si>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</si>
  <si>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</si>
  <si>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</si>
  <si>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</si>
  <si>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</si>
  <si>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</si>
  <si>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</si>
  <si>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</si>
  <si>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</si>
  <si>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</si>
  <si>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</si>
  <si>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</si>
  <si>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</si>
  <si>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</si>
  <si>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</si>
  <si>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</si>
  <si>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</si>
  <si>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</si>
  <si>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</si>
  <si>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</si>
  <si>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</si>
  <si>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</si>
  <si>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</si>
  <si>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</si>
  <si>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</si>
  <si>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</si>
  <si>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</si>
  <si>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</si>
  <si>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</si>
  <si>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</si>
  <si>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</si>
  <si>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</si>
  <si>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</si>
  <si>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</si>
  <si>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</si>
  <si>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</si>
  <si>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</si>
  <si>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</si>
  <si>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</si>
  <si>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</si>
  <si>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</si>
  <si>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</si>
  <si>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</si>
  <si>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</si>
  <si>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</si>
  <si>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</si>
  <si>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</si>
  <si>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</si>
  <si>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</si>
  <si>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</si>
  <si>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</si>
  <si>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</si>
  <si>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</si>
  <si>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</si>
  <si>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</si>
  <si>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</si>
  <si>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</si>
  <si>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</si>
  <si>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</si>
  <si>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</si>
  <si>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</si>
  <si>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</si>
  <si>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</si>
  <si>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</si>
  <si>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</si>
  <si>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</si>
  <si>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</si>
  <si>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</si>
  <si>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</si>
  <si>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</si>
  <si>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</si>
  <si>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</si>
  <si>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</si>
  <si>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</si>
  <si>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</si>
  <si>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</si>
  <si>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</si>
  <si>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</si>
  <si>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</si>
  <si>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</si>
  <si>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</si>
  <si>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</si>
  <si>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</si>
  <si>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</si>
  <si>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</si>
  <si>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</si>
  <si>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</si>
  <si>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</si>
  <si>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</si>
  <si>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</si>
  <si>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</si>
  <si>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</si>
  <si>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</si>
  <si>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</si>
  <si>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</si>
  <si>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</si>
  <si>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</si>
  <si>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</si>
  <si>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</si>
  <si>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</si>
  <si>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</si>
  <si>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</si>
  <si>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</si>
  <si>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</si>
  <si>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</si>
  <si>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</si>
  <si>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</si>
  <si>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</si>
  <si>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</si>
  <si>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</si>
  <si>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</si>
  <si>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</si>
  <si>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</si>
  <si>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</si>
  <si>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</si>
  <si>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</si>
  <si>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</si>
  <si>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</si>
  <si>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</si>
  <si>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</si>
  <si>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</si>
  <si>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</si>
  <si>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</si>
  <si>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</si>
  <si>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</si>
  <si>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</si>
  <si>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</si>
  <si>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</si>
  <si>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</si>
  <si>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</si>
  <si>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</si>
  <si>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</si>
  <si>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</si>
  <si>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Age-Wilks</t>
  </si>
  <si>
    <t>Wilks</t>
  </si>
  <si>
    <t>Born</t>
  </si>
  <si>
    <t>Grupp</t>
  </si>
  <si>
    <t>Lott</t>
  </si>
  <si>
    <t>Namn</t>
  </si>
  <si>
    <t>Klubb</t>
  </si>
  <si>
    <t>KV</t>
  </si>
  <si>
    <t>KB 1</t>
  </si>
  <si>
    <t>KB 2</t>
  </si>
  <si>
    <t>KB 3</t>
  </si>
  <si>
    <t>BP 1</t>
  </si>
  <si>
    <t>BP 2</t>
  </si>
  <si>
    <t>BP 3</t>
  </si>
  <si>
    <t>ML 1</t>
  </si>
  <si>
    <t>ML 2</t>
  </si>
  <si>
    <t>ML 3</t>
  </si>
  <si>
    <t>Total</t>
  </si>
  <si>
    <t>Is the next attempt at the beginning of next round?</t>
  </si>
  <si>
    <t>Rack Heights</t>
  </si>
  <si>
    <t>Squat?</t>
  </si>
  <si>
    <t>Bench?</t>
  </si>
  <si>
    <t>Current lifter birthdate</t>
  </si>
  <si>
    <t>Current lifter class</t>
  </si>
  <si>
    <t>Current lifter birthdate and class</t>
  </si>
  <si>
    <t>yyyy-mm-dd</t>
  </si>
  <si>
    <t>VAIS</t>
  </si>
  <si>
    <t>BAK</t>
  </si>
  <si>
    <t>SKS</t>
  </si>
  <si>
    <t>SKK</t>
  </si>
  <si>
    <t>Borås AK</t>
  </si>
  <si>
    <t>Sommarhemmets KS</t>
  </si>
  <si>
    <t>Skövde KK</t>
  </si>
  <si>
    <t>FTK</t>
  </si>
  <si>
    <t>Falköpings TK</t>
  </si>
  <si>
    <t>M-EQ</t>
  </si>
  <si>
    <t>Equipped Men</t>
  </si>
  <si>
    <t>M-BL</t>
  </si>
  <si>
    <t>F-BL</t>
  </si>
  <si>
    <t>Vedum AIS</t>
  </si>
  <si>
    <t>Föreningen Pure Power</t>
  </si>
  <si>
    <t>Tävlingsprotokoll styrkelyft och bänkpress</t>
  </si>
  <si>
    <t>Arrangör:</t>
  </si>
  <si>
    <t>Ort:</t>
  </si>
  <si>
    <t>Arrangemang:</t>
  </si>
  <si>
    <t>Datum:</t>
  </si>
  <si>
    <t>Rekord markeras med en ring</t>
  </si>
  <si>
    <t>KNÄBÖJ</t>
  </si>
  <si>
    <t>BÄNKPRESS</t>
  </si>
  <si>
    <t>MARKLYFT</t>
  </si>
  <si>
    <t>Kl/Utr</t>
  </si>
  <si>
    <t>Licens</t>
  </si>
  <si>
    <t>Vikt</t>
  </si>
  <si>
    <t>Förening</t>
  </si>
  <si>
    <t>1.</t>
  </si>
  <si>
    <t>2.</t>
  </si>
  <si>
    <t>3.</t>
  </si>
  <si>
    <t>Godk</t>
  </si>
  <si>
    <t>HD</t>
  </si>
  <si>
    <t>bok nr</t>
  </si>
  <si>
    <t>Tävl.sekr</t>
  </si>
  <si>
    <t>SD</t>
  </si>
  <si>
    <t>Speaker</t>
  </si>
  <si>
    <t>Jury</t>
  </si>
  <si>
    <t>Tävl.led</t>
  </si>
  <si>
    <t>TK</t>
  </si>
  <si>
    <t>7/5a</t>
  </si>
  <si>
    <t>6/3a</t>
  </si>
  <si>
    <t>Isabelle Karlsson</t>
  </si>
  <si>
    <t>Johanna Jilsén</t>
  </si>
  <si>
    <t>Martin Krisell</t>
  </si>
  <si>
    <t>7/4</t>
  </si>
  <si>
    <t>Mikael Jansson</t>
  </si>
  <si>
    <t>Rack:</t>
  </si>
  <si>
    <t>MAK</t>
  </si>
  <si>
    <t>Muskel AK</t>
  </si>
  <si>
    <t>FAK</t>
  </si>
  <si>
    <t>Fysiken AK</t>
  </si>
  <si>
    <t>Serieomgång 1</t>
  </si>
  <si>
    <t>Sandra Eisenberg</t>
  </si>
  <si>
    <t>6/6</t>
  </si>
  <si>
    <t>Lisa Heller</t>
  </si>
  <si>
    <t>7/7</t>
  </si>
  <si>
    <t>Ellen Kerkelä</t>
  </si>
  <si>
    <t>6/7</t>
  </si>
  <si>
    <t>7/6</t>
  </si>
  <si>
    <t>Sandra Jakobsson</t>
  </si>
  <si>
    <t>5/6</t>
  </si>
  <si>
    <t>Beatrice Berthner</t>
  </si>
  <si>
    <t>4/3a</t>
  </si>
  <si>
    <t>Victor Eryd</t>
  </si>
  <si>
    <t>10/7</t>
  </si>
  <si>
    <t>Pelle Arve</t>
  </si>
  <si>
    <t>10/4</t>
  </si>
  <si>
    <t>Nathalie Pahlenstam</t>
  </si>
  <si>
    <t>Johanna Wallberg</t>
  </si>
  <si>
    <t>Frida Gustavsson</t>
  </si>
  <si>
    <t>10/6</t>
  </si>
  <si>
    <t>Ronja Andersson</t>
  </si>
  <si>
    <t>Elsa Karlsson</t>
  </si>
  <si>
    <t>Caroline Sandberg</t>
  </si>
  <si>
    <t>7/6a</t>
  </si>
  <si>
    <t>Emma Giaever</t>
  </si>
  <si>
    <t>Jenny Bohlin</t>
  </si>
  <si>
    <t>Cecilia Thulin</t>
  </si>
  <si>
    <t>7/5</t>
  </si>
  <si>
    <t>Filip Landström</t>
  </si>
  <si>
    <t>9/3a</t>
  </si>
  <si>
    <t>Simon Andersson</t>
  </si>
  <si>
    <t>Magnus Carlsson</t>
  </si>
  <si>
    <t>9/5a</t>
  </si>
  <si>
    <t>Klaes Petersson</t>
  </si>
  <si>
    <t>12/8a</t>
  </si>
  <si>
    <t>Victor Ståhl</t>
  </si>
  <si>
    <t>9/6</t>
  </si>
  <si>
    <t>Viktor Mattsson</t>
  </si>
  <si>
    <t>Kenny Johansson</t>
  </si>
  <si>
    <t>Calle Öberg</t>
  </si>
  <si>
    <t>Björn Bondemark</t>
  </si>
  <si>
    <t>8/7</t>
  </si>
  <si>
    <t>Henrik Hermansson</t>
  </si>
  <si>
    <t>Valentino Almhage</t>
  </si>
  <si>
    <t>8/4</t>
  </si>
  <si>
    <t>Albin Björkman</t>
  </si>
  <si>
    <t>7/3</t>
  </si>
  <si>
    <t>Philip Torgersson</t>
  </si>
  <si>
    <t>Kennedy Wandera</t>
  </si>
  <si>
    <t>11/4</t>
  </si>
  <si>
    <t>Kl</t>
  </si>
  <si>
    <t>1-F-BL-PL</t>
  </si>
  <si>
    <t>2-F-BL-PL</t>
  </si>
  <si>
    <t>3-F-BL-PL</t>
  </si>
  <si>
    <t>4-F-BL-PL</t>
  </si>
  <si>
    <t>5-F-BL-PL</t>
  </si>
  <si>
    <t>6-F-BL-PL</t>
  </si>
  <si>
    <t>7-F-BL-PL</t>
  </si>
  <si>
    <t>8-F-BL-PL</t>
  </si>
  <si>
    <t>9-F-BL-PL</t>
  </si>
  <si>
    <t>10-F-BL-PL</t>
  </si>
  <si>
    <t>1-M-BL-PL</t>
  </si>
  <si>
    <t>2-M-BL-PL</t>
  </si>
  <si>
    <t>3-M-BL-PL</t>
  </si>
  <si>
    <t>4-M-BL-PL</t>
  </si>
  <si>
    <t>5-M-BL-PL</t>
  </si>
  <si>
    <t>6-M-BL-PL</t>
  </si>
  <si>
    <t>7-M-BL-PL</t>
  </si>
  <si>
    <t>8-M-BL-PL</t>
  </si>
  <si>
    <t>9-M-BL-PL</t>
  </si>
  <si>
    <t>10-M-BL-PL</t>
  </si>
  <si>
    <t>11-M-BL-PL</t>
  </si>
  <si>
    <t>12-M-BL-PL</t>
  </si>
  <si>
    <t>13-M-BL-PL</t>
  </si>
  <si>
    <t>14-M-BL-PL</t>
  </si>
  <si>
    <t>15-M-BL-PL</t>
  </si>
  <si>
    <t>16-M-BL-PL</t>
  </si>
  <si>
    <t>Bench Press Results Name</t>
  </si>
  <si>
    <t>1-F-BL-BP</t>
  </si>
  <si>
    <t>2-F-BL-BP</t>
  </si>
  <si>
    <t>3-F-BL-BP</t>
  </si>
  <si>
    <t>4-F-BL-BP</t>
  </si>
  <si>
    <t>5-F-BL-BP</t>
  </si>
  <si>
    <t>6-F-BL-BP</t>
  </si>
  <si>
    <t>1-M-BL-BP</t>
  </si>
  <si>
    <t>2-M-BL-BP</t>
  </si>
  <si>
    <t>VSK</t>
  </si>
  <si>
    <t>Vagnhallen SK</t>
  </si>
  <si>
    <t>930930fg</t>
  </si>
  <si>
    <t>880123ct</t>
  </si>
  <si>
    <t>000815ek</t>
  </si>
  <si>
    <t>001119fl</t>
  </si>
  <si>
    <t>950406np</t>
  </si>
  <si>
    <t>970124ra</t>
  </si>
  <si>
    <t>990525sa</t>
  </si>
  <si>
    <t>890322eg</t>
  </si>
  <si>
    <t>911122ik</t>
  </si>
  <si>
    <t>940525cs</t>
  </si>
  <si>
    <t>000225jw</t>
  </si>
  <si>
    <t>921130jb</t>
  </si>
  <si>
    <t>Ctrl + Shift +</t>
  </si>
  <si>
    <t>Next Grp</t>
  </si>
  <si>
    <t>Grp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</si>
</sst>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7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4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28"/>
      <name val="Arial"/>
      <family val="2"/>
    </font>
    <font>
      <sz val="32"/>
      <name val="Arial"/>
      <family val="2"/>
    </font>
    <font>
      <sz val="24"/>
      <name val="Arial"/>
      <family val="2"/>
    </font>
    <font>
      <sz val="16"/>
      <name val="Arial"/>
      <family val="2"/>
    </font>
    <font>
      <sz val="60"/>
      <name val="Arial"/>
      <family val="2"/>
    </font>
    <font>
      <sz val="11"/>
      <name val="Arial"/>
      <family val="2"/>
    </font>
    <font>
      <sz val="6"/>
      <color indexed="23"/>
      <name val="Arial"/>
      <family val="2"/>
    </font>
    <font>
      <sz val="72"/>
      <name val="Arial"/>
      <family val="2"/>
    </font>
    <font>
      <sz val="48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trike/>
      <sz val="10"/>
      <color indexed="9"/>
      <name val="Arial"/>
      <family val="2"/>
    </font>
    <font>
      <sz val="9"/>
      <name val="Calibri"/>
      <family val="2"/>
      <scheme val="minor"/>
    </font>
    <font>
      <sz val="82"/>
      <name val="Arial"/>
      <family val="2"/>
    </font>
    <font>
      <sz val="36"/>
      <name val="Arial"/>
      <family val="2"/>
    </font>
    <font>
      <sz val="22"/>
      <name val="Arial"/>
      <family val="2"/>
    </font>
    <font>
      <sz val="26"/>
      <name val="Arial"/>
      <family val="2"/>
    </font>
    <font>
      <sz val="24"/>
      <color theme="0"/>
      <name val="Arial"/>
      <family val="2"/>
    </font>
    <font>
      <sz val="22"/>
      <color theme="1"/>
      <name val="Arial"/>
      <family val="2"/>
    </font>
    <font>
      <sz val="26"/>
      <color theme="1"/>
      <name val="Arial"/>
      <family val="2"/>
    </font>
    <font>
      <sz val="5"/>
      <color theme="0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indexed="64"/>
      </top>
      <bottom/>
      <diagonal/>
    </border>
    <border>
      <left style="thin">
        <color theme="1" tint="0.499984740745262"/>
      </left>
      <right/>
      <top style="thin">
        <color theme="1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432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3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5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3" fillId="2" borderId="10" xfId="0" applyFont="1" applyFill="1" applyBorder="1" applyAlignment="1">
      <alignment horizontal="center" wrapText="1"/>
    </xf>
    <xf numFmtId="0" fontId="3" fillId="2" borderId="11" xfId="0" applyFont="1" applyFill="1" applyBorder="1" applyAlignment="1">
      <alignment horizontal="center" wrapText="1"/>
    </xf>
    <xf numFmtId="0" fontId="9" fillId="8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11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9" fillId="9" borderId="1" xfId="0" applyFont="1" applyFill="1" applyBorder="1" applyAlignment="1">
      <alignment horizontal="center" wrapText="1"/>
    </xf>
    <xf numFmtId="0" fontId="9" fillId="0" borderId="0" xfId="0" applyFont="1" applyBorder="1"/>
    <xf numFmtId="0" fontId="0" fillId="0" borderId="0" xfId="0" applyBorder="1"/>
    <xf numFmtId="168" fontId="2" fillId="0" borderId="0" xfId="0" applyNumberFormat="1" applyFont="1" applyFill="1" applyBorder="1" applyAlignment="1" applyProtection="1">
      <alignment horizontal="center"/>
      <protection hidden="1"/>
    </xf>
    <xf numFmtId="0" fontId="9" fillId="9" borderId="12" xfId="0" applyFont="1" applyFill="1" applyBorder="1" applyAlignment="1">
      <alignment horizontal="center" wrapText="1"/>
    </xf>
    <xf numFmtId="0" fontId="9" fillId="9" borderId="11" xfId="0" applyFont="1" applyFill="1" applyBorder="1" applyAlignment="1">
      <alignment horizontal="center" wrapText="1"/>
    </xf>
    <xf numFmtId="0" fontId="3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167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1" xfId="0" applyFont="1" applyFill="1" applyBorder="1" applyAlignment="1">
      <alignment horizontal="center"/>
    </xf>
    <xf numFmtId="0" fontId="16" fillId="0" borderId="1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/>
    </xf>
    <xf numFmtId="0" fontId="17" fillId="4" borderId="14" xfId="0" applyFont="1" applyFill="1" applyBorder="1" applyAlignment="1">
      <alignment horizontal="center" vertical="center"/>
    </xf>
    <xf numFmtId="0" fontId="18" fillId="5" borderId="14" xfId="0" applyFont="1" applyFill="1" applyBorder="1" applyAlignment="1">
      <alignment horizontal="center" vertical="center"/>
    </xf>
    <xf numFmtId="0" fontId="18" fillId="6" borderId="14" xfId="0" applyFont="1" applyFill="1" applyBorder="1" applyAlignment="1">
      <alignment horizontal="center" vertical="center"/>
    </xf>
    <xf numFmtId="0" fontId="17" fillId="7" borderId="14" xfId="0" applyFont="1" applyFill="1" applyBorder="1" applyAlignment="1">
      <alignment horizontal="center" vertical="center"/>
    </xf>
    <xf numFmtId="0" fontId="17" fillId="11" borderId="14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9" fillId="0" borderId="1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3" fillId="7" borderId="5" xfId="0" applyFont="1" applyFill="1" applyBorder="1" applyAlignment="1">
      <alignment horizontal="center"/>
    </xf>
    <xf numFmtId="0" fontId="3" fillId="11" borderId="5" xfId="0" applyFont="1" applyFill="1" applyBorder="1" applyAlignment="1">
      <alignment horizontal="center"/>
    </xf>
    <xf numFmtId="0" fontId="9" fillId="0" borderId="0" xfId="0" applyFont="1"/>
    <xf numFmtId="0" fontId="3" fillId="0" borderId="5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3" fillId="0" borderId="6" xfId="0" applyFont="1" applyFill="1" applyBorder="1" applyAlignment="1" applyProtection="1">
      <alignment horizontal="center"/>
      <protection locked="0"/>
    </xf>
    <xf numFmtId="0" fontId="13" fillId="0" borderId="7" xfId="0" applyFont="1" applyFill="1" applyBorder="1" applyAlignment="1" applyProtection="1">
      <alignment horizontal="center"/>
      <protection locked="0"/>
    </xf>
    <xf numFmtId="0" fontId="0" fillId="2" borderId="16" xfId="0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20" fillId="0" borderId="0" xfId="0" applyFont="1" applyFill="1"/>
    <xf numFmtId="0" fontId="20" fillId="0" borderId="0" xfId="0" applyFont="1" applyFill="1" applyAlignment="1">
      <alignment horizontal="center"/>
    </xf>
    <xf numFmtId="0" fontId="8" fillId="0" borderId="0" xfId="0" applyFont="1" applyFill="1"/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Fill="1"/>
    <xf numFmtId="0" fontId="20" fillId="0" borderId="0" xfId="0" applyFont="1" applyFill="1" applyAlignment="1">
      <alignment horizontal="left"/>
    </xf>
    <xf numFmtId="0" fontId="20" fillId="0" borderId="0" xfId="0" applyFont="1" applyFill="1" applyAlignment="1">
      <alignment horizontal="center" shrinkToFit="1"/>
    </xf>
    <xf numFmtId="167" fontId="20" fillId="0" borderId="0" xfId="0" applyNumberFormat="1" applyFont="1" applyFill="1" applyAlignment="1">
      <alignment horizontal="center"/>
    </xf>
    <xf numFmtId="0" fontId="9" fillId="0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>
      <protection locked="0"/>
    </xf>
    <xf numFmtId="0" fontId="8" fillId="0" borderId="0" xfId="0" applyFont="1" applyFill="1" applyAlignment="1">
      <alignment horizontal="center"/>
    </xf>
    <xf numFmtId="0" fontId="20" fillId="0" borderId="0" xfId="0" applyFont="1" applyFill="1" applyAlignment="1">
      <alignment horizontal="right"/>
    </xf>
    <xf numFmtId="0" fontId="11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0" borderId="0" xfId="0" applyFill="1" applyAlignment="1"/>
    <xf numFmtId="0" fontId="2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25" fillId="0" borderId="0" xfId="0" applyFont="1" applyBorder="1" applyAlignment="1" applyProtection="1">
      <alignment horizontal="center"/>
      <protection locked="0"/>
    </xf>
    <xf numFmtId="49" fontId="25" fillId="0" borderId="0" xfId="0" applyNumberFormat="1" applyFont="1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</xf>
    <xf numFmtId="0" fontId="26" fillId="0" borderId="0" xfId="0" applyFont="1" applyProtection="1"/>
    <xf numFmtId="0" fontId="27" fillId="2" borderId="19" xfId="0" applyFont="1" applyFill="1" applyBorder="1" applyAlignment="1" applyProtection="1">
      <alignment horizontal="center"/>
      <protection locked="0"/>
    </xf>
    <xf numFmtId="0" fontId="27" fillId="2" borderId="19" xfId="0" applyFont="1" applyFill="1" applyBorder="1" applyAlignment="1" applyProtection="1">
      <alignment horizontal="center" wrapText="1"/>
      <protection locked="0"/>
    </xf>
    <xf numFmtId="49" fontId="27" fillId="2" borderId="19" xfId="0" applyNumberFormat="1" applyFont="1" applyFill="1" applyBorder="1" applyAlignment="1" applyProtection="1">
      <alignment horizontal="center" wrapText="1"/>
      <protection locked="0"/>
    </xf>
    <xf numFmtId="0" fontId="27" fillId="2" borderId="3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horizontal="center" vertical="center" wrapText="1"/>
    </xf>
    <xf numFmtId="0" fontId="25" fillId="0" borderId="1" xfId="0" applyFont="1" applyBorder="1" applyAlignment="1" applyProtection="1">
      <alignment horizontal="center"/>
      <protection locked="0"/>
    </xf>
    <xf numFmtId="49" fontId="25" fillId="0" borderId="1" xfId="0" applyNumberFormat="1" applyFont="1" applyBorder="1" applyAlignment="1" applyProtection="1">
      <alignment horizontal="center"/>
      <protection locked="0"/>
    </xf>
    <xf numFmtId="0" fontId="26" fillId="0" borderId="0" xfId="0" applyFont="1" applyProtection="1">
      <protection locked="0"/>
    </xf>
    <xf numFmtId="0" fontId="26" fillId="0" borderId="0" xfId="0" applyFont="1" applyAlignment="1" applyProtection="1">
      <alignment horizontal="center"/>
      <protection locked="0"/>
    </xf>
    <xf numFmtId="0" fontId="3" fillId="2" borderId="19" xfId="0" applyFont="1" applyFill="1" applyBorder="1" applyAlignment="1" applyProtection="1">
      <alignment horizontal="center" wrapText="1"/>
      <protection locked="0"/>
    </xf>
    <xf numFmtId="0" fontId="29" fillId="0" borderId="0" xfId="0" applyFont="1" applyBorder="1"/>
    <xf numFmtId="0" fontId="29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49" fontId="29" fillId="0" borderId="0" xfId="0" applyNumberFormat="1" applyFont="1" applyBorder="1" applyAlignment="1">
      <alignment horizontal="center"/>
    </xf>
    <xf numFmtId="167" fontId="29" fillId="0" borderId="0" xfId="0" applyNumberFormat="1" applyFont="1" applyBorder="1"/>
    <xf numFmtId="0" fontId="31" fillId="0" borderId="0" xfId="0" applyFont="1" applyBorder="1" applyAlignment="1">
      <alignment horizontal="center"/>
    </xf>
    <xf numFmtId="0" fontId="29" fillId="0" borderId="0" xfId="0" applyFont="1" applyBorder="1" applyAlignment="1">
      <alignment horizontal="center" wrapText="1"/>
    </xf>
    <xf numFmtId="1" fontId="29" fillId="0" borderId="0" xfId="0" applyNumberFormat="1" applyFont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 wrapText="1"/>
    </xf>
    <xf numFmtId="0" fontId="33" fillId="11" borderId="0" xfId="0" applyFont="1" applyFill="1" applyBorder="1" applyAlignment="1">
      <alignment horizontal="center" vertical="center"/>
    </xf>
    <xf numFmtId="166" fontId="29" fillId="0" borderId="0" xfId="0" applyNumberFormat="1" applyFont="1" applyBorder="1" applyAlignment="1">
      <alignment horizontal="center"/>
    </xf>
    <xf numFmtId="0" fontId="29" fillId="0" borderId="1" xfId="0" applyFont="1" applyBorder="1"/>
    <xf numFmtId="0" fontId="36" fillId="0" borderId="0" xfId="0" applyFont="1" applyBorder="1" applyAlignment="1">
      <alignment horizontal="center"/>
    </xf>
    <xf numFmtId="169" fontId="29" fillId="0" borderId="0" xfId="0" applyNumberFormat="1" applyFont="1" applyBorder="1"/>
    <xf numFmtId="0" fontId="33" fillId="0" borderId="0" xfId="0" applyFont="1" applyBorder="1" applyAlignment="1">
      <alignment horizontal="center"/>
    </xf>
    <xf numFmtId="169" fontId="32" fillId="2" borderId="0" xfId="0" applyNumberFormat="1" applyFont="1" applyFill="1" applyBorder="1" applyAlignment="1">
      <alignment horizontal="center"/>
    </xf>
    <xf numFmtId="0" fontId="29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 wrapText="1"/>
    </xf>
    <xf numFmtId="0" fontId="32" fillId="2" borderId="0" xfId="0" applyFont="1" applyFill="1" applyBorder="1" applyAlignment="1">
      <alignment horizontal="center"/>
    </xf>
    <xf numFmtId="0" fontId="32" fillId="2" borderId="0" xfId="0" applyFont="1" applyFill="1" applyBorder="1"/>
    <xf numFmtId="0" fontId="29" fillId="0" borderId="1" xfId="0" applyFont="1" applyFill="1" applyBorder="1"/>
    <xf numFmtId="0" fontId="29" fillId="0" borderId="1" xfId="0" applyFont="1" applyBorder="1" applyAlignment="1">
      <alignment horizontal="center"/>
    </xf>
    <xf numFmtId="169" fontId="29" fillId="0" borderId="0" xfId="0" applyNumberFormat="1" applyFont="1" applyBorder="1" applyAlignment="1">
      <alignment horizontal="center"/>
    </xf>
    <xf numFmtId="166" fontId="32" fillId="2" borderId="0" xfId="0" applyNumberFormat="1" applyFont="1" applyFill="1" applyBorder="1" applyAlignment="1">
      <alignment horizontal="center" vertical="center" wrapText="1"/>
    </xf>
    <xf numFmtId="0" fontId="29" fillId="0" borderId="0" xfId="0" applyFont="1" applyBorder="1" applyAlignment="1"/>
    <xf numFmtId="0" fontId="37" fillId="0" borderId="2" xfId="0" applyFont="1" applyFill="1" applyBorder="1" applyAlignment="1">
      <alignment horizontal="center" vertical="center" shrinkToFit="1"/>
    </xf>
    <xf numFmtId="0" fontId="37" fillId="0" borderId="3" xfId="0" applyFont="1" applyFill="1" applyBorder="1" applyAlignment="1">
      <alignment horizontal="center" vertical="center" shrinkToFit="1"/>
    </xf>
    <xf numFmtId="0" fontId="37" fillId="0" borderId="4" xfId="0" applyFont="1" applyFill="1" applyBorder="1" applyAlignment="1">
      <alignment horizontal="center" vertical="center" shrinkToFit="1"/>
    </xf>
    <xf numFmtId="0" fontId="38" fillId="0" borderId="5" xfId="0" applyFont="1" applyFill="1" applyBorder="1" applyAlignment="1">
      <alignment horizontal="center" vertical="center" wrapText="1"/>
    </xf>
    <xf numFmtId="0" fontId="32" fillId="0" borderId="5" xfId="0" applyFont="1" applyFill="1" applyBorder="1" applyAlignment="1">
      <alignment horizontal="center" vertical="center" wrapText="1"/>
    </xf>
    <xf numFmtId="0" fontId="29" fillId="0" borderId="5" xfId="0" applyFont="1" applyFill="1" applyBorder="1"/>
    <xf numFmtId="0" fontId="29" fillId="0" borderId="5" xfId="0" applyNumberFormat="1" applyFont="1" applyFill="1" applyBorder="1" applyAlignment="1">
      <alignment horizontal="center"/>
    </xf>
    <xf numFmtId="0" fontId="29" fillId="0" borderId="5" xfId="0" applyFont="1" applyFill="1" applyBorder="1" applyAlignment="1">
      <alignment horizontal="center"/>
    </xf>
    <xf numFmtId="0" fontId="30" fillId="0" borderId="5" xfId="0" applyFont="1" applyFill="1" applyBorder="1" applyAlignment="1">
      <alignment horizontal="center"/>
    </xf>
    <xf numFmtId="49" fontId="29" fillId="0" borderId="5" xfId="0" applyNumberFormat="1" applyFont="1" applyFill="1" applyBorder="1" applyAlignment="1">
      <alignment horizontal="center"/>
    </xf>
    <xf numFmtId="0" fontId="29" fillId="0" borderId="40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9" fillId="0" borderId="4" xfId="0" applyFont="1" applyFill="1" applyBorder="1" applyAlignment="1">
      <alignment horizontal="center"/>
    </xf>
    <xf numFmtId="167" fontId="29" fillId="0" borderId="5" xfId="0" applyNumberFormat="1" applyFont="1" applyFill="1" applyBorder="1"/>
    <xf numFmtId="0" fontId="31" fillId="0" borderId="5" xfId="0" applyFont="1" applyFill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169" fontId="29" fillId="0" borderId="5" xfId="0" applyNumberFormat="1" applyFont="1" applyFill="1" applyBorder="1" applyAlignment="1">
      <alignment horizontal="center"/>
    </xf>
    <xf numFmtId="0" fontId="32" fillId="2" borderId="5" xfId="0" applyFont="1" applyFill="1" applyBorder="1" applyAlignment="1">
      <alignment horizontal="center"/>
    </xf>
    <xf numFmtId="0" fontId="32" fillId="2" borderId="5" xfId="0" applyFont="1" applyFill="1" applyBorder="1"/>
    <xf numFmtId="166" fontId="29" fillId="0" borderId="5" xfId="0" applyNumberFormat="1" applyFont="1" applyFill="1" applyBorder="1" applyAlignment="1">
      <alignment horizontal="center"/>
    </xf>
    <xf numFmtId="0" fontId="39" fillId="10" borderId="1" xfId="0" applyFont="1" applyFill="1" applyBorder="1" applyAlignment="1" applyProtection="1">
      <alignment horizontal="center" vertical="center" wrapText="1"/>
      <protection locked="0"/>
    </xf>
    <xf numFmtId="0" fontId="32" fillId="2" borderId="1" xfId="0" applyFont="1" applyFill="1" applyBorder="1" applyAlignment="1">
      <alignment vertical="center"/>
    </xf>
    <xf numFmtId="0" fontId="32" fillId="2" borderId="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vertical="center" wrapText="1"/>
    </xf>
    <xf numFmtId="0" fontId="32" fillId="2" borderId="1" xfId="0" applyNumberFormat="1" applyFont="1" applyFill="1" applyBorder="1" applyAlignment="1">
      <alignment horizontal="center" vertical="center" wrapText="1"/>
    </xf>
    <xf numFmtId="49" fontId="32" fillId="2" borderId="1" xfId="0" applyNumberFormat="1" applyFont="1" applyFill="1" applyBorder="1" applyAlignment="1">
      <alignment horizontal="center" vertical="center" wrapText="1"/>
    </xf>
    <xf numFmtId="0" fontId="32" fillId="2" borderId="2" xfId="0" applyFont="1" applyFill="1" applyBorder="1" applyAlignment="1">
      <alignment horizontal="center" vertical="center" wrapText="1"/>
    </xf>
    <xf numFmtId="0" fontId="32" fillId="2" borderId="3" xfId="0" applyFont="1" applyFill="1" applyBorder="1" applyAlignment="1">
      <alignment horizontal="center" vertical="center" wrapText="1"/>
    </xf>
    <xf numFmtId="0" fontId="40" fillId="2" borderId="1" xfId="0" applyFont="1" applyFill="1" applyBorder="1" applyAlignment="1">
      <alignment horizontal="center" vertical="center" wrapText="1"/>
    </xf>
    <xf numFmtId="167" fontId="41" fillId="2" borderId="1" xfId="0" applyNumberFormat="1" applyFont="1" applyFill="1" applyBorder="1" applyAlignment="1">
      <alignment horizontal="center" vertical="center" wrapText="1"/>
    </xf>
    <xf numFmtId="0" fontId="41" fillId="2" borderId="1" xfId="0" applyFont="1" applyFill="1" applyBorder="1" applyAlignment="1">
      <alignment horizontal="center" vertical="center" wrapText="1"/>
    </xf>
    <xf numFmtId="0" fontId="42" fillId="2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 wrapText="1"/>
    </xf>
    <xf numFmtId="166" fontId="32" fillId="2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1" xfId="0" applyFont="1" applyBorder="1" applyAlignment="1" applyProtection="1">
      <alignment shrinkToFit="1"/>
      <protection locked="0"/>
    </xf>
    <xf numFmtId="0" fontId="29" fillId="0" borderId="1" xfId="0" applyFont="1" applyBorder="1" applyAlignment="1" applyProtection="1">
      <alignment horizontal="center" shrinkToFit="1"/>
      <protection locked="0"/>
    </xf>
    <xf numFmtId="164" fontId="29" fillId="0" borderId="1" xfId="0" applyNumberFormat="1" applyFont="1" applyBorder="1" applyAlignment="1">
      <alignment shrinkToFit="1"/>
    </xf>
    <xf numFmtId="0" fontId="29" fillId="0" borderId="1" xfId="0" applyNumberFormat="1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horizontal="center"/>
      <protection locked="0"/>
    </xf>
    <xf numFmtId="0" fontId="29" fillId="2" borderId="1" xfId="0" applyFont="1" applyFill="1" applyBorder="1" applyAlignment="1" applyProtection="1">
      <alignment horizontal="center" shrinkToFit="1"/>
    </xf>
    <xf numFmtId="49" fontId="29" fillId="0" borderId="1" xfId="0" applyNumberFormat="1" applyFont="1" applyBorder="1" applyAlignment="1" applyProtection="1">
      <alignment horizontal="center"/>
      <protection locked="0"/>
    </xf>
    <xf numFmtId="0" fontId="29" fillId="0" borderId="2" xfId="0" applyFont="1" applyBorder="1" applyAlignment="1" applyProtection="1">
      <alignment horizontal="center"/>
      <protection locked="0"/>
    </xf>
    <xf numFmtId="0" fontId="29" fillId="2" borderId="3" xfId="0" applyFont="1" applyFill="1" applyBorder="1" applyAlignment="1" applyProtection="1">
      <alignment horizontal="center" shrinkToFit="1"/>
    </xf>
    <xf numFmtId="167" fontId="29" fillId="2" borderId="1" xfId="0" applyNumberFormat="1" applyFont="1" applyFill="1" applyBorder="1" applyAlignment="1" applyProtection="1">
      <alignment horizontal="center"/>
    </xf>
    <xf numFmtId="0" fontId="29" fillId="0" borderId="1" xfId="0" applyFont="1" applyBorder="1" applyAlignment="1">
      <alignment horizontal="center" shrinkToFit="1"/>
    </xf>
    <xf numFmtId="167" fontId="31" fillId="2" borderId="1" xfId="0" applyNumberFormat="1" applyFont="1" applyFill="1" applyBorder="1" applyAlignment="1">
      <alignment horizontal="center"/>
    </xf>
    <xf numFmtId="0" fontId="31" fillId="0" borderId="1" xfId="0" applyFont="1" applyBorder="1" applyAlignment="1">
      <alignment horizontal="center"/>
    </xf>
    <xf numFmtId="169" fontId="29" fillId="0" borderId="1" xfId="0" applyNumberFormat="1" applyFont="1" applyBorder="1"/>
    <xf numFmtId="0" fontId="43" fillId="0" borderId="1" xfId="0" applyFont="1" applyBorder="1" applyAlignment="1">
      <alignment horizontal="center"/>
    </xf>
    <xf numFmtId="166" fontId="29" fillId="0" borderId="1" xfId="0" applyNumberFormat="1" applyFont="1" applyBorder="1" applyAlignment="1">
      <alignment horizontal="center"/>
    </xf>
    <xf numFmtId="0" fontId="29" fillId="0" borderId="1" xfId="0" applyFont="1" applyBorder="1" applyAlignment="1"/>
    <xf numFmtId="0" fontId="29" fillId="0" borderId="1" xfId="0" applyNumberFormat="1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49" fontId="29" fillId="0" borderId="1" xfId="0" applyNumberFormat="1" applyFont="1" applyBorder="1" applyAlignment="1">
      <alignment horizontal="center"/>
    </xf>
    <xf numFmtId="167" fontId="29" fillId="0" borderId="1" xfId="0" applyNumberFormat="1" applyFont="1" applyBorder="1"/>
    <xf numFmtId="0" fontId="9" fillId="0" borderId="0" xfId="0" applyFont="1" applyFill="1" applyBorder="1"/>
    <xf numFmtId="0" fontId="3" fillId="0" borderId="5" xfId="0" applyFont="1" applyFill="1" applyBorder="1" applyAlignment="1" applyProtection="1">
      <alignment horizontal="center" vertical="center" wrapText="1"/>
      <protection locked="0"/>
    </xf>
    <xf numFmtId="0" fontId="3" fillId="0" borderId="5" xfId="0" applyFont="1" applyFill="1" applyBorder="1" applyAlignment="1">
      <alignment vertical="center" wrapText="1"/>
    </xf>
    <xf numFmtId="0" fontId="3" fillId="0" borderId="5" xfId="0" applyFont="1" applyFill="1" applyBorder="1" applyAlignment="1">
      <alignment horizontal="center" vertical="center" shrinkToFit="1"/>
    </xf>
    <xf numFmtId="0" fontId="3" fillId="0" borderId="5" xfId="0" applyFont="1" applyFill="1" applyBorder="1" applyAlignment="1">
      <alignment horizontal="center" vertical="center" wrapText="1"/>
    </xf>
    <xf numFmtId="167" fontId="3" fillId="0" borderId="5" xfId="0" applyNumberFormat="1" applyFont="1" applyFill="1" applyBorder="1" applyAlignment="1">
      <alignment horizontal="center" vertical="center" wrapText="1"/>
    </xf>
    <xf numFmtId="0" fontId="2" fillId="0" borderId="0" xfId="1" applyBorder="1" applyAlignment="1">
      <alignment horizontal="center"/>
    </xf>
    <xf numFmtId="0" fontId="44" fillId="0" borderId="0" xfId="1" applyFont="1" applyBorder="1" applyAlignment="1">
      <alignment vertical="center"/>
    </xf>
    <xf numFmtId="0" fontId="28" fillId="0" borderId="0" xfId="1" applyFont="1" applyBorder="1" applyAlignment="1">
      <alignment vertical="center"/>
    </xf>
    <xf numFmtId="165" fontId="2" fillId="0" borderId="0" xfId="1" applyNumberFormat="1" applyBorder="1" applyAlignment="1">
      <alignment horizontal="center"/>
    </xf>
    <xf numFmtId="0" fontId="2" fillId="0" borderId="0" xfId="1" applyBorder="1"/>
    <xf numFmtId="0" fontId="2" fillId="0" borderId="0" xfId="1" applyAlignment="1">
      <alignment horizontal="center"/>
    </xf>
    <xf numFmtId="20" fontId="28" fillId="0" borderId="0" xfId="1" applyNumberFormat="1" applyFont="1" applyBorder="1" applyAlignment="1"/>
    <xf numFmtId="0" fontId="28" fillId="0" borderId="0" xfId="1" applyFont="1" applyBorder="1" applyAlignment="1"/>
    <xf numFmtId="165" fontId="28" fillId="0" borderId="0" xfId="1" applyNumberFormat="1" applyFont="1" applyBorder="1" applyAlignment="1"/>
    <xf numFmtId="0" fontId="2" fillId="0" borderId="0" xfId="1"/>
    <xf numFmtId="0" fontId="7" fillId="0" borderId="0" xfId="1" applyFont="1" applyFill="1" applyBorder="1" applyAlignment="1">
      <alignment vertical="center"/>
    </xf>
    <xf numFmtId="0" fontId="8" fillId="0" borderId="0" xfId="1" applyFont="1" applyBorder="1" applyAlignment="1">
      <alignment vertical="center"/>
    </xf>
    <xf numFmtId="165" fontId="8" fillId="0" borderId="0" xfId="1" applyNumberFormat="1" applyFont="1" applyBorder="1" applyAlignment="1">
      <alignment vertical="center"/>
    </xf>
    <xf numFmtId="165" fontId="2" fillId="0" borderId="0" xfId="1" applyNumberFormat="1" applyAlignment="1">
      <alignment horizontal="center"/>
    </xf>
    <xf numFmtId="0" fontId="48" fillId="0" borderId="0" xfId="1" applyFont="1" applyFill="1" applyBorder="1" applyAlignment="1">
      <alignment vertical="center"/>
    </xf>
    <xf numFmtId="0" fontId="8" fillId="0" borderId="0" xfId="1" applyFont="1" applyBorder="1" applyAlignment="1"/>
    <xf numFmtId="0" fontId="48" fillId="0" borderId="41" xfId="1" applyFont="1" applyFill="1" applyBorder="1" applyAlignment="1">
      <alignment vertical="center"/>
    </xf>
    <xf numFmtId="0" fontId="49" fillId="0" borderId="41" xfId="1" applyFont="1" applyBorder="1" applyAlignment="1">
      <alignment vertical="center"/>
    </xf>
    <xf numFmtId="0" fontId="50" fillId="0" borderId="0" xfId="0" applyFont="1" applyBorder="1" applyAlignment="1">
      <alignment wrapText="1"/>
    </xf>
    <xf numFmtId="0" fontId="0" fillId="0" borderId="0" xfId="0" applyAlignment="1">
      <alignment horizontal="right"/>
    </xf>
    <xf numFmtId="0" fontId="51" fillId="0" borderId="0" xfId="0" applyFont="1" applyAlignment="1"/>
    <xf numFmtId="0" fontId="28" fillId="0" borderId="0" xfId="0" applyFont="1" applyBorder="1" applyAlignment="1">
      <alignment vertical="top"/>
    </xf>
    <xf numFmtId="0" fontId="51" fillId="0" borderId="0" xfId="0" applyFont="1" applyBorder="1" applyAlignment="1"/>
    <xf numFmtId="0" fontId="0" fillId="13" borderId="0" xfId="0" applyFill="1"/>
    <xf numFmtId="14" fontId="25" fillId="0" borderId="0" xfId="0" applyNumberFormat="1" applyFont="1" applyBorder="1" applyAlignment="1" applyProtection="1">
      <alignment horizontal="center"/>
      <protection locked="0"/>
    </xf>
    <xf numFmtId="14" fontId="3" fillId="2" borderId="19" xfId="0" applyNumberFormat="1" applyFont="1" applyFill="1" applyBorder="1" applyAlignment="1" applyProtection="1">
      <alignment horizontal="center" wrapText="1"/>
      <protection locked="0"/>
    </xf>
    <xf numFmtId="14" fontId="25" fillId="0" borderId="1" xfId="0" applyNumberFormat="1" applyFont="1" applyBorder="1" applyAlignment="1" applyProtection="1">
      <alignment horizontal="center"/>
      <protection locked="0"/>
    </xf>
    <xf numFmtId="14" fontId="3" fillId="0" borderId="5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0" fontId="1" fillId="0" borderId="0" xfId="2"/>
    <xf numFmtId="0" fontId="53" fillId="0" borderId="0" xfId="2" applyFont="1"/>
    <xf numFmtId="0" fontId="54" fillId="0" borderId="0" xfId="2" applyFont="1"/>
    <xf numFmtId="0" fontId="1" fillId="0" borderId="0" xfId="2" applyBorder="1"/>
    <xf numFmtId="0" fontId="1" fillId="0" borderId="0" xfId="2" applyAlignment="1">
      <alignment horizontal="right"/>
    </xf>
    <xf numFmtId="0" fontId="56" fillId="0" borderId="0" xfId="2" applyFont="1"/>
    <xf numFmtId="0" fontId="56" fillId="0" borderId="0" xfId="2" applyFont="1" applyBorder="1"/>
    <xf numFmtId="0" fontId="56" fillId="0" borderId="1" xfId="2" applyFont="1" applyBorder="1" applyAlignment="1">
      <alignment horizontal="left"/>
    </xf>
    <xf numFmtId="0" fontId="56" fillId="0" borderId="2" xfId="2" applyFont="1" applyBorder="1" applyAlignment="1">
      <alignment horizontal="left" vertical="center" wrapText="1"/>
    </xf>
    <xf numFmtId="0" fontId="56" fillId="0" borderId="1" xfId="2" applyFont="1" applyBorder="1" applyAlignment="1">
      <alignment horizontal="left" vertical="center" wrapText="1"/>
    </xf>
    <xf numFmtId="165" fontId="56" fillId="0" borderId="1" xfId="2" applyNumberFormat="1" applyFont="1" applyBorder="1" applyAlignment="1">
      <alignment horizontal="center"/>
    </xf>
    <xf numFmtId="165" fontId="56" fillId="0" borderId="3" xfId="2" applyNumberFormat="1" applyFont="1" applyBorder="1" applyAlignment="1">
      <alignment horizontal="center"/>
    </xf>
    <xf numFmtId="0" fontId="56" fillId="0" borderId="5" xfId="2" applyFont="1" applyBorder="1" applyAlignment="1">
      <alignment horizontal="left"/>
    </xf>
    <xf numFmtId="165" fontId="56" fillId="0" borderId="5" xfId="2" applyNumberFormat="1" applyFont="1" applyBorder="1" applyAlignment="1">
      <alignment horizontal="center"/>
    </xf>
    <xf numFmtId="0" fontId="56" fillId="0" borderId="0" xfId="2" applyFont="1" applyBorder="1" applyAlignment="1">
      <alignment horizontal="left"/>
    </xf>
    <xf numFmtId="165" fontId="56" fillId="0" borderId="0" xfId="2" applyNumberFormat="1" applyFont="1" applyBorder="1" applyAlignment="1">
      <alignment horizontal="center"/>
    </xf>
    <xf numFmtId="0" fontId="1" fillId="0" borderId="33" xfId="2" applyBorder="1"/>
    <xf numFmtId="14" fontId="29" fillId="0" borderId="1" xfId="0" applyNumberFormat="1" applyFont="1" applyBorder="1" applyAlignment="1" applyProtection="1">
      <alignment horizontal="center"/>
      <protection locked="0"/>
    </xf>
    <xf numFmtId="14" fontId="0" fillId="0" borderId="0" xfId="0" applyNumberFormat="1"/>
    <xf numFmtId="0" fontId="11" fillId="15" borderId="1" xfId="0" applyFont="1" applyFill="1" applyBorder="1" applyAlignment="1" applyProtection="1">
      <alignment horizontal="center"/>
      <protection locked="0"/>
    </xf>
    <xf numFmtId="19" fontId="29" fillId="0" borderId="1" xfId="0" applyNumberFormat="1" applyFont="1" applyBorder="1"/>
    <xf numFmtId="0" fontId="11" fillId="0" borderId="1" xfId="0" applyFont="1" applyFill="1" applyBorder="1" applyAlignment="1" applyProtection="1">
      <alignment horizontal="center"/>
      <protection locked="0"/>
    </xf>
    <xf numFmtId="0" fontId="58" fillId="5" borderId="1" xfId="0" applyFont="1" applyFill="1" applyBorder="1" applyAlignment="1" applyProtection="1">
      <alignment horizontal="center"/>
      <protection locked="0"/>
    </xf>
    <xf numFmtId="49" fontId="2" fillId="0" borderId="1" xfId="0" applyNumberFormat="1" applyFont="1" applyBorder="1" applyAlignment="1" applyProtection="1">
      <alignment horizontal="center"/>
      <protection locked="0"/>
    </xf>
    <xf numFmtId="0" fontId="11" fillId="15" borderId="2" xfId="0" applyFont="1" applyFill="1" applyBorder="1" applyAlignment="1" applyProtection="1">
      <alignment horizontal="center"/>
      <protection locked="0"/>
    </xf>
    <xf numFmtId="0" fontId="58" fillId="5" borderId="2" xfId="0" applyFont="1" applyFill="1" applyBorder="1" applyAlignment="1" applyProtection="1">
      <alignment horizontal="center"/>
      <protection locked="0"/>
    </xf>
    <xf numFmtId="0" fontId="44" fillId="0" borderId="0" xfId="1" applyFont="1" applyBorder="1" applyAlignment="1">
      <alignment horizontal="left" vertical="center"/>
    </xf>
    <xf numFmtId="0" fontId="4" fillId="0" borderId="0" xfId="1" applyFont="1" applyBorder="1" applyAlignment="1">
      <alignment horizontal="left" vertical="center"/>
    </xf>
    <xf numFmtId="0" fontId="47" fillId="0" borderId="0" xfId="1" applyFont="1" applyBorder="1" applyAlignment="1">
      <alignment horizontal="left" vertical="center"/>
    </xf>
    <xf numFmtId="49" fontId="1" fillId="0" borderId="0" xfId="2" applyNumberFormat="1"/>
    <xf numFmtId="49" fontId="56" fillId="0" borderId="0" xfId="2" applyNumberFormat="1" applyFont="1"/>
    <xf numFmtId="49" fontId="56" fillId="0" borderId="0" xfId="2" applyNumberFormat="1" applyFont="1" applyBorder="1" applyAlignment="1">
      <alignment horizontal="left"/>
    </xf>
    <xf numFmtId="49" fontId="1" fillId="0" borderId="0" xfId="2" applyNumberFormat="1" applyBorder="1"/>
    <xf numFmtId="49" fontId="1" fillId="0" borderId="33" xfId="2" applyNumberFormat="1" applyBorder="1"/>
    <xf numFmtId="2" fontId="56" fillId="0" borderId="1" xfId="2" applyNumberFormat="1" applyFont="1" applyBorder="1" applyAlignment="1">
      <alignment horizontal="left"/>
    </xf>
    <xf numFmtId="0" fontId="2" fillId="0" borderId="0" xfId="1" applyBorder="1" applyAlignment="1">
      <alignment horizontal="left"/>
    </xf>
    <xf numFmtId="0" fontId="8" fillId="0" borderId="0" xfId="1" applyFont="1" applyBorder="1" applyAlignment="1">
      <alignment horizontal="left" vertical="center"/>
    </xf>
    <xf numFmtId="0" fontId="2" fillId="0" borderId="0" xfId="1" applyAlignment="1">
      <alignment horizontal="left"/>
    </xf>
    <xf numFmtId="0" fontId="29" fillId="0" borderId="46" xfId="0" applyFont="1" applyBorder="1" applyAlignment="1">
      <alignment horizontal="center"/>
    </xf>
    <xf numFmtId="0" fontId="16" fillId="0" borderId="2" xfId="0" applyFont="1" applyBorder="1" applyAlignment="1">
      <alignment horizontal="center" vertical="center" shrinkToFit="1"/>
    </xf>
    <xf numFmtId="0" fontId="16" fillId="0" borderId="3" xfId="0" applyFont="1" applyBorder="1" applyAlignment="1">
      <alignment horizontal="left" vertical="center" shrinkToFit="1"/>
    </xf>
    <xf numFmtId="0" fontId="57" fillId="16" borderId="1" xfId="2" applyFont="1" applyFill="1" applyBorder="1"/>
    <xf numFmtId="49" fontId="57" fillId="16" borderId="1" xfId="2" applyNumberFormat="1" applyFont="1" applyFill="1" applyBorder="1"/>
    <xf numFmtId="0" fontId="57" fillId="16" borderId="19" xfId="2" applyFont="1" applyFill="1" applyBorder="1"/>
    <xf numFmtId="0" fontId="57" fillId="16" borderId="35" xfId="2" applyFont="1" applyFill="1" applyBorder="1" applyAlignment="1">
      <alignment horizontal="center"/>
    </xf>
    <xf numFmtId="0" fontId="57" fillId="16" borderId="5" xfId="2" applyFont="1" applyFill="1" applyBorder="1" applyAlignment="1">
      <alignment horizontal="center"/>
    </xf>
    <xf numFmtId="0" fontId="57" fillId="16" borderId="1" xfId="2" applyFont="1" applyFill="1" applyBorder="1" applyAlignment="1">
      <alignment horizontal="center"/>
    </xf>
    <xf numFmtId="0" fontId="56" fillId="14" borderId="1" xfId="2" applyFont="1" applyFill="1" applyBorder="1" applyAlignment="1">
      <alignment horizontal="left"/>
    </xf>
    <xf numFmtId="2" fontId="56" fillId="14" borderId="1" xfId="2" applyNumberFormat="1" applyFont="1" applyFill="1" applyBorder="1" applyAlignment="1">
      <alignment horizontal="left"/>
    </xf>
    <xf numFmtId="0" fontId="56" fillId="14" borderId="2" xfId="2" applyFont="1" applyFill="1" applyBorder="1" applyAlignment="1">
      <alignment horizontal="left" vertical="center" wrapText="1"/>
    </xf>
    <xf numFmtId="0" fontId="56" fillId="14" borderId="1" xfId="2" applyFont="1" applyFill="1" applyBorder="1" applyAlignment="1">
      <alignment horizontal="left" vertical="center" wrapText="1"/>
    </xf>
    <xf numFmtId="165" fontId="56" fillId="14" borderId="1" xfId="2" applyNumberFormat="1" applyFont="1" applyFill="1" applyBorder="1" applyAlignment="1">
      <alignment horizontal="center"/>
    </xf>
    <xf numFmtId="165" fontId="56" fillId="14" borderId="3" xfId="2" applyNumberFormat="1" applyFont="1" applyFill="1" applyBorder="1" applyAlignment="1">
      <alignment horizontal="center"/>
    </xf>
    <xf numFmtId="2" fontId="56" fillId="14" borderId="1" xfId="2" applyNumberFormat="1" applyFont="1" applyFill="1" applyBorder="1" applyAlignment="1">
      <alignment horizontal="center"/>
    </xf>
    <xf numFmtId="2" fontId="56" fillId="0" borderId="1" xfId="2" applyNumberFormat="1" applyFont="1" applyBorder="1" applyAlignment="1">
      <alignment horizontal="center"/>
    </xf>
    <xf numFmtId="0" fontId="15" fillId="16" borderId="0" xfId="0" applyFont="1" applyFill="1" applyBorder="1" applyAlignment="1">
      <alignment horizontal="center" vertical="center" wrapText="1"/>
    </xf>
    <xf numFmtId="0" fontId="15" fillId="16" borderId="39" xfId="0" applyFont="1" applyFill="1" applyBorder="1" applyAlignment="1" applyProtection="1">
      <alignment horizontal="center" vertical="center"/>
      <protection locked="0"/>
    </xf>
    <xf numFmtId="0" fontId="59" fillId="0" borderId="0" xfId="0" applyFont="1"/>
    <xf numFmtId="2" fontId="29" fillId="2" borderId="1" xfId="0" applyNumberFormat="1" applyFont="1" applyFill="1" applyBorder="1" applyAlignment="1" applyProtection="1">
      <alignment horizontal="center"/>
    </xf>
    <xf numFmtId="0" fontId="0" fillId="0" borderId="6" xfId="0" applyFill="1" applyBorder="1" applyAlignment="1">
      <alignment horizontal="center"/>
    </xf>
    <xf numFmtId="0" fontId="0" fillId="18" borderId="0" xfId="0" applyFill="1"/>
    <xf numFmtId="0" fontId="63" fillId="18" borderId="0" xfId="0" applyFont="1" applyFill="1" applyAlignment="1"/>
    <xf numFmtId="0" fontId="64" fillId="18" borderId="0" xfId="0" applyFont="1" applyFill="1" applyAlignment="1">
      <alignment vertical="top"/>
    </xf>
    <xf numFmtId="0" fontId="52" fillId="18" borderId="0" xfId="0" applyFont="1" applyFill="1" applyAlignment="1">
      <alignment vertical="center"/>
    </xf>
    <xf numFmtId="0" fontId="66" fillId="18" borderId="0" xfId="0" applyFont="1" applyFill="1" applyAlignment="1">
      <alignment vertical="center"/>
    </xf>
    <xf numFmtId="0" fontId="2" fillId="0" borderId="1" xfId="0" applyFont="1" applyBorder="1" applyAlignment="1" applyProtection="1">
      <alignment horizontal="center"/>
      <protection locked="0"/>
    </xf>
    <xf numFmtId="165" fontId="57" fillId="14" borderId="1" xfId="2" applyNumberFormat="1" applyFont="1" applyFill="1" applyBorder="1" applyAlignment="1">
      <alignment horizontal="center"/>
    </xf>
    <xf numFmtId="165" fontId="57" fillId="0" borderId="1" xfId="2" applyNumberFormat="1" applyFont="1" applyBorder="1" applyAlignment="1">
      <alignment horizontal="center"/>
    </xf>
    <xf numFmtId="0" fontId="67" fillId="0" borderId="0" xfId="1" applyFont="1"/>
    <xf numFmtId="0" fontId="68" fillId="12" borderId="47" xfId="1" applyNumberFormat="1" applyFont="1" applyFill="1" applyBorder="1" applyAlignment="1">
      <alignment horizontal="left"/>
    </xf>
    <xf numFmtId="0" fontId="68" fillId="12" borderId="48" xfId="1" applyNumberFormat="1" applyFont="1" applyFill="1" applyBorder="1" applyAlignment="1">
      <alignment horizontal="left"/>
    </xf>
    <xf numFmtId="0" fontId="68" fillId="12" borderId="48" xfId="1" applyNumberFormat="1" applyFont="1" applyFill="1" applyBorder="1" applyAlignment="1">
      <alignment horizontal="center"/>
    </xf>
    <xf numFmtId="0" fontId="68" fillId="12" borderId="34" xfId="1" applyNumberFormat="1" applyFont="1" applyFill="1" applyBorder="1" applyAlignment="1">
      <alignment horizontal="center"/>
    </xf>
    <xf numFmtId="165" fontId="68" fillId="12" borderId="49" xfId="1" applyNumberFormat="1" applyFont="1" applyFill="1" applyBorder="1" applyAlignment="1">
      <alignment horizontal="center"/>
    </xf>
    <xf numFmtId="0" fontId="68" fillId="0" borderId="50" xfId="1" applyNumberFormat="1" applyFont="1" applyFill="1" applyBorder="1" applyAlignment="1">
      <alignment horizontal="left"/>
    </xf>
    <xf numFmtId="0" fontId="68" fillId="0" borderId="50" xfId="1" applyNumberFormat="1" applyFont="1" applyFill="1" applyBorder="1" applyAlignment="1">
      <alignment horizontal="center"/>
    </xf>
    <xf numFmtId="2" fontId="68" fillId="0" borderId="51" xfId="1" applyNumberFormat="1" applyFont="1" applyFill="1" applyBorder="1" applyAlignment="1">
      <alignment horizontal="center"/>
    </xf>
    <xf numFmtId="0" fontId="69" fillId="0" borderId="52" xfId="1" applyNumberFormat="1" applyFont="1" applyFill="1" applyBorder="1" applyAlignment="1">
      <alignment horizontal="left"/>
    </xf>
    <xf numFmtId="0" fontId="69" fillId="0" borderId="52" xfId="1" applyNumberFormat="1" applyFont="1" applyFill="1" applyBorder="1" applyAlignment="1">
      <alignment horizontal="center"/>
    </xf>
    <xf numFmtId="2" fontId="69" fillId="0" borderId="53" xfId="1" applyNumberFormat="1" applyFont="1" applyFill="1" applyBorder="1" applyAlignment="1">
      <alignment horizontal="center"/>
    </xf>
    <xf numFmtId="0" fontId="69" fillId="0" borderId="54" xfId="1" applyNumberFormat="1" applyFont="1" applyFill="1" applyBorder="1" applyAlignment="1">
      <alignment horizontal="left"/>
    </xf>
    <xf numFmtId="0" fontId="69" fillId="0" borderId="54" xfId="1" applyNumberFormat="1" applyFont="1" applyFill="1" applyBorder="1" applyAlignment="1">
      <alignment horizontal="center"/>
    </xf>
    <xf numFmtId="2" fontId="69" fillId="0" borderId="55" xfId="1" applyNumberFormat="1" applyFont="1" applyFill="1" applyBorder="1" applyAlignment="1">
      <alignment horizontal="center"/>
    </xf>
    <xf numFmtId="0" fontId="3" fillId="16" borderId="1" xfId="0" applyFont="1" applyFill="1" applyBorder="1" applyAlignment="1">
      <alignment horizontal="center" vertical="center"/>
    </xf>
    <xf numFmtId="0" fontId="10" fillId="16" borderId="1" xfId="0" applyFont="1" applyFill="1" applyBorder="1" applyAlignment="1" applyProtection="1">
      <alignment horizontal="center" vertical="center" shrinkToFit="1"/>
      <protection locked="0"/>
    </xf>
    <xf numFmtId="0" fontId="44" fillId="0" borderId="0" xfId="1" applyFont="1" applyBorder="1" applyAlignment="1">
      <alignment horizontal="left" vertical="center"/>
    </xf>
    <xf numFmtId="0" fontId="4" fillId="0" borderId="0" xfId="1" applyFont="1" applyBorder="1" applyAlignment="1">
      <alignment horizontal="left" vertical="center"/>
    </xf>
    <xf numFmtId="2" fontId="68" fillId="0" borderId="48" xfId="1" applyNumberFormat="1" applyFont="1" applyFill="1" applyBorder="1" applyAlignment="1">
      <alignment horizontal="left"/>
    </xf>
    <xf numFmtId="2" fontId="69" fillId="0" borderId="56" xfId="1" applyNumberFormat="1" applyFont="1" applyFill="1" applyBorder="1" applyAlignment="1">
      <alignment horizontal="left"/>
    </xf>
    <xf numFmtId="0" fontId="69" fillId="0" borderId="57" xfId="1" applyNumberFormat="1" applyFont="1" applyFill="1" applyBorder="1" applyAlignment="1">
      <alignment horizontal="left"/>
    </xf>
    <xf numFmtId="0" fontId="68" fillId="0" borderId="58" xfId="1" applyNumberFormat="1" applyFont="1" applyFill="1" applyBorder="1" applyAlignment="1">
      <alignment horizontal="left"/>
    </xf>
    <xf numFmtId="0" fontId="69" fillId="0" borderId="58" xfId="1" applyNumberFormat="1" applyFont="1" applyFill="1" applyBorder="1" applyAlignment="1">
      <alignment horizontal="left"/>
    </xf>
    <xf numFmtId="0" fontId="68" fillId="0" borderId="60" xfId="1" applyNumberFormat="1" applyFont="1" applyFill="1" applyBorder="1" applyAlignment="1">
      <alignment horizontal="left"/>
    </xf>
    <xf numFmtId="0" fontId="68" fillId="12" borderId="59" xfId="1" applyNumberFormat="1" applyFont="1" applyFill="1" applyBorder="1" applyAlignment="1">
      <alignment horizontal="left"/>
    </xf>
    <xf numFmtId="0" fontId="2" fillId="0" borderId="2" xfId="0" applyFont="1" applyFill="1" applyBorder="1" applyAlignment="1" applyProtection="1">
      <alignment horizontal="center"/>
      <protection locked="0"/>
    </xf>
    <xf numFmtId="0" fontId="2" fillId="0" borderId="17" xfId="0" applyFont="1" applyFill="1" applyBorder="1" applyAlignment="1" applyProtection="1">
      <alignment horizontal="center"/>
      <protection locked="0"/>
    </xf>
    <xf numFmtId="0" fontId="2" fillId="0" borderId="42" xfId="0" applyFont="1" applyFill="1" applyBorder="1" applyAlignment="1" applyProtection="1">
      <alignment horizontal="center"/>
      <protection locked="0"/>
    </xf>
    <xf numFmtId="0" fontId="0" fillId="0" borderId="2" xfId="0" applyFill="1" applyBorder="1" applyAlignment="1" applyProtection="1">
      <alignment horizontal="center"/>
      <protection locked="0"/>
    </xf>
    <xf numFmtId="0" fontId="0" fillId="0" borderId="17" xfId="0" applyFill="1" applyBorder="1" applyAlignment="1" applyProtection="1">
      <alignment horizontal="center"/>
      <protection locked="0"/>
    </xf>
    <xf numFmtId="0" fontId="0" fillId="0" borderId="42" xfId="0" applyFill="1" applyBorder="1" applyAlignment="1" applyProtection="1">
      <alignment horizontal="center"/>
      <protection locked="0"/>
    </xf>
    <xf numFmtId="0" fontId="13" fillId="0" borderId="2" xfId="0" applyFont="1" applyFill="1" applyBorder="1" applyAlignment="1" applyProtection="1">
      <alignment horizontal="center" vertical="center"/>
      <protection locked="0"/>
    </xf>
    <xf numFmtId="0" fontId="13" fillId="0" borderId="17" xfId="0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4" fillId="2" borderId="21" xfId="0" applyFont="1" applyFill="1" applyBorder="1" applyAlignment="1" applyProtection="1">
      <alignment horizontal="center" vertical="center" shrinkToFit="1"/>
      <protection locked="0"/>
    </xf>
    <xf numFmtId="0" fontId="4" fillId="2" borderId="22" xfId="0" applyFont="1" applyFill="1" applyBorder="1" applyAlignment="1" applyProtection="1">
      <alignment horizontal="center" vertical="center" shrinkToFit="1"/>
      <protection locked="0"/>
    </xf>
    <xf numFmtId="0" fontId="4" fillId="2" borderId="23" xfId="0" applyFont="1" applyFill="1" applyBorder="1" applyAlignment="1" applyProtection="1">
      <alignment horizontal="center" vertical="center" shrinkToFit="1"/>
      <protection locked="0"/>
    </xf>
    <xf numFmtId="0" fontId="4" fillId="2" borderId="24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25" xfId="0" applyFont="1" applyFill="1" applyBorder="1" applyAlignment="1" applyProtection="1">
      <alignment horizontal="center" vertical="center" shrinkToFit="1"/>
      <protection locked="0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19" fillId="2" borderId="21" xfId="0" applyFont="1" applyFill="1" applyBorder="1" applyAlignment="1">
      <alignment horizontal="center" vertical="center"/>
    </xf>
    <xf numFmtId="0" fontId="19" fillId="2" borderId="22" xfId="0" applyFont="1" applyFill="1" applyBorder="1" applyAlignment="1">
      <alignment horizontal="center" vertical="center"/>
    </xf>
    <xf numFmtId="0" fontId="19" fillId="2" borderId="23" xfId="0" applyFont="1" applyFill="1" applyBorder="1" applyAlignment="1">
      <alignment horizontal="center" vertical="center"/>
    </xf>
    <xf numFmtId="0" fontId="19" fillId="2" borderId="24" xfId="0" applyFont="1" applyFill="1" applyBorder="1" applyAlignment="1">
      <alignment horizontal="center" vertical="center"/>
    </xf>
    <xf numFmtId="0" fontId="19" fillId="2" borderId="15" xfId="0" applyFont="1" applyFill="1" applyBorder="1" applyAlignment="1">
      <alignment horizontal="center" vertical="center"/>
    </xf>
    <xf numFmtId="0" fontId="19" fillId="2" borderId="2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7" fillId="0" borderId="26" xfId="0" applyNumberFormat="1" applyFont="1" applyFill="1" applyBorder="1" applyAlignment="1">
      <alignment horizontal="center" vertical="center" shrinkToFit="1"/>
    </xf>
    <xf numFmtId="1" fontId="7" fillId="0" borderId="27" xfId="0" applyNumberFormat="1" applyFont="1" applyFill="1" applyBorder="1" applyAlignment="1">
      <alignment horizontal="center" vertical="center" shrinkToFit="1"/>
    </xf>
    <xf numFmtId="165" fontId="7" fillId="0" borderId="26" xfId="0" applyNumberFormat="1" applyFont="1" applyFill="1" applyBorder="1" applyAlignment="1">
      <alignment horizontal="center" vertical="center" shrinkToFit="1"/>
    </xf>
    <xf numFmtId="165" fontId="7" fillId="0" borderId="27" xfId="0" applyNumberFormat="1" applyFont="1" applyFill="1" applyBorder="1" applyAlignment="1">
      <alignment horizontal="center" vertical="center" shrinkToFit="1"/>
    </xf>
    <xf numFmtId="0" fontId="15" fillId="2" borderId="1" xfId="0" applyFont="1" applyFill="1" applyBorder="1" applyAlignment="1">
      <alignment horizontal="center" vertical="center" wrapText="1"/>
    </xf>
    <xf numFmtId="0" fontId="15" fillId="2" borderId="7" xfId="0" applyFont="1" applyFill="1" applyBorder="1" applyAlignment="1">
      <alignment horizontal="center" vertical="center" wrapText="1"/>
    </xf>
    <xf numFmtId="0" fontId="15" fillId="2" borderId="14" xfId="0" applyFont="1" applyFill="1" applyBorder="1" applyAlignment="1">
      <alignment horizontal="center" vertical="center" wrapText="1"/>
    </xf>
    <xf numFmtId="0" fontId="15" fillId="2" borderId="20" xfId="0" applyFont="1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/>
    </xf>
    <xf numFmtId="0" fontId="0" fillId="0" borderId="42" xfId="0" applyFill="1" applyBorder="1" applyAlignment="1">
      <alignment horizontal="center"/>
    </xf>
    <xf numFmtId="0" fontId="17" fillId="2" borderId="21" xfId="0" applyFont="1" applyFill="1" applyBorder="1" applyAlignment="1">
      <alignment horizontal="center" vertical="center"/>
    </xf>
    <xf numFmtId="0" fontId="17" fillId="2" borderId="22" xfId="0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25" xfId="0" applyFont="1" applyFill="1" applyBorder="1" applyAlignment="1">
      <alignment horizontal="center" vertical="center"/>
    </xf>
    <xf numFmtId="0" fontId="6" fillId="10" borderId="23" xfId="0" applyFont="1" applyFill="1" applyBorder="1" applyAlignment="1" applyProtection="1">
      <alignment horizontal="center" vertical="center"/>
      <protection locked="0"/>
    </xf>
    <xf numFmtId="0" fontId="6" fillId="10" borderId="31" xfId="0" applyFont="1" applyFill="1" applyBorder="1" applyAlignment="1" applyProtection="1">
      <alignment horizontal="center" vertical="center"/>
      <protection locked="0"/>
    </xf>
    <xf numFmtId="0" fontId="3" fillId="2" borderId="21" xfId="0" applyFont="1" applyFill="1" applyBorder="1" applyAlignment="1">
      <alignment horizontal="center" vertical="center" wrapText="1"/>
    </xf>
    <xf numFmtId="0" fontId="3" fillId="2" borderId="22" xfId="0" applyFont="1" applyFill="1" applyBorder="1" applyAlignment="1">
      <alignment horizontal="center" vertical="center" wrapText="1"/>
    </xf>
    <xf numFmtId="0" fontId="3" fillId="2" borderId="32" xfId="0" applyFont="1" applyFill="1" applyBorder="1" applyAlignment="1">
      <alignment horizontal="center" vertical="center" wrapText="1"/>
    </xf>
    <xf numFmtId="0" fontId="3" fillId="2" borderId="33" xfId="0" applyFont="1" applyFill="1" applyBorder="1" applyAlignment="1">
      <alignment horizontal="center" vertical="center" wrapText="1"/>
    </xf>
    <xf numFmtId="0" fontId="2" fillId="2" borderId="3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3" fillId="2" borderId="21" xfId="0" applyFont="1" applyFill="1" applyBorder="1" applyAlignment="1">
      <alignment horizontal="center" vertical="center"/>
    </xf>
    <xf numFmtId="0" fontId="23" fillId="2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23" fillId="2" borderId="24" xfId="0" applyFont="1" applyFill="1" applyBorder="1" applyAlignment="1">
      <alignment horizontal="center" vertical="center"/>
    </xf>
    <xf numFmtId="0" fontId="23" fillId="2" borderId="15" xfId="0" applyFont="1" applyFill="1" applyBorder="1" applyAlignment="1">
      <alignment horizontal="center" vertical="center"/>
    </xf>
    <xf numFmtId="0" fontId="23" fillId="2" borderId="25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43" xfId="0" applyFill="1" applyBorder="1" applyAlignment="1" applyProtection="1">
      <alignment horizontal="center"/>
      <protection locked="0"/>
    </xf>
    <xf numFmtId="0" fontId="0" fillId="0" borderId="44" xfId="0" applyFill="1" applyBorder="1" applyAlignment="1" applyProtection="1">
      <alignment horizontal="center"/>
      <protection locked="0"/>
    </xf>
    <xf numFmtId="0" fontId="0" fillId="0" borderId="45" xfId="0" applyFill="1" applyBorder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 vertical="center" shrinkToFit="1"/>
      <protection locked="0"/>
    </xf>
    <xf numFmtId="0" fontId="28" fillId="0" borderId="17" xfId="0" applyFont="1" applyBorder="1" applyAlignment="1" applyProtection="1">
      <alignment horizontal="center" vertical="center" shrinkToFit="1"/>
      <protection locked="0"/>
    </xf>
    <xf numFmtId="0" fontId="32" fillId="2" borderId="2" xfId="0" applyFont="1" applyFill="1" applyBorder="1" applyAlignment="1">
      <alignment horizontal="center" vertical="center"/>
    </xf>
    <xf numFmtId="0" fontId="32" fillId="2" borderId="17" xfId="0" applyFont="1" applyFill="1" applyBorder="1" applyAlignment="1">
      <alignment horizontal="center" vertical="center"/>
    </xf>
    <xf numFmtId="0" fontId="34" fillId="0" borderId="2" xfId="0" applyFont="1" applyFill="1" applyBorder="1" applyAlignment="1">
      <alignment horizontal="center" vertical="center" shrinkToFit="1"/>
    </xf>
    <xf numFmtId="0" fontId="34" fillId="0" borderId="3" xfId="0" applyFont="1" applyFill="1" applyBorder="1" applyAlignment="1">
      <alignment horizontal="center" vertical="center" shrinkToFit="1"/>
    </xf>
    <xf numFmtId="0" fontId="37" fillId="16" borderId="2" xfId="0" applyFont="1" applyFill="1" applyBorder="1" applyAlignment="1">
      <alignment horizontal="center" vertical="center" shrinkToFit="1"/>
    </xf>
    <xf numFmtId="0" fontId="37" fillId="16" borderId="3" xfId="0" applyFont="1" applyFill="1" applyBorder="1" applyAlignment="1">
      <alignment horizontal="center" vertical="center" shrinkToFit="1"/>
    </xf>
    <xf numFmtId="0" fontId="35" fillId="0" borderId="39" xfId="0" applyFont="1" applyFill="1" applyBorder="1" applyAlignment="1">
      <alignment horizontal="center" vertical="top" shrinkToFit="1"/>
    </xf>
    <xf numFmtId="0" fontId="35" fillId="0" borderId="34" xfId="0" applyFont="1" applyFill="1" applyBorder="1" applyAlignment="1">
      <alignment horizontal="center" vertical="top" shrinkToFit="1"/>
    </xf>
    <xf numFmtId="0" fontId="35" fillId="0" borderId="40" xfId="0" applyFont="1" applyFill="1" applyBorder="1" applyAlignment="1">
      <alignment horizontal="center" vertical="top" shrinkToFit="1"/>
    </xf>
    <xf numFmtId="0" fontId="35" fillId="0" borderId="33" xfId="0" applyFont="1" applyFill="1" applyBorder="1" applyAlignment="1">
      <alignment horizontal="center" vertical="top" shrinkToFit="1"/>
    </xf>
    <xf numFmtId="0" fontId="35" fillId="0" borderId="0" xfId="0" applyFont="1" applyFill="1" applyBorder="1" applyAlignment="1">
      <alignment horizontal="center" vertical="top" shrinkToFit="1"/>
    </xf>
    <xf numFmtId="0" fontId="34" fillId="17" borderId="2" xfId="0" applyFont="1" applyFill="1" applyBorder="1" applyAlignment="1" applyProtection="1">
      <alignment horizontal="center" vertical="center" shrinkToFit="1"/>
      <protection locked="0"/>
    </xf>
    <xf numFmtId="0" fontId="34" fillId="17" borderId="17" xfId="0" applyFont="1" applyFill="1" applyBorder="1" applyAlignment="1" applyProtection="1">
      <alignment horizontal="center" vertical="center" shrinkToFit="1"/>
      <protection locked="0"/>
    </xf>
    <xf numFmtId="0" fontId="34" fillId="17" borderId="3" xfId="0" applyFont="1" applyFill="1" applyBorder="1" applyAlignment="1" applyProtection="1">
      <alignment horizontal="center" vertical="center" shrinkToFit="1"/>
      <protection locked="0"/>
    </xf>
    <xf numFmtId="0" fontId="44" fillId="0" borderId="0" xfId="1" applyFont="1" applyBorder="1" applyAlignment="1">
      <alignment horizontal="left" vertical="center"/>
    </xf>
    <xf numFmtId="0" fontId="45" fillId="0" borderId="0" xfId="1" applyFont="1" applyBorder="1" applyAlignment="1">
      <alignment horizontal="right" vertical="center"/>
    </xf>
    <xf numFmtId="0" fontId="4" fillId="0" borderId="0" xfId="1" applyFont="1" applyBorder="1" applyAlignment="1">
      <alignment horizontal="left" vertical="center"/>
    </xf>
    <xf numFmtId="0" fontId="46" fillId="0" borderId="0" xfId="1" applyFont="1" applyFill="1" applyBorder="1" applyAlignment="1">
      <alignment horizontal="right" vertical="center"/>
    </xf>
    <xf numFmtId="0" fontId="47" fillId="0" borderId="0" xfId="1" applyFont="1" applyBorder="1" applyAlignment="1">
      <alignment horizontal="left" vertical="center"/>
    </xf>
    <xf numFmtId="0" fontId="0" fillId="0" borderId="35" xfId="0" applyBorder="1" applyAlignment="1">
      <alignment horizontal="center" vertical="center" textRotation="90" wrapText="1"/>
    </xf>
    <xf numFmtId="0" fontId="12" fillId="0" borderId="0" xfId="0" applyFont="1" applyAlignment="1">
      <alignment horizontal="center" vertical="center"/>
    </xf>
    <xf numFmtId="0" fontId="3" fillId="2" borderId="36" xfId="0" applyFont="1" applyFill="1" applyBorder="1" applyAlignment="1">
      <alignment horizontal="center" wrapText="1"/>
    </xf>
    <xf numFmtId="0" fontId="3" fillId="2" borderId="37" xfId="0" applyFont="1" applyFill="1" applyBorder="1" applyAlignment="1">
      <alignment horizontal="center" wrapText="1"/>
    </xf>
    <xf numFmtId="0" fontId="62" fillId="0" borderId="0" xfId="0" applyFont="1" applyAlignment="1">
      <alignment horizontal="center" vertical="center"/>
    </xf>
    <xf numFmtId="0" fontId="48" fillId="0" borderId="0" xfId="0" applyFont="1" applyBorder="1" applyAlignment="1">
      <alignment horizontal="left" vertical="center"/>
    </xf>
    <xf numFmtId="0" fontId="60" fillId="0" borderId="0" xfId="0" applyFont="1" applyBorder="1" applyAlignment="1">
      <alignment horizontal="left" vertical="center"/>
    </xf>
    <xf numFmtId="0" fontId="61" fillId="18" borderId="0" xfId="0" applyFont="1" applyFill="1" applyAlignment="1">
      <alignment horizontal="left" vertical="center"/>
    </xf>
    <xf numFmtId="0" fontId="62" fillId="18" borderId="0" xfId="0" applyFont="1" applyFill="1" applyAlignment="1">
      <alignment horizontal="right"/>
    </xf>
    <xf numFmtId="0" fontId="65" fillId="18" borderId="0" xfId="0" applyFont="1" applyFill="1" applyAlignment="1">
      <alignment horizontal="right" vertical="center"/>
    </xf>
    <xf numFmtId="0" fontId="57" fillId="16" borderId="2" xfId="2" applyFont="1" applyFill="1" applyBorder="1" applyAlignment="1">
      <alignment horizontal="center"/>
    </xf>
    <xf numFmtId="0" fontId="57" fillId="16" borderId="17" xfId="2" applyFont="1" applyFill="1" applyBorder="1" applyAlignment="1">
      <alignment horizontal="center"/>
    </xf>
    <xf numFmtId="0" fontId="57" fillId="16" borderId="3" xfId="2" applyFont="1" applyFill="1" applyBorder="1" applyAlignment="1">
      <alignment horizontal="center"/>
    </xf>
    <xf numFmtId="0" fontId="1" fillId="0" borderId="0" xfId="2" applyAlignment="1">
      <alignment horizontal="right"/>
    </xf>
    <xf numFmtId="0" fontId="1" fillId="0" borderId="0" xfId="2" applyAlignment="1">
      <alignment horizontal="left"/>
    </xf>
    <xf numFmtId="14" fontId="1" fillId="0" borderId="0" xfId="2" applyNumberFormat="1" applyAlignment="1">
      <alignment horizontal="left"/>
    </xf>
    <xf numFmtId="0" fontId="55" fillId="0" borderId="0" xfId="2" applyFont="1" applyBorder="1" applyAlignment="1">
      <alignment horizontal="left"/>
    </xf>
    <xf numFmtId="0" fontId="12" fillId="0" borderId="0" xfId="0" applyFont="1" applyBorder="1" applyAlignment="1">
      <alignment horizontal="left" vertical="center" shrinkToFit="1"/>
    </xf>
    <xf numFmtId="0" fontId="12" fillId="0" borderId="33" xfId="0" applyFont="1" applyBorder="1" applyAlignment="1">
      <alignment horizontal="left" vertical="center" shrinkToFit="1"/>
    </xf>
    <xf numFmtId="14" fontId="12" fillId="0" borderId="0" xfId="0" applyNumberFormat="1" applyFont="1" applyBorder="1" applyAlignment="1">
      <alignment horizontal="left" vertical="center" shrinkToFit="1"/>
    </xf>
    <xf numFmtId="14" fontId="12" fillId="0" borderId="33" xfId="0" applyNumberFormat="1" applyFont="1" applyBorder="1" applyAlignment="1">
      <alignment horizontal="left" vertical="center" shrinkToFit="1"/>
    </xf>
    <xf numFmtId="0" fontId="24" fillId="0" borderId="0" xfId="0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/>
    </xf>
    <xf numFmtId="0" fontId="20" fillId="0" borderId="0" xfId="0" applyFont="1" applyFill="1" applyAlignment="1" applyProtection="1">
      <alignment horizontal="center"/>
      <protection locked="0"/>
    </xf>
    <xf numFmtId="0" fontId="21" fillId="0" borderId="0" xfId="0" applyFont="1" applyFill="1" applyAlignment="1" applyProtection="1">
      <alignment horizontal="center"/>
    </xf>
  </cellXfs>
  <cellStyles count="3">
    <cellStyle name="Normal" xfId="0" builtinId="0"/>
    <cellStyle name="Normal 2" xfId="1"/>
    <cellStyle name="Normal 3" xfId="2"/>
  </cellStyles>
  <dxfs count="78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ill>
        <patternFill>
          <bgColor rgb="FFFFFF1E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ont>
        <b/>
        <i val="0"/>
      </font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colors>
    <mruColors>
      <color rgb="FFFFFF1E"/>
      <color rgb="FFFFFF46"/>
      <color rgb="FFFFFF64"/>
      <color rgb="FFFFFF75"/>
      <color rgb="FFFF9147"/>
      <color rgb="FFFF5A5A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2.jpeg"/><Relationship Id="rId18" Type="http://schemas.openxmlformats.org/officeDocument/2006/relationships/image" Target="../media/image17.jpeg"/><Relationship Id="rId3" Type="http://schemas.openxmlformats.org/officeDocument/2006/relationships/image" Target="../media/image3.png"/><Relationship Id="rId21" Type="http://schemas.openxmlformats.org/officeDocument/2006/relationships/image" Target="../media/image20.jpeg"/><Relationship Id="rId7" Type="http://schemas.openxmlformats.org/officeDocument/2006/relationships/image" Target="../media/image7.png"/><Relationship Id="rId12" Type="http://schemas.openxmlformats.org/officeDocument/2006/relationships/image" Target="../media/image11.png"/><Relationship Id="rId17" Type="http://schemas.openxmlformats.org/officeDocument/2006/relationships/image" Target="../media/image16.jpeg"/><Relationship Id="rId2" Type="http://schemas.openxmlformats.org/officeDocument/2006/relationships/image" Target="../media/image2.png"/><Relationship Id="rId16" Type="http://schemas.openxmlformats.org/officeDocument/2006/relationships/image" Target="../media/image15.jpeg"/><Relationship Id="rId20" Type="http://schemas.openxmlformats.org/officeDocument/2006/relationships/image" Target="../media/image19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24" Type="http://schemas.openxmlformats.org/officeDocument/2006/relationships/image" Target="../media/image23.png"/><Relationship Id="rId5" Type="http://schemas.openxmlformats.org/officeDocument/2006/relationships/image" Target="../media/image5.png"/><Relationship Id="rId15" Type="http://schemas.openxmlformats.org/officeDocument/2006/relationships/image" Target="../media/image14.jpeg"/><Relationship Id="rId23" Type="http://schemas.openxmlformats.org/officeDocument/2006/relationships/image" Target="../media/image22.emf"/><Relationship Id="rId10" Type="http://schemas.openxmlformats.org/officeDocument/2006/relationships/image" Target="../media/image9.png"/><Relationship Id="rId19" Type="http://schemas.openxmlformats.org/officeDocument/2006/relationships/image" Target="../media/image18.jpeg"/><Relationship Id="rId4" Type="http://schemas.openxmlformats.org/officeDocument/2006/relationships/image" Target="../media/image4.png"/><Relationship Id="rId9" Type="http://schemas.openxmlformats.org/officeDocument/2006/relationships/image" Target="../media/image24.png"/><Relationship Id="rId14" Type="http://schemas.openxmlformats.org/officeDocument/2006/relationships/image" Target="../media/image13.jpeg"/><Relationship Id="rId22" Type="http://schemas.openxmlformats.org/officeDocument/2006/relationships/image" Target="../media/image21.emf"/></Relationships>
</file>

<file path=xl/charts/_rels/char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10" Type="http://schemas.openxmlformats.org/officeDocument/2006/relationships/image" Target="../media/image23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855861140566604E-3"/>
          <c:y val="3.9615737687960902E-4"/>
          <c:w val="0.99734606944623727"/>
          <c:h val="0.9996033829104695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F-45EE-9110-D68E86E3835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CF-45EE-9110-D68E86E3835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CF-45EE-9110-D68E86E3835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CF-45EE-9110-D68E86E3835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CF-45EE-9110-D68E86E3835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CF-45EE-9110-D68E86E3835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CF-45EE-9110-D68E86E3835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CF-45EE-9110-D68E86E3835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CF-45EE-9110-D68E86E3835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5CF-45EE-9110-D68E86E3835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5CF-45EE-9110-D68E86E3835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5CF-45EE-9110-D68E86E3835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5CF-45EE-9110-D68E86E3835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5CF-45EE-9110-D68E86E3835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CF-45EE-9110-D68E86E3835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5CF-45EE-9110-D68E86E3835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5CF-45EE-9110-D68E86E3835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5CF-45EE-9110-D68E86E3835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5CF-45EE-9110-D68E86E3835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5CF-45EE-9110-D68E86E3835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CF-45EE-9110-D68E86E3835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5CF-45EE-9110-D68E86E3835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85CF-45EE-9110-D68E86E38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1.0865600764914973E-3"/>
          <c:w val="1"/>
          <c:h val="0.9972125792487732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C3-4081-BE4A-71E6478D1D4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C3-4081-BE4A-71E6478D1D4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C3-4081-BE4A-71E6478D1D4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C3-4081-BE4A-71E6478D1D4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C3-4081-BE4A-71E6478D1D4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AC3-4081-BE4A-71E6478D1D4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C3-4081-BE4A-71E6478D1D4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AC3-4081-BE4A-71E6478D1D4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Pt>
            <c:idx val="0"/>
            <c:invertIfNegative val="0"/>
            <c:bubble3D val="0"/>
            <c:spPr>
              <a:blipFill dpi="0" rotWithShape="1">
                <a:blip xmlns:r="http://schemas.openxmlformats.org/officeDocument/2006/relationships" r:embed="rId10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a:blipFill>
              <a:ln w="25400">
                <a:noFill/>
              </a:ln>
            </c:spPr>
            <c:pictureOptions>
              <c:pictureFormat val="stackScale"/>
              <c:pictureStackUnit val="1"/>
            </c:pictureOptions>
            <c:extLst>
              <c:ext xmlns:c16="http://schemas.microsoft.com/office/drawing/2014/chart" uri="{C3380CC4-5D6E-409C-BE32-E72D297353CC}">
                <c16:uniqueId val="{00000001-5B49-488D-8136-C4EE72854EC0}"/>
              </c:ext>
            </c:extLst>
          </c:dPt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C3-4081-BE4A-71E6478D1D4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AC3-4081-BE4A-71E6478D1D4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AC3-4081-BE4A-71E6478D1D4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AC3-4081-BE4A-71E6478D1D4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AC3-4081-BE4A-71E6478D1D4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AC3-4081-BE4A-71E6478D1D4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AC3-4081-BE4A-71E6478D1D4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AC3-4081-BE4A-71E6478D1D4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AC3-4081-BE4A-71E6478D1D4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AC3-4081-BE4A-71E6478D1D4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AC3-4081-BE4A-71E6478D1D4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AC3-4081-BE4A-71E6478D1D4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AC3-4081-BE4A-71E6478D1D4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AC3-4081-BE4A-71E6478D1D4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AC3-4081-BE4A-71E6478D1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0.99989168900061631"/>
          <c:h val="1"/>
        </c:manualLayout>
      </c:layout>
      <c:barChart>
        <c:barDir val="bar"/>
        <c:grouping val="stacked"/>
        <c:varyColors val="0"/>
        <c:ser>
          <c:idx val="2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48-4532-9DBD-67495DAF78C3}"/>
            </c:ext>
          </c:extLst>
        </c:ser>
        <c:ser>
          <c:idx val="3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48-4532-9DBD-67495DAF78C3}"/>
            </c:ext>
          </c:extLst>
        </c:ser>
        <c:ser>
          <c:idx val="4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B48-4532-9DBD-67495DAF78C3}"/>
            </c:ext>
          </c:extLst>
        </c:ser>
        <c:ser>
          <c:idx val="5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B48-4532-9DBD-67495DAF78C3}"/>
            </c:ext>
          </c:extLst>
        </c:ser>
        <c:ser>
          <c:idx val="6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48-4532-9DBD-67495DAF78C3}"/>
            </c:ext>
          </c:extLst>
        </c:ser>
        <c:ser>
          <c:idx val="7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B48-4532-9DBD-67495DAF78C3}"/>
            </c:ext>
          </c:extLst>
        </c:ser>
        <c:ser>
          <c:idx val="8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B48-4532-9DBD-67495DAF78C3}"/>
            </c:ext>
          </c:extLst>
        </c:ser>
        <c:ser>
          <c:idx val="10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B48-4532-9DBD-67495DAF78C3}"/>
            </c:ext>
          </c:extLst>
        </c:ser>
        <c:ser>
          <c:idx val="9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Lists!$Q$31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48-4532-9DBD-67495DAF78C3}"/>
            </c:ext>
          </c:extLst>
        </c:ser>
        <c:ser>
          <c:idx val="11"/>
          <c:order val="9"/>
          <c:tx>
            <c:v>collar</c:v>
          </c:tx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B-8B48-4532-9DBD-67495DAF7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2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  <xdr:twoCellAnchor>
    <xdr:from>
      <xdr:col>2</xdr:col>
      <xdr:colOff>57150</xdr:colOff>
      <xdr:row>0</xdr:row>
      <xdr:rowOff>95250</xdr:rowOff>
    </xdr:from>
    <xdr:to>
      <xdr:col>3</xdr:col>
      <xdr:colOff>466725</xdr:colOff>
      <xdr:row>0</xdr:row>
      <xdr:rowOff>314325</xdr:rowOff>
    </xdr:to>
    <xdr:sp macro="[0]!importweighindata" textlink="">
      <xdr:nvSpPr>
        <xdr:cNvPr id="2" name="Rectangle 1">
          <a:extLst>
            <a:ext uri="{FF2B5EF4-FFF2-40B4-BE49-F238E27FC236}">
              <a16:creationId xmlns:a16="http://schemas.microsoft.com/office/drawing/2014/main" id="{EF5DC7A4-638B-436A-ABC6-DF394E2407FF}"/>
            </a:ext>
          </a:extLst>
        </xdr:cNvPr>
        <xdr:cNvSpPr/>
      </xdr:nvSpPr>
      <xdr:spPr bwMode="auto">
        <a:xfrm>
          <a:off x="2286000" y="95250"/>
          <a:ext cx="1019175" cy="2190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 b="1">
              <a:latin typeface="Arial" panose="020B0604020202020204" pitchFamily="34" charset="0"/>
              <a:cs typeface="Arial" panose="020B0604020202020204" pitchFamily="34" charset="0"/>
            </a:rPr>
            <a:t>Import from file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9525</xdr:colOff>
      <xdr:row>0</xdr:row>
      <xdr:rowOff>0</xdr:rowOff>
    </xdr:from>
    <xdr:to>
      <xdr:col>25</xdr:col>
      <xdr:colOff>9525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3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tSelectionShape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0</xdr:col>
      <xdr:colOff>28575</xdr:colOff>
      <xdr:row>4</xdr:row>
      <xdr:rowOff>27529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300-0000DD060000}"/>
            </a:ext>
          </a:extLst>
        </xdr:cNvPr>
        <xdr:cNvSpPr>
          <a:spLocks noChangeArrowheads="1"/>
        </xdr:cNvSpPr>
      </xdr:nvSpPr>
      <xdr:spPr bwMode="auto">
        <a:xfrm>
          <a:off x="28575" y="1640723"/>
          <a:ext cx="791126" cy="277271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304800</xdr:colOff>
      <xdr:row>2</xdr:row>
      <xdr:rowOff>323849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300-00004D050000}"/>
            </a:ext>
          </a:extLst>
        </xdr:cNvPr>
        <xdr:cNvSpPr txBox="1">
          <a:spLocks noChangeArrowheads="1"/>
        </xdr:cNvSpPr>
      </xdr:nvSpPr>
      <xdr:spPr bwMode="auto">
        <a:xfrm>
          <a:off x="3819525" y="962025"/>
          <a:ext cx="657225" cy="323849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11</xdr:col>
      <xdr:colOff>295276</xdr:colOff>
      <xdr:row>2</xdr:row>
      <xdr:rowOff>0</xdr:rowOff>
    </xdr:from>
    <xdr:to>
      <xdr:col>13</xdr:col>
      <xdr:colOff>0</xdr:colOff>
      <xdr:row>2</xdr:row>
      <xdr:rowOff>323849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300-00004E050000}"/>
            </a:ext>
          </a:extLst>
        </xdr:cNvPr>
        <xdr:cNvSpPr txBox="1">
          <a:spLocks noChangeArrowheads="1"/>
        </xdr:cNvSpPr>
      </xdr:nvSpPr>
      <xdr:spPr bwMode="auto">
        <a:xfrm>
          <a:off x="4467226" y="962025"/>
          <a:ext cx="714374" cy="323849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27529</xdr:colOff>
      <xdr:row>4</xdr:row>
      <xdr:rowOff>27529</xdr:rowOff>
    </xdr:from>
    <xdr:to>
      <xdr:col>5</xdr:col>
      <xdr:colOff>423945</xdr:colOff>
      <xdr:row>4</xdr:row>
      <xdr:rowOff>302818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300-0000E0060000}"/>
            </a:ext>
          </a:extLst>
        </xdr:cNvPr>
        <xdr:cNvSpPr>
          <a:spLocks noChangeArrowheads="1"/>
        </xdr:cNvSpPr>
      </xdr:nvSpPr>
      <xdr:spPr bwMode="auto">
        <a:xfrm>
          <a:off x="2999329" y="1637254"/>
          <a:ext cx="396416" cy="275289"/>
        </a:xfrm>
        <a:prstGeom prst="rect">
          <a:avLst/>
        </a:prstGeom>
        <a:noFill/>
        <a:ln w="9525">
          <a:solidFill>
            <a:sysClr val="windowText" lastClr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27528</xdr:rowOff>
    </xdr:from>
    <xdr:to>
      <xdr:col>1</xdr:col>
      <xdr:colOff>1162050</xdr:colOff>
      <xdr:row>4</xdr:row>
      <xdr:rowOff>304799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300-0000E1060000}"/>
            </a:ext>
          </a:extLst>
        </xdr:cNvPr>
        <xdr:cNvSpPr>
          <a:spLocks noChangeArrowheads="1"/>
        </xdr:cNvSpPr>
      </xdr:nvSpPr>
      <xdr:spPr bwMode="auto">
        <a:xfrm>
          <a:off x="848276" y="1640722"/>
          <a:ext cx="600075" cy="277271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280794</xdr:colOff>
      <xdr:row>3</xdr:row>
      <xdr:rowOff>0</xdr:rowOff>
    </xdr:from>
    <xdr:to>
      <xdr:col>13</xdr:col>
      <xdr:colOff>0</xdr:colOff>
      <xdr:row>4</xdr:row>
      <xdr:rowOff>0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 bwMode="auto">
        <a:xfrm>
          <a:off x="4452744" y="1285875"/>
          <a:ext cx="728856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1:00</a:t>
          </a:r>
        </a:p>
      </xdr:txBody>
    </xdr:sp>
    <xdr:clientData/>
  </xdr:twoCellAnchor>
  <xdr:twoCellAnchor>
    <xdr:from>
      <xdr:col>0</xdr:col>
      <xdr:colOff>30611</xdr:colOff>
      <xdr:row>3</xdr:row>
      <xdr:rowOff>25491</xdr:rowOff>
    </xdr:from>
    <xdr:to>
      <xdr:col>1</xdr:col>
      <xdr:colOff>1164166</xdr:colOff>
      <xdr:row>3</xdr:row>
      <xdr:rowOff>302762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30611" y="1311366"/>
          <a:ext cx="1419305" cy="277271"/>
        </a:xfrm>
        <a:prstGeom prst="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800" b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304800</xdr:colOff>
      <xdr:row>5</xdr:row>
      <xdr:rowOff>0</xdr:rowOff>
    </xdr:to>
    <xdr:sp macro="[0]!ResumeClock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 bwMode="auto">
        <a:xfrm>
          <a:off x="3819525" y="1609725"/>
          <a:ext cx="657225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Resume</a:t>
          </a:r>
        </a:p>
      </xdr:txBody>
    </xdr:sp>
    <xdr:clientData/>
  </xdr:twoCellAnchor>
  <xdr:twoCellAnchor>
    <xdr:from>
      <xdr:col>7</xdr:col>
      <xdr:colOff>0</xdr:colOff>
      <xdr:row>2</xdr:row>
      <xdr:rowOff>323849</xdr:rowOff>
    </xdr:from>
    <xdr:to>
      <xdr:col>11</xdr:col>
      <xdr:colOff>297313</xdr:colOff>
      <xdr:row>4</xdr:row>
      <xdr:rowOff>0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3819525" y="1285874"/>
          <a:ext cx="649738" cy="323851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11</xdr:col>
      <xdr:colOff>295275</xdr:colOff>
      <xdr:row>4</xdr:row>
      <xdr:rowOff>0</xdr:rowOff>
    </xdr:from>
    <xdr:to>
      <xdr:col>13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 bwMode="auto">
        <a:xfrm>
          <a:off x="4467225" y="1609725"/>
          <a:ext cx="714375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16</xdr:col>
      <xdr:colOff>114300</xdr:colOff>
      <xdr:row>4</xdr:row>
      <xdr:rowOff>57150</xdr:rowOff>
    </xdr:from>
    <xdr:to>
      <xdr:col>27</xdr:col>
      <xdr:colOff>0</xdr:colOff>
      <xdr:row>4</xdr:row>
      <xdr:rowOff>276225</xdr:rowOff>
    </xdr:to>
    <xdr:sp macro="" textlink="Lists!$O$38">
      <xdr:nvSpPr>
        <xdr:cNvPr id="6" name="TextBox 5">
          <a:extLst>
            <a:ext uri="{FF2B5EF4-FFF2-40B4-BE49-F238E27FC236}">
              <a16:creationId xmlns:a16="http://schemas.microsoft.com/office/drawing/2014/main" id="{BAA579CB-FEBB-40B6-B390-E51818AB535D}"/>
            </a:ext>
          </a:extLst>
        </xdr:cNvPr>
        <xdr:cNvSpPr txBox="1"/>
      </xdr:nvSpPr>
      <xdr:spPr>
        <a:xfrm>
          <a:off x="6153150" y="1666875"/>
          <a:ext cx="4400550" cy="2190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A835E96-A8B5-46CB-B144-34372DE0124B}" type="TxLink">
            <a:rPr lang="en-US" sz="12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/>
            <a:t>Next Barload: 25 | Next Rack: 13</a:t>
          </a:fld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0</xdr:colOff>
      <xdr:row>0</xdr:row>
      <xdr:rowOff>0</xdr:rowOff>
    </xdr:from>
    <xdr:to>
      <xdr:col>27</xdr:col>
      <xdr:colOff>0</xdr:colOff>
      <xdr:row>4</xdr:row>
      <xdr:rowOff>47625</xdr:rowOff>
    </xdr:to>
    <xdr:sp macro="" textlink="">
      <xdr:nvSpPr>
        <xdr:cNvPr id="26" name="lightsbackground" hidden="1">
          <a:extLst>
            <a:ext uri="{FF2B5EF4-FFF2-40B4-BE49-F238E27FC236}">
              <a16:creationId xmlns:a16="http://schemas.microsoft.com/office/drawing/2014/main" id="{29E34410-CA7F-4B15-A5B3-DC1D43C5A2A3}"/>
            </a:ext>
          </a:extLst>
        </xdr:cNvPr>
        <xdr:cNvSpPr/>
      </xdr:nvSpPr>
      <xdr:spPr bwMode="auto">
        <a:xfrm>
          <a:off x="6038850" y="0"/>
          <a:ext cx="4514850" cy="1657350"/>
        </a:xfrm>
        <a:prstGeom prst="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  <xdr:twoCellAnchor>
    <xdr:from>
      <xdr:col>20</xdr:col>
      <xdr:colOff>47625</xdr:colOff>
      <xdr:row>0</xdr:row>
      <xdr:rowOff>114298</xdr:rowOff>
    </xdr:from>
    <xdr:to>
      <xdr:col>23</xdr:col>
      <xdr:colOff>1978</xdr:colOff>
      <xdr:row>2</xdr:row>
      <xdr:rowOff>134408</xdr:rowOff>
    </xdr:to>
    <xdr:sp macro="" textlink="">
      <xdr:nvSpPr>
        <xdr:cNvPr id="27" name="light2" hidden="1">
          <a:extLst>
            <a:ext uri="{FF2B5EF4-FFF2-40B4-BE49-F238E27FC236}">
              <a16:creationId xmlns:a16="http://schemas.microsoft.com/office/drawing/2014/main" id="{BA59308F-CDBD-44B2-82B5-39226C7358EE}"/>
            </a:ext>
          </a:extLst>
        </xdr:cNvPr>
        <xdr:cNvSpPr/>
      </xdr:nvSpPr>
      <xdr:spPr>
        <a:xfrm>
          <a:off x="7600950" y="114298"/>
          <a:ext cx="1306903" cy="982135"/>
        </a:xfrm>
        <a:prstGeom prst="roundRect">
          <a:avLst>
            <a:gd name="adj" fmla="val 8854"/>
          </a:avLst>
        </a:prstGeom>
        <a:solidFill>
          <a:srgbClr val="000000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23</xdr:col>
      <xdr:colOff>143501</xdr:colOff>
      <xdr:row>0</xdr:row>
      <xdr:rowOff>114298</xdr:rowOff>
    </xdr:from>
    <xdr:to>
      <xdr:col>26</xdr:col>
      <xdr:colOff>518785</xdr:colOff>
      <xdr:row>2</xdr:row>
      <xdr:rowOff>134408</xdr:rowOff>
    </xdr:to>
    <xdr:sp macro="" textlink="">
      <xdr:nvSpPr>
        <xdr:cNvPr id="28" name="light3" hidden="1">
          <a:extLst>
            <a:ext uri="{FF2B5EF4-FFF2-40B4-BE49-F238E27FC236}">
              <a16:creationId xmlns:a16="http://schemas.microsoft.com/office/drawing/2014/main" id="{3C8D578A-6025-49BC-A2B0-2250FAF34461}"/>
            </a:ext>
          </a:extLst>
        </xdr:cNvPr>
        <xdr:cNvSpPr/>
      </xdr:nvSpPr>
      <xdr:spPr>
        <a:xfrm>
          <a:off x="9049376" y="114298"/>
          <a:ext cx="1337309" cy="982135"/>
        </a:xfrm>
        <a:prstGeom prst="roundRect">
          <a:avLst>
            <a:gd name="adj" fmla="val 8854"/>
          </a:avLst>
        </a:prstGeom>
        <a:solidFill>
          <a:srgbClr val="000000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16</xdr:col>
      <xdr:colOff>112203</xdr:colOff>
      <xdr:row>2</xdr:row>
      <xdr:rowOff>240145</xdr:rowOff>
    </xdr:from>
    <xdr:to>
      <xdr:col>18</xdr:col>
      <xdr:colOff>400050</xdr:colOff>
      <xdr:row>3</xdr:row>
      <xdr:rowOff>276225</xdr:rowOff>
    </xdr:to>
    <xdr:sp macro="" textlink="">
      <xdr:nvSpPr>
        <xdr:cNvPr id="29" name="card1" hidden="1">
          <a:extLst>
            <a:ext uri="{FF2B5EF4-FFF2-40B4-BE49-F238E27FC236}">
              <a16:creationId xmlns:a16="http://schemas.microsoft.com/office/drawing/2014/main" id="{BAE2898A-B9FC-4CCC-92E7-DB4DEB2BD959}"/>
            </a:ext>
          </a:extLst>
        </xdr:cNvPr>
        <xdr:cNvSpPr/>
      </xdr:nvSpPr>
      <xdr:spPr>
        <a:xfrm>
          <a:off x="6151053" y="1202170"/>
          <a:ext cx="1297497" cy="359930"/>
        </a:xfrm>
        <a:prstGeom prst="roundRect">
          <a:avLst>
            <a:gd name="adj" fmla="val 25104"/>
          </a:avLst>
        </a:prstGeom>
        <a:solidFill>
          <a:srgbClr val="0000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7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20</xdr:col>
      <xdr:colOff>47625</xdr:colOff>
      <xdr:row>2</xdr:row>
      <xdr:rowOff>238126</xdr:rowOff>
    </xdr:from>
    <xdr:to>
      <xdr:col>22</xdr:col>
      <xdr:colOff>444047</xdr:colOff>
      <xdr:row>3</xdr:row>
      <xdr:rowOff>276754</xdr:rowOff>
    </xdr:to>
    <xdr:sp macro="" textlink="">
      <xdr:nvSpPr>
        <xdr:cNvPr id="30" name="card2" hidden="1">
          <a:extLst>
            <a:ext uri="{FF2B5EF4-FFF2-40B4-BE49-F238E27FC236}">
              <a16:creationId xmlns:a16="http://schemas.microsoft.com/office/drawing/2014/main" id="{B68C34D7-4FA6-44FD-80F9-B98FE125C22F}"/>
            </a:ext>
          </a:extLst>
        </xdr:cNvPr>
        <xdr:cNvSpPr/>
      </xdr:nvSpPr>
      <xdr:spPr>
        <a:xfrm>
          <a:off x="7600950" y="1200151"/>
          <a:ext cx="1291772" cy="362478"/>
        </a:xfrm>
        <a:prstGeom prst="roundRect">
          <a:avLst>
            <a:gd name="adj" fmla="val 25104"/>
          </a:avLst>
        </a:prstGeom>
        <a:solidFill>
          <a:srgbClr val="0000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7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23</xdr:col>
      <xdr:colOff>142875</xdr:colOff>
      <xdr:row>2</xdr:row>
      <xdr:rowOff>234372</xdr:rowOff>
    </xdr:from>
    <xdr:to>
      <xdr:col>26</xdr:col>
      <xdr:colOff>493405</xdr:colOff>
      <xdr:row>3</xdr:row>
      <xdr:rowOff>266699</xdr:rowOff>
    </xdr:to>
    <xdr:sp macro="" textlink="">
      <xdr:nvSpPr>
        <xdr:cNvPr id="31" name="card3" hidden="1">
          <a:extLst>
            <a:ext uri="{FF2B5EF4-FFF2-40B4-BE49-F238E27FC236}">
              <a16:creationId xmlns:a16="http://schemas.microsoft.com/office/drawing/2014/main" id="{C5868461-1C3C-4A72-A21E-B197B75CF343}"/>
            </a:ext>
          </a:extLst>
        </xdr:cNvPr>
        <xdr:cNvSpPr/>
      </xdr:nvSpPr>
      <xdr:spPr>
        <a:xfrm>
          <a:off x="9048750" y="1196397"/>
          <a:ext cx="1312555" cy="356177"/>
        </a:xfrm>
        <a:prstGeom prst="roundRect">
          <a:avLst>
            <a:gd name="adj" fmla="val 25104"/>
          </a:avLst>
        </a:prstGeom>
        <a:solidFill>
          <a:srgbClr val="0000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7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133350</xdr:colOff>
      <xdr:row>0</xdr:row>
      <xdr:rowOff>114300</xdr:rowOff>
    </xdr:from>
    <xdr:to>
      <xdr:col>18</xdr:col>
      <xdr:colOff>409575</xdr:colOff>
      <xdr:row>2</xdr:row>
      <xdr:rowOff>134409</xdr:rowOff>
    </xdr:to>
    <xdr:sp macro="" textlink="">
      <xdr:nvSpPr>
        <xdr:cNvPr id="32" name="light1" hidden="1">
          <a:extLst>
            <a:ext uri="{FF2B5EF4-FFF2-40B4-BE49-F238E27FC236}">
              <a16:creationId xmlns:a16="http://schemas.microsoft.com/office/drawing/2014/main" id="{D46B9E7A-E816-4528-B561-8B9CD5B8703C}"/>
            </a:ext>
          </a:extLst>
        </xdr:cNvPr>
        <xdr:cNvSpPr/>
      </xdr:nvSpPr>
      <xdr:spPr>
        <a:xfrm>
          <a:off x="6172200" y="114300"/>
          <a:ext cx="1285875" cy="982134"/>
        </a:xfrm>
        <a:prstGeom prst="roundRect">
          <a:avLst>
            <a:gd name="adj" fmla="val 8854"/>
          </a:avLst>
        </a:prstGeom>
        <a:solidFill>
          <a:srgbClr val="000000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2</xdr:col>
      <xdr:colOff>20240</xdr:colOff>
      <xdr:row>4</xdr:row>
      <xdr:rowOff>28575</xdr:rowOff>
    </xdr:from>
    <xdr:to>
      <xdr:col>2</xdr:col>
      <xdr:colOff>629708</xdr:colOff>
      <xdr:row>4</xdr:row>
      <xdr:rowOff>303609</xdr:rowOff>
    </xdr:to>
    <xdr:sp macro="[0]!NextGrp" textlink="">
      <xdr:nvSpPr>
        <xdr:cNvPr id="7" name="Rectangle 6">
          <a:extLst>
            <a:ext uri="{FF2B5EF4-FFF2-40B4-BE49-F238E27FC236}">
              <a16:creationId xmlns:a16="http://schemas.microsoft.com/office/drawing/2014/main" id="{6288E343-53AA-4BF6-A91B-91AA0D1B0BA6}"/>
            </a:ext>
          </a:extLst>
        </xdr:cNvPr>
        <xdr:cNvSpPr/>
      </xdr:nvSpPr>
      <xdr:spPr bwMode="auto">
        <a:xfrm>
          <a:off x="1486032" y="1637242"/>
          <a:ext cx="609468" cy="275034"/>
        </a:xfrm>
        <a:prstGeom prst="rect">
          <a:avLst/>
        </a:prstGeom>
        <a:noFill/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1</xdr:row>
      <xdr:rowOff>1</xdr:rowOff>
    </xdr:from>
    <xdr:to>
      <xdr:col>14</xdr:col>
      <xdr:colOff>1</xdr:colOff>
      <xdr:row>8</xdr:row>
      <xdr:rowOff>1</xdr:rowOff>
    </xdr:to>
    <xdr:graphicFrame macro="">
      <xdr:nvGraphicFramePr>
        <xdr:cNvPr id="12" name="Chart 22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390526</xdr:colOff>
      <xdr:row>3</xdr:row>
      <xdr:rowOff>0</xdr:rowOff>
    </xdr:to>
    <xdr:sp macro="" textlink="">
      <xdr:nvSpPr>
        <xdr:cNvPr id="3" name="publicclock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 bwMode="auto">
        <a:xfrm>
          <a:off x="7686675" y="228600"/>
          <a:ext cx="971551" cy="1905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13</xdr:col>
      <xdr:colOff>85725</xdr:colOff>
      <xdr:row>3</xdr:row>
      <xdr:rowOff>19050</xdr:rowOff>
    </xdr:from>
    <xdr:to>
      <xdr:col>14</xdr:col>
      <xdr:colOff>390526</xdr:colOff>
      <xdr:row>4</xdr:row>
      <xdr:rowOff>66676</xdr:rowOff>
    </xdr:to>
    <xdr:sp macro="" textlink="">
      <xdr:nvSpPr>
        <xdr:cNvPr id="4" name="publicclock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7772400" y="438150"/>
          <a:ext cx="885826" cy="16192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14</xdr:col>
      <xdr:colOff>419100</xdr:colOff>
      <xdr:row>1</xdr:row>
      <xdr:rowOff>0</xdr:rowOff>
    </xdr:from>
    <xdr:to>
      <xdr:col>16</xdr:col>
      <xdr:colOff>581024</xdr:colOff>
      <xdr:row>5</xdr:row>
      <xdr:rowOff>0</xdr:rowOff>
    </xdr:to>
    <xdr:sp macro="" textlink="">
      <xdr:nvSpPr>
        <xdr:cNvPr id="5" name="publicclock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 bwMode="auto">
        <a:xfrm>
          <a:off x="8686800" y="114300"/>
          <a:ext cx="1323974" cy="609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0:24</a:t>
          </a:r>
        </a:p>
      </xdr:txBody>
    </xdr:sp>
    <xdr:clientData/>
  </xdr:twoCellAnchor>
  <xdr:twoCellAnchor>
    <xdr:from>
      <xdr:col>13</xdr:col>
      <xdr:colOff>0</xdr:colOff>
      <xdr:row>4</xdr:row>
      <xdr:rowOff>112511</xdr:rowOff>
    </xdr:from>
    <xdr:to>
      <xdr:col>17</xdr:col>
      <xdr:colOff>0</xdr:colOff>
      <xdr:row>6</xdr:row>
      <xdr:rowOff>49362</xdr:rowOff>
    </xdr:to>
    <xdr:sp macro="" textlink="Lists!R38">
      <xdr:nvSpPr>
        <xdr:cNvPr id="6" name="barloadshape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7839075" y="645911"/>
          <a:ext cx="2324100" cy="317851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2650F03D-1782-473B-9CD1-00B4119A1CB6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vikt: 75 kg</a:t>
          </a:fld>
          <a:endParaRPr lang="sv-SE" sz="1600"/>
        </a:p>
      </xdr:txBody>
    </xdr:sp>
    <xdr:clientData/>
  </xdr:twoCellAnchor>
  <xdr:twoCellAnchor>
    <xdr:from>
      <xdr:col>13</xdr:col>
      <xdr:colOff>1</xdr:colOff>
      <xdr:row>6</xdr:row>
      <xdr:rowOff>9525</xdr:rowOff>
    </xdr:from>
    <xdr:to>
      <xdr:col>17</xdr:col>
      <xdr:colOff>0</xdr:colOff>
      <xdr:row>8</xdr:row>
      <xdr:rowOff>56886</xdr:rowOff>
    </xdr:to>
    <xdr:sp macro="" textlink="Lists!R39">
      <xdr:nvSpPr>
        <xdr:cNvPr id="7" name="rackshape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7839076" y="923925"/>
          <a:ext cx="2324099" cy="275961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E39D5522-738B-44F8-B32A-E0B38764286E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höjd: 13</a:t>
          </a:fld>
          <a:endParaRPr lang="sv-SE" sz="1600"/>
        </a:p>
      </xdr:txBody>
    </xdr:sp>
    <xdr:clientData/>
  </xdr:twoCellAnchor>
  <xdr:twoCellAnchor>
    <xdr:from>
      <xdr:col>1</xdr:col>
      <xdr:colOff>17206</xdr:colOff>
      <xdr:row>4</xdr:row>
      <xdr:rowOff>0</xdr:rowOff>
    </xdr:from>
    <xdr:to>
      <xdr:col>7</xdr:col>
      <xdr:colOff>17206</xdr:colOff>
      <xdr:row>6</xdr:row>
      <xdr:rowOff>0</xdr:rowOff>
    </xdr:to>
    <xdr:sp macro="" textlink="Lifting!A3">
      <xdr:nvSpPr>
        <xdr:cNvPr id="9" name="clubshape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131506" y="533400"/>
          <a:ext cx="4086225" cy="3810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F1DDB4AE-BEDB-4847-B1CE-C04C841668BA}" type="TxLink">
            <a:rPr lang="en-US" sz="2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Sommarhemmets KS</a:t>
          </a:fld>
          <a:endParaRPr lang="sv-SE" sz="2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17206</xdr:colOff>
      <xdr:row>6</xdr:row>
      <xdr:rowOff>0</xdr:rowOff>
    </xdr:from>
    <xdr:to>
      <xdr:col>7</xdr:col>
      <xdr:colOff>17206</xdr:colOff>
      <xdr:row>8</xdr:row>
      <xdr:rowOff>31574</xdr:rowOff>
    </xdr:to>
    <xdr:sp macro="" textlink="Lists!A40">
      <xdr:nvSpPr>
        <xdr:cNvPr id="10" name="birthshape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 bwMode="auto">
        <a:xfrm>
          <a:off x="132979" y="915663"/>
          <a:ext cx="4094172" cy="257859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080E676F-B882-4F50-AF47-205E701D44FD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930930, klass 84+ kg</a:t>
          </a:fld>
          <a:endParaRPr lang="sv-SE" sz="1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0</xdr:row>
      <xdr:rowOff>28575</xdr:rowOff>
    </xdr:from>
    <xdr:to>
      <xdr:col>7</xdr:col>
      <xdr:colOff>0</xdr:colOff>
      <xdr:row>4</xdr:row>
      <xdr:rowOff>57150</xdr:rowOff>
    </xdr:to>
    <xdr:sp macro="" textlink="Lifting!A1">
      <xdr:nvSpPr>
        <xdr:cNvPr id="8" name="nameshape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 bwMode="auto">
        <a:xfrm>
          <a:off x="114300" y="28575"/>
          <a:ext cx="4089400" cy="561975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2E32882E-6EE2-4819-B6C8-6B03B752AC8D}" type="TxLink">
            <a:rPr lang="en-US" sz="3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Frida Gustavsson</a:t>
          </a:fld>
          <a:endParaRPr lang="en-US" sz="3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0</xdr:colOff>
      <xdr:row>55</xdr:row>
      <xdr:rowOff>0</xdr:rowOff>
    </xdr:to>
    <xdr:sp macro="[0]!FullscreenShape_Click" textlink="">
      <xdr:nvSpPr>
        <xdr:cNvPr id="2" name="publicfullscree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111125" y="9223375"/>
          <a:ext cx="2389188" cy="635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4</xdr:col>
      <xdr:colOff>523874</xdr:colOff>
      <xdr:row>51</xdr:row>
      <xdr:rowOff>0</xdr:rowOff>
    </xdr:from>
    <xdr:to>
      <xdr:col>9</xdr:col>
      <xdr:colOff>581024</xdr:colOff>
      <xdr:row>55</xdr:row>
      <xdr:rowOff>0</xdr:rowOff>
    </xdr:to>
    <xdr:sp macro="[0]!NewWindow" textlink="">
      <xdr:nvSpPr>
        <xdr:cNvPr id="19" name="publicfullscreen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 bwMode="auto">
        <a:xfrm>
          <a:off x="3171824" y="9286875"/>
          <a:ext cx="2924175" cy="647700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4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Nytt fönster</a:t>
          </a:r>
        </a:p>
      </xdr:txBody>
    </xdr:sp>
    <xdr:clientData/>
  </xdr:twoCellAnchor>
  <xdr:twoCellAnchor>
    <xdr:from>
      <xdr:col>6</xdr:col>
      <xdr:colOff>609599</xdr:colOff>
      <xdr:row>1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21" name="lightsbackground" hidden="1">
          <a:extLst>
            <a:ext uri="{FF2B5EF4-FFF2-40B4-BE49-F238E27FC236}">
              <a16:creationId xmlns:a16="http://schemas.microsoft.com/office/drawing/2014/main" id="{81AA4A28-AAAD-4D7F-BBBB-E70B2E8110AF}"/>
            </a:ext>
          </a:extLst>
        </xdr:cNvPr>
        <xdr:cNvSpPr/>
      </xdr:nvSpPr>
      <xdr:spPr bwMode="auto">
        <a:xfrm>
          <a:off x="4352924" y="114300"/>
          <a:ext cx="3486151" cy="1028700"/>
        </a:xfrm>
        <a:prstGeom prst="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  <xdr:twoCellAnchor>
    <xdr:from>
      <xdr:col>9</xdr:col>
      <xdr:colOff>57150</xdr:colOff>
      <xdr:row>1</xdr:row>
      <xdr:rowOff>66674</xdr:rowOff>
    </xdr:from>
    <xdr:to>
      <xdr:col>10</xdr:col>
      <xdr:colOff>485253</xdr:colOff>
      <xdr:row>5</xdr:row>
      <xdr:rowOff>66675</xdr:rowOff>
    </xdr:to>
    <xdr:sp macro="" textlink="">
      <xdr:nvSpPr>
        <xdr:cNvPr id="22" name="light2" hidden="1">
          <a:extLst>
            <a:ext uri="{FF2B5EF4-FFF2-40B4-BE49-F238E27FC236}">
              <a16:creationId xmlns:a16="http://schemas.microsoft.com/office/drawing/2014/main" id="{8A67FE6B-A2CE-4C84-9C32-1BD25D7C88DC}"/>
            </a:ext>
          </a:extLst>
        </xdr:cNvPr>
        <xdr:cNvSpPr/>
      </xdr:nvSpPr>
      <xdr:spPr>
        <a:xfrm>
          <a:off x="5572125" y="180974"/>
          <a:ext cx="1009128" cy="609601"/>
        </a:xfrm>
        <a:prstGeom prst="roundRect">
          <a:avLst>
            <a:gd name="adj" fmla="val 8854"/>
          </a:avLst>
        </a:prstGeom>
        <a:solidFill>
          <a:srgbClr val="000000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10</xdr:col>
      <xdr:colOff>572126</xdr:colOff>
      <xdr:row>1</xdr:row>
      <xdr:rowOff>66674</xdr:rowOff>
    </xdr:from>
    <xdr:to>
      <xdr:col>12</xdr:col>
      <xdr:colOff>442682</xdr:colOff>
      <xdr:row>5</xdr:row>
      <xdr:rowOff>66675</xdr:rowOff>
    </xdr:to>
    <xdr:sp macro="" textlink="">
      <xdr:nvSpPr>
        <xdr:cNvPr id="23" name="light3" hidden="1">
          <a:extLst>
            <a:ext uri="{FF2B5EF4-FFF2-40B4-BE49-F238E27FC236}">
              <a16:creationId xmlns:a16="http://schemas.microsoft.com/office/drawing/2014/main" id="{0C8FAF62-1B4A-4195-8B73-0254C259B1E6}"/>
            </a:ext>
          </a:extLst>
        </xdr:cNvPr>
        <xdr:cNvSpPr/>
      </xdr:nvSpPr>
      <xdr:spPr>
        <a:xfrm>
          <a:off x="6668126" y="180974"/>
          <a:ext cx="1032606" cy="609601"/>
        </a:xfrm>
        <a:prstGeom prst="roundRect">
          <a:avLst>
            <a:gd name="adj" fmla="val 8854"/>
          </a:avLst>
        </a:prstGeom>
        <a:solidFill>
          <a:srgbClr val="000000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7</xdr:col>
      <xdr:colOff>121728</xdr:colOff>
      <xdr:row>5</xdr:row>
      <xdr:rowOff>154420</xdr:rowOff>
    </xdr:from>
    <xdr:to>
      <xdr:col>8</xdr:col>
      <xdr:colOff>546708</xdr:colOff>
      <xdr:row>6</xdr:row>
      <xdr:rowOff>169718</xdr:rowOff>
    </xdr:to>
    <xdr:sp macro="" textlink="">
      <xdr:nvSpPr>
        <xdr:cNvPr id="24" name="card1" hidden="1">
          <a:extLst>
            <a:ext uri="{FF2B5EF4-FFF2-40B4-BE49-F238E27FC236}">
              <a16:creationId xmlns:a16="http://schemas.microsoft.com/office/drawing/2014/main" id="{4DF3DBC8-FCC1-4992-80C0-5281BD382B9F}"/>
            </a:ext>
          </a:extLst>
        </xdr:cNvPr>
        <xdr:cNvSpPr/>
      </xdr:nvSpPr>
      <xdr:spPr>
        <a:xfrm>
          <a:off x="4474653" y="878320"/>
          <a:ext cx="1006005" cy="205798"/>
        </a:xfrm>
        <a:prstGeom prst="roundRect">
          <a:avLst>
            <a:gd name="adj" fmla="val 25104"/>
          </a:avLst>
        </a:prstGeom>
        <a:solidFill>
          <a:srgbClr val="0000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61477</xdr:colOff>
      <xdr:row>5</xdr:row>
      <xdr:rowOff>142875</xdr:rowOff>
    </xdr:from>
    <xdr:to>
      <xdr:col>10</xdr:col>
      <xdr:colOff>489265</xdr:colOff>
      <xdr:row>6</xdr:row>
      <xdr:rowOff>171450</xdr:rowOff>
    </xdr:to>
    <xdr:sp macro="" textlink="">
      <xdr:nvSpPr>
        <xdr:cNvPr id="25" name="card2" hidden="1">
          <a:extLst>
            <a:ext uri="{FF2B5EF4-FFF2-40B4-BE49-F238E27FC236}">
              <a16:creationId xmlns:a16="http://schemas.microsoft.com/office/drawing/2014/main" id="{43AE636D-669B-4E33-A84A-9E0E36945A8F}"/>
            </a:ext>
          </a:extLst>
        </xdr:cNvPr>
        <xdr:cNvSpPr/>
      </xdr:nvSpPr>
      <xdr:spPr>
        <a:xfrm>
          <a:off x="5576452" y="866775"/>
          <a:ext cx="1008813" cy="219075"/>
        </a:xfrm>
        <a:prstGeom prst="roundRect">
          <a:avLst>
            <a:gd name="adj" fmla="val 25104"/>
          </a:avLst>
        </a:prstGeom>
        <a:solidFill>
          <a:srgbClr val="0000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570954</xdr:colOff>
      <xdr:row>5</xdr:row>
      <xdr:rowOff>148649</xdr:rowOff>
    </xdr:from>
    <xdr:to>
      <xdr:col>12</xdr:col>
      <xdr:colOff>437527</xdr:colOff>
      <xdr:row>6</xdr:row>
      <xdr:rowOff>170585</xdr:rowOff>
    </xdr:to>
    <xdr:sp macro="" textlink="">
      <xdr:nvSpPr>
        <xdr:cNvPr id="26" name="card3" hidden="1">
          <a:extLst>
            <a:ext uri="{FF2B5EF4-FFF2-40B4-BE49-F238E27FC236}">
              <a16:creationId xmlns:a16="http://schemas.microsoft.com/office/drawing/2014/main" id="{030866C7-8092-4398-BE31-92649CC8AC01}"/>
            </a:ext>
          </a:extLst>
        </xdr:cNvPr>
        <xdr:cNvSpPr/>
      </xdr:nvSpPr>
      <xdr:spPr>
        <a:xfrm>
          <a:off x="6666954" y="872549"/>
          <a:ext cx="1028623" cy="212436"/>
        </a:xfrm>
        <a:prstGeom prst="roundRect">
          <a:avLst>
            <a:gd name="adj" fmla="val 25104"/>
          </a:avLst>
        </a:prstGeom>
        <a:solidFill>
          <a:srgbClr val="0000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8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123825</xdr:colOff>
      <xdr:row>1</xdr:row>
      <xdr:rowOff>66676</xdr:rowOff>
    </xdr:from>
    <xdr:to>
      <xdr:col>8</xdr:col>
      <xdr:colOff>538843</xdr:colOff>
      <xdr:row>5</xdr:row>
      <xdr:rowOff>66676</xdr:rowOff>
    </xdr:to>
    <xdr:sp macro="" textlink="">
      <xdr:nvSpPr>
        <xdr:cNvPr id="27" name="light1" hidden="1">
          <a:extLst>
            <a:ext uri="{FF2B5EF4-FFF2-40B4-BE49-F238E27FC236}">
              <a16:creationId xmlns:a16="http://schemas.microsoft.com/office/drawing/2014/main" id="{D6D4C884-0DD8-4608-B129-F1CC45EB3D1F}"/>
            </a:ext>
          </a:extLst>
        </xdr:cNvPr>
        <xdr:cNvSpPr/>
      </xdr:nvSpPr>
      <xdr:spPr>
        <a:xfrm>
          <a:off x="4476750" y="180976"/>
          <a:ext cx="996043" cy="609600"/>
        </a:xfrm>
        <a:prstGeom prst="roundRect">
          <a:avLst>
            <a:gd name="adj" fmla="val 8854"/>
          </a:avLst>
        </a:prstGeom>
        <a:solidFill>
          <a:srgbClr val="000000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9</xdr:row>
      <xdr:rowOff>76200</xdr:rowOff>
    </xdr:from>
    <xdr:to>
      <xdr:col>16</xdr:col>
      <xdr:colOff>0</xdr:colOff>
      <xdr:row>26</xdr:row>
      <xdr:rowOff>76200</xdr:rowOff>
    </xdr:to>
    <xdr:graphicFrame macro="">
      <xdr:nvGraphicFramePr>
        <xdr:cNvPr id="5" name="Chart 22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504825</xdr:colOff>
      <xdr:row>14</xdr:row>
      <xdr:rowOff>0</xdr:rowOff>
    </xdr:to>
    <xdr:sp macro="" textlink="Lifting!A3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6953250" y="1466850"/>
          <a:ext cx="416242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4123C98-D001-4C9C-8407-B315E76645F8}" type="TxLink">
            <a:rPr lang="en-US" sz="32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Sommarhemmets KS</a:t>
          </a:fld>
          <a:endParaRPr lang="sv-SE" sz="3200"/>
        </a:p>
      </xdr:txBody>
    </xdr:sp>
    <xdr:clientData/>
  </xdr:twoCellAnchor>
  <xdr:twoCellAnchor>
    <xdr:from>
      <xdr:col>12</xdr:col>
      <xdr:colOff>9526</xdr:colOff>
      <xdr:row>15</xdr:row>
      <xdr:rowOff>0</xdr:rowOff>
    </xdr:from>
    <xdr:to>
      <xdr:col>18</xdr:col>
      <xdr:colOff>523876</xdr:colOff>
      <xdr:row>20</xdr:row>
      <xdr:rowOff>0</xdr:rowOff>
    </xdr:to>
    <xdr:sp macro="" textlink="Lists!B38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6962776" y="2514600"/>
          <a:ext cx="4171950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A797A8A3-1AB0-4BF2-B366-FFF1B7AFB1FE}" type="TxLink">
            <a:rPr lang="en-US" sz="44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Klass 84+ kg</a:t>
          </a:fld>
          <a:endParaRPr lang="sv-SE" sz="4400"/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18</xdr:col>
      <xdr:colOff>495300</xdr:colOff>
      <xdr:row>26</xdr:row>
      <xdr:rowOff>0</xdr:rowOff>
    </xdr:to>
    <xdr:sp macro="" textlink="Lists!D44">
      <xdr:nvSpPr>
        <xdr:cNvPr id="4" name="TextBox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6953250" y="3409950"/>
          <a:ext cx="4152900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90EAF8E-B3A6-4581-A8E1-BA45BFC324DF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Knäböj 1</a:t>
          </a:fld>
          <a:endParaRPr lang="sv-SE" sz="4800"/>
        </a:p>
      </xdr:txBody>
    </xdr:sp>
    <xdr:clientData/>
  </xdr:twoCellAnchor>
  <xdr:twoCellAnchor>
    <xdr:from>
      <xdr:col>1</xdr:col>
      <xdr:colOff>38100</xdr:colOff>
      <xdr:row>1</xdr:row>
      <xdr:rowOff>38100</xdr:rowOff>
    </xdr:from>
    <xdr:to>
      <xdr:col>16</xdr:col>
      <xdr:colOff>581026</xdr:colOff>
      <xdr:row>8</xdr:row>
      <xdr:rowOff>0</xdr:rowOff>
    </xdr:to>
    <xdr:sp macro="" textlink="Lifting!A1">
      <xdr:nvSpPr>
        <xdr:cNvPr id="6" name="TextBox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285750" y="209550"/>
          <a:ext cx="9686926" cy="109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824199F3-F0AA-4109-9A10-B635895F5E06}" type="TxLink">
            <a:rPr lang="en-US" sz="66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Frida Gustavsson</a:t>
          </a:fld>
          <a:endParaRPr lang="sv-SE" sz="6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434578</xdr:colOff>
      <xdr:row>1</xdr:row>
      <xdr:rowOff>47625</xdr:rowOff>
    </xdr:from>
    <xdr:to>
      <xdr:col>18</xdr:col>
      <xdr:colOff>485775</xdr:colOff>
      <xdr:row>7</xdr:row>
      <xdr:rowOff>152400</xdr:rowOff>
    </xdr:to>
    <xdr:sp macro="" textlink="">
      <xdr:nvSpPr>
        <xdr:cNvPr id="7" name="attemptboardclock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 bwMode="auto">
        <a:xfrm>
          <a:off x="8578453" y="208359"/>
          <a:ext cx="2480072" cy="1069182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7500">
              <a:latin typeface="Arial" panose="020B0604020202020204" pitchFamily="34" charset="0"/>
              <a:cs typeface="Arial" panose="020B0604020202020204" pitchFamily="34" charset="0"/>
            </a:rPr>
            <a:t>0:24</a:t>
          </a:r>
        </a:p>
      </xdr:txBody>
    </xdr:sp>
    <xdr:clientData/>
  </xdr:twoCellAnchor>
  <xdr:twoCellAnchor>
    <xdr:from>
      <xdr:col>1</xdr:col>
      <xdr:colOff>0</xdr:colOff>
      <xdr:row>42</xdr:row>
      <xdr:rowOff>0</xdr:rowOff>
    </xdr:from>
    <xdr:to>
      <xdr:col>4</xdr:col>
      <xdr:colOff>560388</xdr:colOff>
      <xdr:row>45</xdr:row>
      <xdr:rowOff>149225</xdr:rowOff>
    </xdr:to>
    <xdr:sp macro="[0]!FullscreenShape_Click" textlink="">
      <xdr:nvSpPr>
        <xdr:cNvPr id="9" name="publicfullscreen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 bwMode="auto">
        <a:xfrm>
          <a:off x="247650" y="8343900"/>
          <a:ext cx="2389188" cy="6350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17</xdr:col>
      <xdr:colOff>552451</xdr:colOff>
      <xdr:row>1</xdr:row>
      <xdr:rowOff>19050</xdr:rowOff>
    </xdr:from>
    <xdr:to>
      <xdr:col>18</xdr:col>
      <xdr:colOff>390525</xdr:colOff>
      <xdr:row>2</xdr:row>
      <xdr:rowOff>85725</xdr:rowOff>
    </xdr:to>
    <xdr:sp macro="" textlink="">
      <xdr:nvSpPr>
        <xdr:cNvPr id="8" name="breaknotice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 bwMode="auto">
        <a:xfrm>
          <a:off x="10553701" y="266700"/>
          <a:ext cx="447674" cy="228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0</xdr:colOff>
      <xdr:row>42</xdr:row>
      <xdr:rowOff>0</xdr:rowOff>
    </xdr:from>
    <xdr:to>
      <xdr:col>11</xdr:col>
      <xdr:colOff>0</xdr:colOff>
      <xdr:row>45</xdr:row>
      <xdr:rowOff>149225</xdr:rowOff>
    </xdr:to>
    <xdr:sp macro="[0]!NewWindow" textlink="">
      <xdr:nvSpPr>
        <xdr:cNvPr id="15" name="publicfullscreen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 bwMode="auto">
        <a:xfrm>
          <a:off x="3295650" y="8343900"/>
          <a:ext cx="3048000" cy="635000"/>
        </a:xfrm>
        <a:prstGeom prst="rect">
          <a:avLst/>
        </a:prstGeom>
        <a:solidFill>
          <a:srgbClr val="1F497D">
            <a:lumMod val="75000"/>
          </a:srgbClr>
        </a:solidFill>
        <a:ln w="25400" cap="flat" cmpd="sng" algn="ctr">
          <a:noFill/>
          <a:prstDash val="solid"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4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Nytt fönster</a:t>
          </a:r>
        </a:p>
      </xdr:txBody>
    </xdr:sp>
    <xdr:clientData/>
  </xdr:twoCellAnchor>
  <xdr:twoCellAnchor>
    <xdr:from>
      <xdr:col>8</xdr:col>
      <xdr:colOff>28575</xdr:colOff>
      <xdr:row>30</xdr:row>
      <xdr:rowOff>0</xdr:rowOff>
    </xdr:from>
    <xdr:to>
      <xdr:col>13</xdr:col>
      <xdr:colOff>590550</xdr:colOff>
      <xdr:row>39</xdr:row>
      <xdr:rowOff>133351</xdr:rowOff>
    </xdr:to>
    <xdr:graphicFrame macro="">
      <xdr:nvGraphicFramePr>
        <xdr:cNvPr id="13" name="Chart 22">
          <a:extLst>
            <a:ext uri="{FF2B5EF4-FFF2-40B4-BE49-F238E27FC236}">
              <a16:creationId xmlns:a16="http://schemas.microsoft.com/office/drawing/2014/main" id="{8B8AA54C-29B3-4DB1-8B70-E857C46C15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27</xdr:col>
      <xdr:colOff>607218</xdr:colOff>
      <xdr:row>29</xdr:row>
      <xdr:rowOff>0</xdr:rowOff>
    </xdr:to>
    <xdr:sp macro="" textlink="">
      <xdr:nvSpPr>
        <xdr:cNvPr id="21" name="lightsbackground" hidden="1">
          <a:extLst>
            <a:ext uri="{FF2B5EF4-FFF2-40B4-BE49-F238E27FC236}">
              <a16:creationId xmlns:a16="http://schemas.microsoft.com/office/drawing/2014/main" id="{C45750E6-243B-4893-A405-CA9FC23C3D86}"/>
            </a:ext>
          </a:extLst>
        </xdr:cNvPr>
        <xdr:cNvSpPr/>
      </xdr:nvSpPr>
      <xdr:spPr bwMode="auto">
        <a:xfrm>
          <a:off x="0" y="0"/>
          <a:ext cx="12075318" cy="4695825"/>
        </a:xfrm>
        <a:prstGeom prst="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  <xdr:twoCellAnchor>
    <xdr:from>
      <xdr:col>7</xdr:col>
      <xdr:colOff>76200</xdr:colOff>
      <xdr:row>0</xdr:row>
      <xdr:rowOff>142876</xdr:rowOff>
    </xdr:from>
    <xdr:to>
      <xdr:col>12</xdr:col>
      <xdr:colOff>522611</xdr:colOff>
      <xdr:row>19</xdr:row>
      <xdr:rowOff>142875</xdr:rowOff>
    </xdr:to>
    <xdr:sp macro="" textlink="">
      <xdr:nvSpPr>
        <xdr:cNvPr id="22" name="light2" hidden="1">
          <a:extLst>
            <a:ext uri="{FF2B5EF4-FFF2-40B4-BE49-F238E27FC236}">
              <a16:creationId xmlns:a16="http://schemas.microsoft.com/office/drawing/2014/main" id="{64AD3D75-815D-4C8B-9FF5-E1ECCA9ED8ED}"/>
            </a:ext>
          </a:extLst>
        </xdr:cNvPr>
        <xdr:cNvSpPr/>
      </xdr:nvSpPr>
      <xdr:spPr>
        <a:xfrm>
          <a:off x="3981450" y="142876"/>
          <a:ext cx="3494411" cy="3076574"/>
        </a:xfrm>
        <a:prstGeom prst="roundRect">
          <a:avLst>
            <a:gd name="adj" fmla="val 8854"/>
          </a:avLst>
        </a:prstGeom>
        <a:solidFill>
          <a:srgbClr val="000000"/>
        </a:solidFill>
        <a:ln w="762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13</xdr:col>
      <xdr:colOff>84292</xdr:colOff>
      <xdr:row>0</xdr:row>
      <xdr:rowOff>143296</xdr:rowOff>
    </xdr:from>
    <xdr:to>
      <xdr:col>19</xdr:col>
      <xdr:colOff>0</xdr:colOff>
      <xdr:row>19</xdr:row>
      <xdr:rowOff>142875</xdr:rowOff>
    </xdr:to>
    <xdr:sp macro="" textlink="">
      <xdr:nvSpPr>
        <xdr:cNvPr id="23" name="light3" hidden="1">
          <a:extLst>
            <a:ext uri="{FF2B5EF4-FFF2-40B4-BE49-F238E27FC236}">
              <a16:creationId xmlns:a16="http://schemas.microsoft.com/office/drawing/2014/main" id="{3AB5FAA6-006A-47B1-8A67-6D0E97730A6A}"/>
            </a:ext>
          </a:extLst>
        </xdr:cNvPr>
        <xdr:cNvSpPr/>
      </xdr:nvSpPr>
      <xdr:spPr>
        <a:xfrm>
          <a:off x="7647142" y="143296"/>
          <a:ext cx="3573308" cy="3076154"/>
        </a:xfrm>
        <a:prstGeom prst="roundRect">
          <a:avLst>
            <a:gd name="adj" fmla="val 8854"/>
          </a:avLst>
        </a:prstGeom>
        <a:solidFill>
          <a:srgbClr val="000000"/>
        </a:solidFill>
        <a:ln w="762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</xdr:col>
      <xdr:colOff>0</xdr:colOff>
      <xdr:row>20</xdr:row>
      <xdr:rowOff>142875</xdr:rowOff>
    </xdr:from>
    <xdr:to>
      <xdr:col>6</xdr:col>
      <xdr:colOff>514350</xdr:colOff>
      <xdr:row>27</xdr:row>
      <xdr:rowOff>142875</xdr:rowOff>
    </xdr:to>
    <xdr:sp macro="" textlink="">
      <xdr:nvSpPr>
        <xdr:cNvPr id="24" name="card1" hidden="1">
          <a:extLst>
            <a:ext uri="{FF2B5EF4-FFF2-40B4-BE49-F238E27FC236}">
              <a16:creationId xmlns:a16="http://schemas.microsoft.com/office/drawing/2014/main" id="{FF475834-FED7-4EF4-A4C6-B7369EFCD237}"/>
            </a:ext>
          </a:extLst>
        </xdr:cNvPr>
        <xdr:cNvSpPr/>
      </xdr:nvSpPr>
      <xdr:spPr>
        <a:xfrm>
          <a:off x="247650" y="3381375"/>
          <a:ext cx="3562350" cy="1133475"/>
        </a:xfrm>
        <a:prstGeom prst="roundRect">
          <a:avLst>
            <a:gd name="adj" fmla="val 25104"/>
          </a:avLst>
        </a:prstGeom>
        <a:solidFill>
          <a:srgbClr val="000000"/>
        </a:solidFill>
        <a:ln w="762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28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85726</xdr:colOff>
      <xdr:row>20</xdr:row>
      <xdr:rowOff>142875</xdr:rowOff>
    </xdr:from>
    <xdr:to>
      <xdr:col>12</xdr:col>
      <xdr:colOff>531040</xdr:colOff>
      <xdr:row>27</xdr:row>
      <xdr:rowOff>142875</xdr:rowOff>
    </xdr:to>
    <xdr:sp macro="" textlink="">
      <xdr:nvSpPr>
        <xdr:cNvPr id="25" name="card2" hidden="1">
          <a:extLst>
            <a:ext uri="{FF2B5EF4-FFF2-40B4-BE49-F238E27FC236}">
              <a16:creationId xmlns:a16="http://schemas.microsoft.com/office/drawing/2014/main" id="{AD0FB52C-68CF-4AE5-A377-0B05249B79E1}"/>
            </a:ext>
          </a:extLst>
        </xdr:cNvPr>
        <xdr:cNvSpPr/>
      </xdr:nvSpPr>
      <xdr:spPr>
        <a:xfrm>
          <a:off x="3990976" y="3381375"/>
          <a:ext cx="3493314" cy="1133475"/>
        </a:xfrm>
        <a:prstGeom prst="roundRect">
          <a:avLst>
            <a:gd name="adj" fmla="val 25104"/>
          </a:avLst>
        </a:prstGeom>
        <a:solidFill>
          <a:srgbClr val="000000"/>
        </a:solidFill>
        <a:ln w="762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28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92721</xdr:colOff>
      <xdr:row>20</xdr:row>
      <xdr:rowOff>104775</xdr:rowOff>
    </xdr:from>
    <xdr:to>
      <xdr:col>18</xdr:col>
      <xdr:colOff>606902</xdr:colOff>
      <xdr:row>27</xdr:row>
      <xdr:rowOff>142875</xdr:rowOff>
    </xdr:to>
    <xdr:sp macro="" textlink="">
      <xdr:nvSpPr>
        <xdr:cNvPr id="26" name="card3" hidden="1">
          <a:extLst>
            <a:ext uri="{FF2B5EF4-FFF2-40B4-BE49-F238E27FC236}">
              <a16:creationId xmlns:a16="http://schemas.microsoft.com/office/drawing/2014/main" id="{4D6E6BBF-DAF4-47D8-A732-9917BC9E4EAF}"/>
            </a:ext>
          </a:extLst>
        </xdr:cNvPr>
        <xdr:cNvSpPr/>
      </xdr:nvSpPr>
      <xdr:spPr>
        <a:xfrm>
          <a:off x="7655571" y="3343275"/>
          <a:ext cx="3562181" cy="1171575"/>
        </a:xfrm>
        <a:prstGeom prst="roundRect">
          <a:avLst>
            <a:gd name="adj" fmla="val 25104"/>
          </a:avLst>
        </a:prstGeom>
        <a:solidFill>
          <a:srgbClr val="000000"/>
        </a:solidFill>
        <a:ln w="762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sv-SE" sz="28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0</xdr:row>
      <xdr:rowOff>142875</xdr:rowOff>
    </xdr:from>
    <xdr:to>
      <xdr:col>6</xdr:col>
      <xdr:colOff>495300</xdr:colOff>
      <xdr:row>19</xdr:row>
      <xdr:rowOff>144235</xdr:rowOff>
    </xdr:to>
    <xdr:sp macro="" textlink="">
      <xdr:nvSpPr>
        <xdr:cNvPr id="27" name="light1" hidden="1">
          <a:extLst>
            <a:ext uri="{FF2B5EF4-FFF2-40B4-BE49-F238E27FC236}">
              <a16:creationId xmlns:a16="http://schemas.microsoft.com/office/drawing/2014/main" id="{E84F7725-320E-4F7B-A627-353E46CD76B2}"/>
            </a:ext>
          </a:extLst>
        </xdr:cNvPr>
        <xdr:cNvSpPr/>
      </xdr:nvSpPr>
      <xdr:spPr>
        <a:xfrm>
          <a:off x="247650" y="142875"/>
          <a:ext cx="3543300" cy="3077935"/>
        </a:xfrm>
        <a:prstGeom prst="roundRect">
          <a:avLst>
            <a:gd name="adj" fmla="val 8854"/>
          </a:avLst>
        </a:prstGeom>
        <a:solidFill>
          <a:srgbClr val="000000"/>
        </a:solidFill>
        <a:ln w="762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15</xdr:col>
      <xdr:colOff>0</xdr:colOff>
      <xdr:row>42</xdr:row>
      <xdr:rowOff>0</xdr:rowOff>
    </xdr:from>
    <xdr:to>
      <xdr:col>15</xdr:col>
      <xdr:colOff>571500</xdr:colOff>
      <xdr:row>50</xdr:row>
      <xdr:rowOff>28575</xdr:rowOff>
    </xdr:to>
    <xdr:sp macro="" textlink="">
      <xdr:nvSpPr>
        <xdr:cNvPr id="56" name="referee1">
          <a:extLst>
            <a:ext uri="{FF2B5EF4-FFF2-40B4-BE49-F238E27FC236}">
              <a16:creationId xmlns:a16="http://schemas.microsoft.com/office/drawing/2014/main" id="{C0425D9E-9DF9-4EC7-B40B-F160236014E8}"/>
            </a:ext>
          </a:extLst>
        </xdr:cNvPr>
        <xdr:cNvSpPr/>
      </xdr:nvSpPr>
      <xdr:spPr>
        <a:xfrm>
          <a:off x="8782050" y="8191500"/>
          <a:ext cx="571500" cy="1323975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15</xdr:col>
      <xdr:colOff>171450</xdr:colOff>
      <xdr:row>42</xdr:row>
      <xdr:rowOff>57150</xdr:rowOff>
    </xdr:from>
    <xdr:to>
      <xdr:col>15</xdr:col>
      <xdr:colOff>415925</xdr:colOff>
      <xdr:row>43</xdr:row>
      <xdr:rowOff>142875</xdr:rowOff>
    </xdr:to>
    <xdr:sp macro="[0]!white1" textlink="">
      <xdr:nvSpPr>
        <xdr:cNvPr id="57" name="white1button">
          <a:extLst>
            <a:ext uri="{FF2B5EF4-FFF2-40B4-BE49-F238E27FC236}">
              <a16:creationId xmlns:a16="http://schemas.microsoft.com/office/drawing/2014/main" id="{A0A2CC69-03D3-4D90-B4E6-034AD2D58E76}"/>
            </a:ext>
          </a:extLst>
        </xdr:cNvPr>
        <xdr:cNvSpPr/>
      </xdr:nvSpPr>
      <xdr:spPr>
        <a:xfrm>
          <a:off x="8953500" y="8248650"/>
          <a:ext cx="244475" cy="247650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Q</a:t>
          </a:r>
        </a:p>
      </xdr:txBody>
    </xdr:sp>
    <xdr:clientData/>
  </xdr:twoCellAnchor>
  <xdr:twoCellAnchor>
    <xdr:from>
      <xdr:col>15</xdr:col>
      <xdr:colOff>171450</xdr:colOff>
      <xdr:row>48</xdr:row>
      <xdr:rowOff>28575</xdr:rowOff>
    </xdr:from>
    <xdr:to>
      <xdr:col>15</xdr:col>
      <xdr:colOff>415925</xdr:colOff>
      <xdr:row>49</xdr:row>
      <xdr:rowOff>114300</xdr:rowOff>
    </xdr:to>
    <xdr:sp macro="[0]!yellow1" textlink="">
      <xdr:nvSpPr>
        <xdr:cNvPr id="58" name="yellow1button">
          <a:extLst>
            <a:ext uri="{FF2B5EF4-FFF2-40B4-BE49-F238E27FC236}">
              <a16:creationId xmlns:a16="http://schemas.microsoft.com/office/drawing/2014/main" id="{291E89F5-DC79-4EC7-B8C4-04019BEBF442}"/>
            </a:ext>
          </a:extLst>
        </xdr:cNvPr>
        <xdr:cNvSpPr/>
      </xdr:nvSpPr>
      <xdr:spPr>
        <a:xfrm>
          <a:off x="8953500" y="9191625"/>
          <a:ext cx="244475" cy="247650"/>
        </a:xfrm>
        <a:prstGeom prst="ellipse">
          <a:avLst/>
        </a:prstGeom>
        <a:solidFill>
          <a:srgbClr val="FFFF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</a:t>
          </a:r>
        </a:p>
      </xdr:txBody>
    </xdr:sp>
    <xdr:clientData/>
  </xdr:twoCellAnchor>
  <xdr:twoCellAnchor>
    <xdr:from>
      <xdr:col>15</xdr:col>
      <xdr:colOff>171450</xdr:colOff>
      <xdr:row>46</xdr:row>
      <xdr:rowOff>38100</xdr:rowOff>
    </xdr:from>
    <xdr:to>
      <xdr:col>15</xdr:col>
      <xdr:colOff>415925</xdr:colOff>
      <xdr:row>47</xdr:row>
      <xdr:rowOff>123825</xdr:rowOff>
    </xdr:to>
    <xdr:sp macro="[0]!blue1" textlink="">
      <xdr:nvSpPr>
        <xdr:cNvPr id="59" name="blue1button">
          <a:extLst>
            <a:ext uri="{FF2B5EF4-FFF2-40B4-BE49-F238E27FC236}">
              <a16:creationId xmlns:a16="http://schemas.microsoft.com/office/drawing/2014/main" id="{39A00799-7C9B-4D72-B582-D9224B90196B}"/>
            </a:ext>
          </a:extLst>
        </xdr:cNvPr>
        <xdr:cNvSpPr/>
      </xdr:nvSpPr>
      <xdr:spPr>
        <a:xfrm>
          <a:off x="8953500" y="8877300"/>
          <a:ext cx="244475" cy="247650"/>
        </a:xfrm>
        <a:prstGeom prst="ellipse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E</a:t>
          </a:r>
        </a:p>
      </xdr:txBody>
    </xdr:sp>
    <xdr:clientData/>
  </xdr:twoCellAnchor>
  <xdr:twoCellAnchor>
    <xdr:from>
      <xdr:col>15</xdr:col>
      <xdr:colOff>171450</xdr:colOff>
      <xdr:row>44</xdr:row>
      <xdr:rowOff>47625</xdr:rowOff>
    </xdr:from>
    <xdr:to>
      <xdr:col>15</xdr:col>
      <xdr:colOff>415925</xdr:colOff>
      <xdr:row>45</xdr:row>
      <xdr:rowOff>133350</xdr:rowOff>
    </xdr:to>
    <xdr:sp macro="[0]!rred1" textlink="">
      <xdr:nvSpPr>
        <xdr:cNvPr id="60" name="red1button">
          <a:extLst>
            <a:ext uri="{FF2B5EF4-FFF2-40B4-BE49-F238E27FC236}">
              <a16:creationId xmlns:a16="http://schemas.microsoft.com/office/drawing/2014/main" id="{1FE28A63-AD34-466F-A7F3-AB6516C28090}"/>
            </a:ext>
          </a:extLst>
        </xdr:cNvPr>
        <xdr:cNvSpPr/>
      </xdr:nvSpPr>
      <xdr:spPr>
        <a:xfrm>
          <a:off x="8953500" y="8562975"/>
          <a:ext cx="244475" cy="247650"/>
        </a:xfrm>
        <a:prstGeom prst="ellipse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W</a:t>
          </a:r>
        </a:p>
      </xdr:txBody>
    </xdr:sp>
    <xdr:clientData/>
  </xdr:twoCellAnchor>
  <xdr:twoCellAnchor>
    <xdr:from>
      <xdr:col>16</xdr:col>
      <xdr:colOff>123825</xdr:colOff>
      <xdr:row>42</xdr:row>
      <xdr:rowOff>0</xdr:rowOff>
    </xdr:from>
    <xdr:to>
      <xdr:col>17</xdr:col>
      <xdr:colOff>85725</xdr:colOff>
      <xdr:row>50</xdr:row>
      <xdr:rowOff>28575</xdr:rowOff>
    </xdr:to>
    <xdr:sp macro="" textlink="">
      <xdr:nvSpPr>
        <xdr:cNvPr id="61" name="referee2">
          <a:extLst>
            <a:ext uri="{FF2B5EF4-FFF2-40B4-BE49-F238E27FC236}">
              <a16:creationId xmlns:a16="http://schemas.microsoft.com/office/drawing/2014/main" id="{1BE80898-44F4-4F3E-BB01-427BA8B96E5A}"/>
            </a:ext>
          </a:extLst>
        </xdr:cNvPr>
        <xdr:cNvSpPr/>
      </xdr:nvSpPr>
      <xdr:spPr>
        <a:xfrm>
          <a:off x="9515475" y="8191500"/>
          <a:ext cx="571500" cy="1323975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16</xdr:col>
      <xdr:colOff>295275</xdr:colOff>
      <xdr:row>42</xdr:row>
      <xdr:rowOff>57150</xdr:rowOff>
    </xdr:from>
    <xdr:to>
      <xdr:col>16</xdr:col>
      <xdr:colOff>539750</xdr:colOff>
      <xdr:row>43</xdr:row>
      <xdr:rowOff>142875</xdr:rowOff>
    </xdr:to>
    <xdr:sp macro="[0]!white2" textlink="">
      <xdr:nvSpPr>
        <xdr:cNvPr id="62" name="white2button">
          <a:extLst>
            <a:ext uri="{FF2B5EF4-FFF2-40B4-BE49-F238E27FC236}">
              <a16:creationId xmlns:a16="http://schemas.microsoft.com/office/drawing/2014/main" id="{79816331-C302-4503-B3B2-8804BC1960D8}"/>
            </a:ext>
          </a:extLst>
        </xdr:cNvPr>
        <xdr:cNvSpPr/>
      </xdr:nvSpPr>
      <xdr:spPr>
        <a:xfrm>
          <a:off x="9686925" y="8248650"/>
          <a:ext cx="244475" cy="247650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A</a:t>
          </a:r>
        </a:p>
      </xdr:txBody>
    </xdr:sp>
    <xdr:clientData/>
  </xdr:twoCellAnchor>
  <xdr:twoCellAnchor>
    <xdr:from>
      <xdr:col>16</xdr:col>
      <xdr:colOff>295275</xdr:colOff>
      <xdr:row>48</xdr:row>
      <xdr:rowOff>28575</xdr:rowOff>
    </xdr:from>
    <xdr:to>
      <xdr:col>16</xdr:col>
      <xdr:colOff>539750</xdr:colOff>
      <xdr:row>49</xdr:row>
      <xdr:rowOff>114300</xdr:rowOff>
    </xdr:to>
    <xdr:sp macro="[0]!yellow2" textlink="">
      <xdr:nvSpPr>
        <xdr:cNvPr id="63" name="yellow2button">
          <a:extLst>
            <a:ext uri="{FF2B5EF4-FFF2-40B4-BE49-F238E27FC236}">
              <a16:creationId xmlns:a16="http://schemas.microsoft.com/office/drawing/2014/main" id="{A76493DA-85EC-4939-8360-A110FA39189D}"/>
            </a:ext>
          </a:extLst>
        </xdr:cNvPr>
        <xdr:cNvSpPr/>
      </xdr:nvSpPr>
      <xdr:spPr>
        <a:xfrm>
          <a:off x="9686925" y="9191625"/>
          <a:ext cx="244475" cy="247650"/>
        </a:xfrm>
        <a:prstGeom prst="ellipse">
          <a:avLst/>
        </a:prstGeom>
        <a:solidFill>
          <a:srgbClr val="FFFF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</a:t>
          </a:r>
        </a:p>
      </xdr:txBody>
    </xdr:sp>
    <xdr:clientData/>
  </xdr:twoCellAnchor>
  <xdr:twoCellAnchor>
    <xdr:from>
      <xdr:col>16</xdr:col>
      <xdr:colOff>295275</xdr:colOff>
      <xdr:row>46</xdr:row>
      <xdr:rowOff>38100</xdr:rowOff>
    </xdr:from>
    <xdr:to>
      <xdr:col>16</xdr:col>
      <xdr:colOff>539750</xdr:colOff>
      <xdr:row>47</xdr:row>
      <xdr:rowOff>123825</xdr:rowOff>
    </xdr:to>
    <xdr:sp macro="[0]!blue2" textlink="">
      <xdr:nvSpPr>
        <xdr:cNvPr id="64" name="blue2button">
          <a:extLst>
            <a:ext uri="{FF2B5EF4-FFF2-40B4-BE49-F238E27FC236}">
              <a16:creationId xmlns:a16="http://schemas.microsoft.com/office/drawing/2014/main" id="{FFC540FC-AE0B-4BB3-BD2D-54BF34A22D24}"/>
            </a:ext>
          </a:extLst>
        </xdr:cNvPr>
        <xdr:cNvSpPr/>
      </xdr:nvSpPr>
      <xdr:spPr>
        <a:xfrm>
          <a:off x="9686925" y="8877300"/>
          <a:ext cx="244475" cy="247650"/>
        </a:xfrm>
        <a:prstGeom prst="ellipse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</a:t>
          </a:r>
        </a:p>
      </xdr:txBody>
    </xdr:sp>
    <xdr:clientData/>
  </xdr:twoCellAnchor>
  <xdr:twoCellAnchor>
    <xdr:from>
      <xdr:col>16</xdr:col>
      <xdr:colOff>295275</xdr:colOff>
      <xdr:row>44</xdr:row>
      <xdr:rowOff>47625</xdr:rowOff>
    </xdr:from>
    <xdr:to>
      <xdr:col>16</xdr:col>
      <xdr:colOff>539750</xdr:colOff>
      <xdr:row>45</xdr:row>
      <xdr:rowOff>133350</xdr:rowOff>
    </xdr:to>
    <xdr:sp macro="[0]!rred2" textlink="">
      <xdr:nvSpPr>
        <xdr:cNvPr id="65" name="red1button">
          <a:extLst>
            <a:ext uri="{FF2B5EF4-FFF2-40B4-BE49-F238E27FC236}">
              <a16:creationId xmlns:a16="http://schemas.microsoft.com/office/drawing/2014/main" id="{B88FBE67-E745-4DE9-839B-A08D666ECC3E}"/>
            </a:ext>
          </a:extLst>
        </xdr:cNvPr>
        <xdr:cNvSpPr/>
      </xdr:nvSpPr>
      <xdr:spPr>
        <a:xfrm>
          <a:off x="9686925" y="8562975"/>
          <a:ext cx="244475" cy="247650"/>
        </a:xfrm>
        <a:prstGeom prst="ellipse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17</xdr:col>
      <xdr:colOff>266700</xdr:colOff>
      <xdr:row>42</xdr:row>
      <xdr:rowOff>9525</xdr:rowOff>
    </xdr:from>
    <xdr:to>
      <xdr:col>18</xdr:col>
      <xdr:colOff>228600</xdr:colOff>
      <xdr:row>50</xdr:row>
      <xdr:rowOff>38100</xdr:rowOff>
    </xdr:to>
    <xdr:sp macro="" textlink="">
      <xdr:nvSpPr>
        <xdr:cNvPr id="66" name="referee3">
          <a:extLst>
            <a:ext uri="{FF2B5EF4-FFF2-40B4-BE49-F238E27FC236}">
              <a16:creationId xmlns:a16="http://schemas.microsoft.com/office/drawing/2014/main" id="{B2E12EED-416E-43E5-A570-08C766E8DF0D}"/>
            </a:ext>
          </a:extLst>
        </xdr:cNvPr>
        <xdr:cNvSpPr/>
      </xdr:nvSpPr>
      <xdr:spPr>
        <a:xfrm>
          <a:off x="10267950" y="8201025"/>
          <a:ext cx="571500" cy="1323975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17</xdr:col>
      <xdr:colOff>428625</xdr:colOff>
      <xdr:row>42</xdr:row>
      <xdr:rowOff>66675</xdr:rowOff>
    </xdr:from>
    <xdr:to>
      <xdr:col>18</xdr:col>
      <xdr:colOff>63500</xdr:colOff>
      <xdr:row>43</xdr:row>
      <xdr:rowOff>152400</xdr:rowOff>
    </xdr:to>
    <xdr:sp macro="[0]!white3" textlink="">
      <xdr:nvSpPr>
        <xdr:cNvPr id="67" name="white3button">
          <a:extLst>
            <a:ext uri="{FF2B5EF4-FFF2-40B4-BE49-F238E27FC236}">
              <a16:creationId xmlns:a16="http://schemas.microsoft.com/office/drawing/2014/main" id="{7B85A04C-33BD-4535-BABF-9BEE971E6E1F}"/>
            </a:ext>
          </a:extLst>
        </xdr:cNvPr>
        <xdr:cNvSpPr/>
      </xdr:nvSpPr>
      <xdr:spPr>
        <a:xfrm>
          <a:off x="10429875" y="8258175"/>
          <a:ext cx="244475" cy="247650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Z</a:t>
          </a:r>
        </a:p>
      </xdr:txBody>
    </xdr:sp>
    <xdr:clientData/>
  </xdr:twoCellAnchor>
  <xdr:twoCellAnchor>
    <xdr:from>
      <xdr:col>17</xdr:col>
      <xdr:colOff>428625</xdr:colOff>
      <xdr:row>48</xdr:row>
      <xdr:rowOff>38100</xdr:rowOff>
    </xdr:from>
    <xdr:to>
      <xdr:col>18</xdr:col>
      <xdr:colOff>63500</xdr:colOff>
      <xdr:row>49</xdr:row>
      <xdr:rowOff>123825</xdr:rowOff>
    </xdr:to>
    <xdr:sp macro="[0]!yellow3" textlink="">
      <xdr:nvSpPr>
        <xdr:cNvPr id="68" name="yellow3button">
          <a:extLst>
            <a:ext uri="{FF2B5EF4-FFF2-40B4-BE49-F238E27FC236}">
              <a16:creationId xmlns:a16="http://schemas.microsoft.com/office/drawing/2014/main" id="{0F1F3EFA-80DA-44DA-8BAB-CA74BC688400}"/>
            </a:ext>
          </a:extLst>
        </xdr:cNvPr>
        <xdr:cNvSpPr/>
      </xdr:nvSpPr>
      <xdr:spPr>
        <a:xfrm>
          <a:off x="10429875" y="9201150"/>
          <a:ext cx="244475" cy="247650"/>
        </a:xfrm>
        <a:prstGeom prst="ellipse">
          <a:avLst/>
        </a:prstGeom>
        <a:solidFill>
          <a:srgbClr val="FFFF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</a:t>
          </a:r>
        </a:p>
      </xdr:txBody>
    </xdr:sp>
    <xdr:clientData/>
  </xdr:twoCellAnchor>
  <xdr:twoCellAnchor>
    <xdr:from>
      <xdr:col>17</xdr:col>
      <xdr:colOff>428625</xdr:colOff>
      <xdr:row>46</xdr:row>
      <xdr:rowOff>47625</xdr:rowOff>
    </xdr:from>
    <xdr:to>
      <xdr:col>18</xdr:col>
      <xdr:colOff>63500</xdr:colOff>
      <xdr:row>47</xdr:row>
      <xdr:rowOff>133350</xdr:rowOff>
    </xdr:to>
    <xdr:sp macro="[0]!blue3" textlink="">
      <xdr:nvSpPr>
        <xdr:cNvPr id="69" name="blue3button">
          <a:extLst>
            <a:ext uri="{FF2B5EF4-FFF2-40B4-BE49-F238E27FC236}">
              <a16:creationId xmlns:a16="http://schemas.microsoft.com/office/drawing/2014/main" id="{502A53D9-B745-4589-937E-7222C1FAFB4B}"/>
            </a:ext>
          </a:extLst>
        </xdr:cNvPr>
        <xdr:cNvSpPr/>
      </xdr:nvSpPr>
      <xdr:spPr>
        <a:xfrm>
          <a:off x="10429875" y="8886825"/>
          <a:ext cx="244475" cy="247650"/>
        </a:xfrm>
        <a:prstGeom prst="ellipse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</a:t>
          </a:r>
        </a:p>
      </xdr:txBody>
    </xdr:sp>
    <xdr:clientData/>
  </xdr:twoCellAnchor>
  <xdr:twoCellAnchor>
    <xdr:from>
      <xdr:col>17</xdr:col>
      <xdr:colOff>428625</xdr:colOff>
      <xdr:row>44</xdr:row>
      <xdr:rowOff>57150</xdr:rowOff>
    </xdr:from>
    <xdr:to>
      <xdr:col>18</xdr:col>
      <xdr:colOff>63500</xdr:colOff>
      <xdr:row>45</xdr:row>
      <xdr:rowOff>142875</xdr:rowOff>
    </xdr:to>
    <xdr:sp macro="[0]!rred3" textlink="">
      <xdr:nvSpPr>
        <xdr:cNvPr id="70" name="red3button">
          <a:extLst>
            <a:ext uri="{FF2B5EF4-FFF2-40B4-BE49-F238E27FC236}">
              <a16:creationId xmlns:a16="http://schemas.microsoft.com/office/drawing/2014/main" id="{C5F70669-2E17-4A7C-899A-888794654F60}"/>
            </a:ext>
          </a:extLst>
        </xdr:cNvPr>
        <xdr:cNvSpPr/>
      </xdr:nvSpPr>
      <xdr:spPr>
        <a:xfrm>
          <a:off x="10429875" y="8572500"/>
          <a:ext cx="244475" cy="247650"/>
        </a:xfrm>
        <a:prstGeom prst="ellipse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X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180974</xdr:colOff>
      <xdr:row>0</xdr:row>
      <xdr:rowOff>38100</xdr:rowOff>
    </xdr:from>
    <xdr:to>
      <xdr:col>2</xdr:col>
      <xdr:colOff>295275</xdr:colOff>
      <xdr:row>6</xdr:row>
      <xdr:rowOff>148590</xdr:rowOff>
    </xdr:to>
    <xdr:pic>
      <xdr:nvPicPr>
        <xdr:cNvPr id="5" name="Picture 4" descr="Svenska Styrkelyftförbundets foto.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4" y="38100"/>
          <a:ext cx="1085851" cy="11487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NextLifter_public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S4/Experimen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\Users\Users\NextLifter-SONY\Desktop\2015%20NextLifter%20Update\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Lifting"/>
      <sheetName val="Public"/>
      <sheetName val="Weigh-In"/>
      <sheetName val="DATA"/>
      <sheetName val="ContestResults"/>
      <sheetName val="QuickPrint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Weigh-In"/>
      <sheetName val="Lifting"/>
      <sheetName val="Public"/>
      <sheetName val="DATA"/>
      <sheetName val="AttemptBoard"/>
      <sheetName val="QuickPrint"/>
      <sheetName val="QuickPrint-old"/>
      <sheetName val="ContestResults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69"/>
  <sheetViews>
    <sheetView workbookViewId="0">
      <selection activeCell="O16" sqref="O16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15" width="9.140625" style="8"/>
    <col min="16" max="18" width="9.140625" style="7"/>
    <col min="19" max="26" width="9.140625" style="7" hidden="1" customWidth="1"/>
    <col min="27" max="16384" width="9.140625" style="7"/>
  </cols>
  <sheetData>
    <row r="1" spans="1:23" x14ac:dyDescent="0.2">
      <c r="A1" s="89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327" t="s">
        <v>263</v>
      </c>
      <c r="C3" s="328"/>
      <c r="D3" s="328"/>
      <c r="E3" s="328"/>
      <c r="F3" s="329"/>
      <c r="H3" s="354" t="s">
        <v>158</v>
      </c>
      <c r="I3" s="355"/>
      <c r="J3" s="356"/>
      <c r="K3" s="362" t="s">
        <v>159</v>
      </c>
      <c r="L3" s="363"/>
      <c r="M3" s="360" t="s">
        <v>172</v>
      </c>
      <c r="O3" s="336" t="s">
        <v>147</v>
      </c>
      <c r="P3" s="337"/>
      <c r="Q3" s="337"/>
      <c r="R3" s="338"/>
      <c r="W3" s="1" t="s">
        <v>62</v>
      </c>
    </row>
    <row r="4" spans="1:23" ht="13.5" customHeight="1" thickBot="1" x14ac:dyDescent="0.25">
      <c r="B4" s="330"/>
      <c r="C4" s="331"/>
      <c r="D4" s="331"/>
      <c r="E4" s="331"/>
      <c r="F4" s="332"/>
      <c r="H4" s="357"/>
      <c r="I4" s="358"/>
      <c r="J4" s="359"/>
      <c r="K4" s="364"/>
      <c r="L4" s="365"/>
      <c r="M4" s="361"/>
      <c r="O4" s="339"/>
      <c r="P4" s="340"/>
      <c r="Q4" s="340"/>
      <c r="R4" s="341"/>
      <c r="W4" s="1" t="s">
        <v>63</v>
      </c>
    </row>
    <row r="5" spans="1:23" ht="12.75" customHeight="1" x14ac:dyDescent="0.2">
      <c r="H5" s="63"/>
      <c r="I5" s="80" t="str">
        <f>M3</f>
        <v>Kg</v>
      </c>
      <c r="J5" s="81"/>
      <c r="K5" s="9"/>
      <c r="L5" s="6" t="str">
        <f>M3</f>
        <v>Kg</v>
      </c>
      <c r="M5" s="10"/>
      <c r="O5" s="63" t="s">
        <v>148</v>
      </c>
      <c r="P5" s="342" t="s">
        <v>149</v>
      </c>
      <c r="Q5" s="342"/>
      <c r="R5" s="343"/>
      <c r="W5" s="1" t="s">
        <v>64</v>
      </c>
    </row>
    <row r="6" spans="1:23" ht="13.5" customHeight="1" thickBot="1" x14ac:dyDescent="0.25">
      <c r="H6" s="9"/>
      <c r="I6" s="6">
        <f ca="1">ABS(Lifting!C2)</f>
        <v>70</v>
      </c>
      <c r="J6" s="10">
        <f ca="1">2*(J9*I9+J10*I10+J11*I11+J12*I12+J13*I13+J14*I14+J15*I15+J16*I16+J17*I17+J18*I18+J19*I19)+55</f>
        <v>55</v>
      </c>
      <c r="K6" s="9"/>
      <c r="L6" s="6">
        <f ca="1">I6</f>
        <v>70</v>
      </c>
      <c r="M6" s="10">
        <f ca="1">2*(M9*L9+M10*L10+M11*L11+M12*L12+M13*L13+M14*L14+M15*L15+M16*L16+M17*L17+M18*L18+M19*L19)+25</f>
        <v>70</v>
      </c>
      <c r="O6" s="11" t="s">
        <v>211</v>
      </c>
      <c r="P6" s="321" t="s">
        <v>224</v>
      </c>
      <c r="Q6" s="322"/>
      <c r="R6" s="323"/>
      <c r="W6" s="1" t="s">
        <v>65</v>
      </c>
    </row>
    <row r="7" spans="1:23" x14ac:dyDescent="0.2">
      <c r="B7" s="327" t="s">
        <v>61</v>
      </c>
      <c r="C7" s="328"/>
      <c r="D7" s="328"/>
      <c r="E7" s="328"/>
      <c r="F7" s="329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 t="s">
        <v>212</v>
      </c>
      <c r="P7" s="318" t="s">
        <v>215</v>
      </c>
      <c r="Q7" s="319"/>
      <c r="R7" s="320"/>
      <c r="W7" s="1"/>
    </row>
    <row r="8" spans="1:23" ht="13.5" thickBot="1" x14ac:dyDescent="0.25">
      <c r="B8" s="330"/>
      <c r="C8" s="331"/>
      <c r="D8" s="331"/>
      <c r="E8" s="331"/>
      <c r="F8" s="332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83" t="s">
        <v>119</v>
      </c>
      <c r="P8" s="318" t="s">
        <v>225</v>
      </c>
      <c r="Q8" s="319"/>
      <c r="R8" s="320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83" t="s">
        <v>213</v>
      </c>
      <c r="P9" s="318" t="s">
        <v>216</v>
      </c>
      <c r="Q9" s="319"/>
      <c r="R9" s="320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83" t="s">
        <v>183</v>
      </c>
      <c r="P10" s="318" t="s">
        <v>184</v>
      </c>
      <c r="Q10" s="319"/>
      <c r="R10" s="320"/>
    </row>
    <row r="11" spans="1:23" x14ac:dyDescent="0.2">
      <c r="B11" s="14" t="s">
        <v>73</v>
      </c>
      <c r="C11" s="333" t="s">
        <v>74</v>
      </c>
      <c r="D11" s="334"/>
      <c r="E11" s="335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0</v>
      </c>
      <c r="O11" s="83" t="s">
        <v>214</v>
      </c>
      <c r="P11" s="318" t="s">
        <v>217</v>
      </c>
      <c r="Q11" s="319"/>
      <c r="R11" s="320"/>
    </row>
    <row r="12" spans="1:23" x14ac:dyDescent="0.2">
      <c r="B12" s="61" t="s">
        <v>222</v>
      </c>
      <c r="C12" s="324" t="s">
        <v>75</v>
      </c>
      <c r="D12" s="325"/>
      <c r="E12" s="326"/>
      <c r="F12" s="62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1</v>
      </c>
      <c r="O12" s="83" t="s">
        <v>218</v>
      </c>
      <c r="P12" s="318" t="s">
        <v>219</v>
      </c>
      <c r="Q12" s="319"/>
      <c r="R12" s="320"/>
    </row>
    <row r="13" spans="1:23" x14ac:dyDescent="0.2">
      <c r="B13" s="61" t="s">
        <v>223</v>
      </c>
      <c r="C13" s="324" t="s">
        <v>141</v>
      </c>
      <c r="D13" s="325"/>
      <c r="E13" s="326"/>
      <c r="F13" s="62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283" t="s">
        <v>259</v>
      </c>
      <c r="P13" s="352" t="s">
        <v>260</v>
      </c>
      <c r="Q13" s="352"/>
      <c r="R13" s="353"/>
    </row>
    <row r="14" spans="1:23" x14ac:dyDescent="0.2">
      <c r="B14" s="61" t="s">
        <v>220</v>
      </c>
      <c r="C14" s="324" t="s">
        <v>221</v>
      </c>
      <c r="D14" s="325"/>
      <c r="E14" s="326"/>
      <c r="F14" s="62">
        <v>2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0</v>
      </c>
      <c r="O14" s="83" t="s">
        <v>261</v>
      </c>
      <c r="P14" s="318" t="s">
        <v>262</v>
      </c>
      <c r="Q14" s="319"/>
      <c r="R14" s="320"/>
    </row>
    <row r="15" spans="1:23" x14ac:dyDescent="0.2">
      <c r="B15" s="61"/>
      <c r="C15" s="324"/>
      <c r="D15" s="325"/>
      <c r="E15" s="326"/>
      <c r="F15" s="62"/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83" t="s">
        <v>349</v>
      </c>
      <c r="P15" s="318" t="s">
        <v>350</v>
      </c>
      <c r="Q15" s="319"/>
      <c r="R15" s="320"/>
    </row>
    <row r="16" spans="1:23" x14ac:dyDescent="0.2">
      <c r="B16" s="61"/>
      <c r="C16" s="324"/>
      <c r="D16" s="325"/>
      <c r="E16" s="326"/>
      <c r="F16" s="62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83"/>
      <c r="P16" s="318"/>
      <c r="Q16" s="319"/>
      <c r="R16" s="320"/>
    </row>
    <row r="17" spans="2:19" x14ac:dyDescent="0.2">
      <c r="B17" s="61"/>
      <c r="C17" s="324"/>
      <c r="D17" s="325"/>
      <c r="E17" s="326"/>
      <c r="F17" s="62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83"/>
      <c r="P17" s="318"/>
      <c r="Q17" s="319"/>
      <c r="R17" s="320"/>
    </row>
    <row r="18" spans="2:19" x14ac:dyDescent="0.2">
      <c r="B18" s="61"/>
      <c r="C18" s="324"/>
      <c r="D18" s="325"/>
      <c r="E18" s="326"/>
      <c r="F18" s="62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83"/>
      <c r="P18" s="318"/>
      <c r="Q18" s="319"/>
      <c r="R18" s="320"/>
    </row>
    <row r="19" spans="2:19" x14ac:dyDescent="0.2">
      <c r="B19" s="61"/>
      <c r="C19" s="324"/>
      <c r="D19" s="325"/>
      <c r="E19" s="326"/>
      <c r="F19" s="62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83"/>
      <c r="P19" s="318"/>
      <c r="Q19" s="319"/>
      <c r="R19" s="320"/>
    </row>
    <row r="20" spans="2:19" x14ac:dyDescent="0.2">
      <c r="B20" s="61"/>
      <c r="C20" s="324"/>
      <c r="D20" s="325"/>
      <c r="E20" s="326"/>
      <c r="F20" s="62"/>
      <c r="H20" s="366" t="s">
        <v>171</v>
      </c>
      <c r="I20" s="367"/>
      <c r="J20" s="84">
        <v>55</v>
      </c>
      <c r="K20" s="380" t="s">
        <v>171</v>
      </c>
      <c r="L20" s="381"/>
      <c r="M20" s="85">
        <v>25</v>
      </c>
      <c r="O20" s="11"/>
      <c r="P20" s="321"/>
      <c r="Q20" s="322"/>
      <c r="R20" s="323"/>
    </row>
    <row r="21" spans="2:19" x14ac:dyDescent="0.2">
      <c r="B21" s="61"/>
      <c r="C21" s="324"/>
      <c r="D21" s="325"/>
      <c r="E21" s="326"/>
      <c r="F21" s="62"/>
      <c r="H21" s="344">
        <f>H9*I9+H10*I10+H11*I11+H12*I12+H13*I13+H14*I14+H15*I15+H16*I16+H17*I17+H18*I18+H19*I19+55</f>
        <v>1080</v>
      </c>
      <c r="I21" s="348" t="s">
        <v>76</v>
      </c>
      <c r="J21" s="349"/>
      <c r="K21" s="346">
        <f>K9*L9+K10*L10+K11*L11+K12*L12+K13*L13+K14*L14+K15*L15+K16*L16+K17*L17+K18*L18+K19*L19+25</f>
        <v>485</v>
      </c>
      <c r="L21" s="348" t="s">
        <v>77</v>
      </c>
      <c r="M21" s="349"/>
      <c r="O21" s="11"/>
      <c r="P21" s="321"/>
      <c r="Q21" s="322"/>
      <c r="R21" s="323"/>
    </row>
    <row r="22" spans="2:19" ht="13.5" thickBot="1" x14ac:dyDescent="0.25">
      <c r="B22" s="61"/>
      <c r="C22" s="324"/>
      <c r="D22" s="325"/>
      <c r="E22" s="326"/>
      <c r="F22" s="62"/>
      <c r="H22" s="345"/>
      <c r="I22" s="350"/>
      <c r="J22" s="351"/>
      <c r="K22" s="347"/>
      <c r="L22" s="350"/>
      <c r="M22" s="351"/>
      <c r="O22" s="11"/>
      <c r="P22" s="321"/>
      <c r="Q22" s="322"/>
      <c r="R22" s="323"/>
    </row>
    <row r="23" spans="2:19" ht="13.5" thickBot="1" x14ac:dyDescent="0.25">
      <c r="B23" s="61"/>
      <c r="C23" s="324"/>
      <c r="D23" s="325"/>
      <c r="E23" s="326"/>
      <c r="F23" s="62"/>
      <c r="K23" s="8"/>
      <c r="O23" s="11"/>
      <c r="P23" s="321"/>
      <c r="Q23" s="322"/>
      <c r="R23" s="323"/>
    </row>
    <row r="24" spans="2:19" x14ac:dyDescent="0.2">
      <c r="B24" s="61"/>
      <c r="C24" s="324"/>
      <c r="D24" s="325"/>
      <c r="E24" s="326"/>
      <c r="F24" s="62"/>
      <c r="K24" s="368" t="s">
        <v>78</v>
      </c>
      <c r="L24" s="369"/>
      <c r="M24" s="370"/>
      <c r="O24" s="11"/>
      <c r="P24" s="321"/>
      <c r="Q24" s="322"/>
      <c r="R24" s="323"/>
    </row>
    <row r="25" spans="2:19" ht="13.5" thickBot="1" x14ac:dyDescent="0.25">
      <c r="B25" s="61"/>
      <c r="C25" s="324"/>
      <c r="D25" s="325"/>
      <c r="E25" s="326"/>
      <c r="F25" s="62"/>
      <c r="I25" s="82"/>
      <c r="J25" s="82"/>
      <c r="K25" s="371"/>
      <c r="L25" s="372"/>
      <c r="M25" s="373"/>
      <c r="N25" s="18"/>
      <c r="O25" s="11"/>
      <c r="P25" s="321"/>
      <c r="Q25" s="322"/>
      <c r="R25" s="323"/>
      <c r="S25" s="18"/>
    </row>
    <row r="26" spans="2:19" x14ac:dyDescent="0.2">
      <c r="B26" s="61"/>
      <c r="C26" s="324"/>
      <c r="D26" s="325"/>
      <c r="E26" s="326"/>
      <c r="F26" s="62"/>
      <c r="G26" s="18"/>
      <c r="H26" s="82"/>
      <c r="I26" s="82"/>
      <c r="J26" s="82"/>
      <c r="K26" s="374" t="s">
        <v>182</v>
      </c>
      <c r="L26" s="375"/>
      <c r="M26" s="376"/>
      <c r="N26" s="18"/>
      <c r="O26" s="11"/>
      <c r="P26" s="321"/>
      <c r="Q26" s="322"/>
      <c r="R26" s="323"/>
      <c r="S26" s="18"/>
    </row>
    <row r="27" spans="2:19" ht="12.75" customHeight="1" thickBot="1" x14ac:dyDescent="0.25">
      <c r="B27" s="61"/>
      <c r="C27" s="324"/>
      <c r="D27" s="325"/>
      <c r="E27" s="326"/>
      <c r="F27" s="62"/>
      <c r="G27" s="19"/>
      <c r="I27" s="82"/>
      <c r="J27" s="82"/>
      <c r="K27" s="377"/>
      <c r="L27" s="378"/>
      <c r="M27" s="379"/>
      <c r="N27" s="18"/>
      <c r="O27" s="11"/>
      <c r="P27" s="321"/>
      <c r="Q27" s="322"/>
      <c r="R27" s="323"/>
      <c r="S27" s="18"/>
    </row>
    <row r="28" spans="2:19" ht="12.75" customHeight="1" x14ac:dyDescent="0.2">
      <c r="B28" s="61"/>
      <c r="C28" s="324"/>
      <c r="D28" s="325"/>
      <c r="E28" s="326"/>
      <c r="F28" s="62"/>
      <c r="G28" s="19"/>
      <c r="H28" s="82"/>
      <c r="I28" s="82"/>
      <c r="J28" s="82"/>
      <c r="N28" s="18"/>
      <c r="O28" s="11"/>
      <c r="P28" s="321"/>
      <c r="Q28" s="322"/>
      <c r="R28" s="323"/>
      <c r="S28" s="18"/>
    </row>
    <row r="29" spans="2:19" ht="13.5" customHeight="1" thickBot="1" x14ac:dyDescent="0.25">
      <c r="B29" s="61"/>
      <c r="C29" s="324"/>
      <c r="D29" s="325"/>
      <c r="E29" s="326"/>
      <c r="F29" s="62"/>
      <c r="G29" s="19"/>
      <c r="N29" s="18"/>
      <c r="O29" s="20"/>
      <c r="P29" s="382"/>
      <c r="Q29" s="383"/>
      <c r="R29" s="384"/>
      <c r="S29" s="18"/>
    </row>
    <row r="30" spans="2:19" x14ac:dyDescent="0.2">
      <c r="B30" s="61"/>
      <c r="C30" s="324"/>
      <c r="D30" s="325"/>
      <c r="E30" s="326"/>
      <c r="F30" s="62"/>
      <c r="K30" s="8"/>
    </row>
    <row r="31" spans="2:19" x14ac:dyDescent="0.2">
      <c r="B31" s="61"/>
      <c r="C31" s="324"/>
      <c r="D31" s="325"/>
      <c r="E31" s="326"/>
      <c r="F31" s="62"/>
      <c r="I31" s="82"/>
      <c r="J31" s="82"/>
      <c r="K31" s="8"/>
    </row>
    <row r="32" spans="2:19" x14ac:dyDescent="0.2">
      <c r="B32" s="61"/>
      <c r="C32" s="324"/>
      <c r="D32" s="325"/>
      <c r="E32" s="326"/>
      <c r="F32" s="62"/>
      <c r="H32" s="82"/>
      <c r="I32" s="82"/>
      <c r="J32" s="82"/>
      <c r="K32" s="8"/>
    </row>
    <row r="33" spans="2:11" x14ac:dyDescent="0.2">
      <c r="B33" s="61"/>
      <c r="C33" s="324"/>
      <c r="D33" s="325"/>
      <c r="E33" s="326"/>
      <c r="F33" s="62"/>
      <c r="K33" s="8"/>
    </row>
    <row r="34" spans="2:11" x14ac:dyDescent="0.2">
      <c r="B34" s="61"/>
      <c r="C34" s="324"/>
      <c r="D34" s="325"/>
      <c r="E34" s="326"/>
      <c r="F34" s="62"/>
    </row>
    <row r="35" spans="2:11" x14ac:dyDescent="0.2">
      <c r="B35" s="61"/>
      <c r="C35" s="324"/>
      <c r="D35" s="325"/>
      <c r="E35" s="326"/>
      <c r="F35" s="62"/>
    </row>
    <row r="36" spans="2:11" x14ac:dyDescent="0.2">
      <c r="B36" s="61"/>
      <c r="C36" s="324"/>
      <c r="D36" s="325"/>
      <c r="E36" s="326"/>
      <c r="F36" s="62"/>
      <c r="K36" s="8"/>
    </row>
    <row r="37" spans="2:11" x14ac:dyDescent="0.2">
      <c r="B37" s="61"/>
      <c r="C37" s="324"/>
      <c r="D37" s="325"/>
      <c r="E37" s="326"/>
      <c r="F37" s="62"/>
    </row>
    <row r="38" spans="2:11" x14ac:dyDescent="0.2">
      <c r="B38" s="61"/>
      <c r="C38" s="324"/>
      <c r="D38" s="325"/>
      <c r="E38" s="326"/>
      <c r="F38" s="62"/>
    </row>
    <row r="39" spans="2:11" x14ac:dyDescent="0.2">
      <c r="B39" s="61"/>
      <c r="C39" s="324"/>
      <c r="D39" s="325"/>
      <c r="E39" s="326"/>
      <c r="F39" s="62"/>
    </row>
    <row r="40" spans="2:11" x14ac:dyDescent="0.2">
      <c r="B40" s="61"/>
      <c r="C40" s="324"/>
      <c r="D40" s="325"/>
      <c r="E40" s="326"/>
      <c r="F40" s="62"/>
    </row>
    <row r="41" spans="2:11" x14ac:dyDescent="0.2">
      <c r="B41" s="61"/>
      <c r="C41" s="324"/>
      <c r="D41" s="325"/>
      <c r="E41" s="326"/>
      <c r="F41" s="62"/>
    </row>
    <row r="42" spans="2:11" x14ac:dyDescent="0.2">
      <c r="B42" s="61"/>
      <c r="C42" s="324"/>
      <c r="D42" s="325"/>
      <c r="E42" s="326"/>
      <c r="F42" s="62"/>
    </row>
    <row r="43" spans="2:11" x14ac:dyDescent="0.2">
      <c r="B43" s="61"/>
      <c r="C43" s="324"/>
      <c r="D43" s="325"/>
      <c r="E43" s="326"/>
      <c r="F43" s="62"/>
    </row>
    <row r="44" spans="2:11" x14ac:dyDescent="0.2">
      <c r="B44" s="61"/>
      <c r="C44" s="324"/>
      <c r="D44" s="325"/>
      <c r="E44" s="326"/>
      <c r="F44" s="62"/>
    </row>
    <row r="45" spans="2:11" x14ac:dyDescent="0.2">
      <c r="B45" s="61"/>
      <c r="C45" s="324"/>
      <c r="D45" s="325"/>
      <c r="E45" s="326"/>
      <c r="F45" s="62"/>
    </row>
    <row r="46" spans="2:11" x14ac:dyDescent="0.2">
      <c r="B46" s="61"/>
      <c r="C46" s="324"/>
      <c r="D46" s="325"/>
      <c r="E46" s="326"/>
      <c r="F46" s="62"/>
    </row>
    <row r="47" spans="2:11" x14ac:dyDescent="0.2">
      <c r="B47" s="61"/>
      <c r="C47" s="324"/>
      <c r="D47" s="325"/>
      <c r="E47" s="326"/>
      <c r="F47" s="62"/>
    </row>
    <row r="48" spans="2:11" x14ac:dyDescent="0.2">
      <c r="B48" s="61"/>
      <c r="C48" s="324"/>
      <c r="D48" s="325"/>
      <c r="E48" s="326"/>
      <c r="F48" s="62"/>
    </row>
    <row r="49" spans="2:6" x14ac:dyDescent="0.2">
      <c r="B49" s="61"/>
      <c r="C49" s="324"/>
      <c r="D49" s="325"/>
      <c r="E49" s="326"/>
      <c r="F49" s="62"/>
    </row>
    <row r="50" spans="2:6" x14ac:dyDescent="0.2">
      <c r="B50" s="61"/>
      <c r="C50" s="324"/>
      <c r="D50" s="325"/>
      <c r="E50" s="326"/>
      <c r="F50" s="62"/>
    </row>
    <row r="51" spans="2:6" x14ac:dyDescent="0.2">
      <c r="B51" s="61"/>
      <c r="C51" s="324"/>
      <c r="D51" s="325"/>
      <c r="E51" s="326"/>
      <c r="F51" s="62"/>
    </row>
    <row r="52" spans="2:6" x14ac:dyDescent="0.2">
      <c r="B52" s="61"/>
      <c r="C52" s="324"/>
      <c r="D52" s="325"/>
      <c r="E52" s="326"/>
      <c r="F52" s="62"/>
    </row>
    <row r="53" spans="2:6" x14ac:dyDescent="0.2">
      <c r="B53" s="61"/>
      <c r="C53" s="324"/>
      <c r="D53" s="325"/>
      <c r="E53" s="326"/>
      <c r="F53" s="62"/>
    </row>
    <row r="54" spans="2:6" x14ac:dyDescent="0.2">
      <c r="B54" s="61"/>
      <c r="C54" s="324"/>
      <c r="D54" s="325"/>
      <c r="E54" s="326"/>
      <c r="F54" s="62"/>
    </row>
    <row r="55" spans="2:6" x14ac:dyDescent="0.2">
      <c r="B55" s="61"/>
      <c r="C55" s="324"/>
      <c r="D55" s="325"/>
      <c r="E55" s="326"/>
      <c r="F55" s="62"/>
    </row>
    <row r="56" spans="2:6" x14ac:dyDescent="0.2">
      <c r="B56" s="61"/>
      <c r="C56" s="324"/>
      <c r="D56" s="325"/>
      <c r="E56" s="326"/>
      <c r="F56" s="62"/>
    </row>
    <row r="57" spans="2:6" x14ac:dyDescent="0.2">
      <c r="B57" s="61"/>
      <c r="C57" s="324"/>
      <c r="D57" s="325"/>
      <c r="E57" s="326"/>
      <c r="F57" s="62"/>
    </row>
    <row r="58" spans="2:6" x14ac:dyDescent="0.2">
      <c r="B58" s="61"/>
      <c r="C58" s="324"/>
      <c r="D58" s="325"/>
      <c r="E58" s="326"/>
      <c r="F58" s="62"/>
    </row>
    <row r="59" spans="2:6" x14ac:dyDescent="0.2">
      <c r="B59" s="61"/>
      <c r="C59" s="324"/>
      <c r="D59" s="325"/>
      <c r="E59" s="326"/>
      <c r="F59" s="62"/>
    </row>
    <row r="60" spans="2:6" x14ac:dyDescent="0.2">
      <c r="B60" s="61"/>
      <c r="C60" s="324"/>
      <c r="D60" s="325"/>
      <c r="E60" s="326"/>
      <c r="F60" s="62"/>
    </row>
    <row r="61" spans="2:6" x14ac:dyDescent="0.2">
      <c r="B61" s="61"/>
      <c r="C61" s="324"/>
      <c r="D61" s="325"/>
      <c r="E61" s="326"/>
      <c r="F61" s="62"/>
    </row>
    <row r="62" spans="2:6" x14ac:dyDescent="0.2">
      <c r="B62" s="61"/>
      <c r="C62" s="324"/>
      <c r="D62" s="325"/>
      <c r="E62" s="326"/>
      <c r="F62" s="62"/>
    </row>
    <row r="63" spans="2:6" x14ac:dyDescent="0.2">
      <c r="B63" s="61"/>
      <c r="C63" s="324"/>
      <c r="D63" s="325"/>
      <c r="E63" s="326"/>
      <c r="F63" s="62"/>
    </row>
    <row r="64" spans="2:6" x14ac:dyDescent="0.2">
      <c r="B64" s="61"/>
      <c r="C64" s="324"/>
      <c r="D64" s="325"/>
      <c r="E64" s="326"/>
      <c r="F64" s="62"/>
    </row>
    <row r="65" spans="2:6" x14ac:dyDescent="0.2">
      <c r="B65" s="61"/>
      <c r="C65" s="324"/>
      <c r="D65" s="325"/>
      <c r="E65" s="326"/>
      <c r="F65" s="62"/>
    </row>
    <row r="66" spans="2:6" x14ac:dyDescent="0.2">
      <c r="B66" s="61"/>
      <c r="C66" s="324"/>
      <c r="D66" s="325"/>
      <c r="E66" s="326"/>
      <c r="F66" s="62"/>
    </row>
    <row r="67" spans="2:6" x14ac:dyDescent="0.2">
      <c r="B67" s="61"/>
      <c r="C67" s="324"/>
      <c r="D67" s="325"/>
      <c r="E67" s="326"/>
      <c r="F67" s="62"/>
    </row>
    <row r="68" spans="2:6" x14ac:dyDescent="0.2">
      <c r="B68" s="61"/>
      <c r="C68" s="324"/>
      <c r="D68" s="325"/>
      <c r="E68" s="326"/>
      <c r="F68" s="62"/>
    </row>
    <row r="69" spans="2:6" x14ac:dyDescent="0.2">
      <c r="B69" s="61"/>
      <c r="C69" s="324"/>
      <c r="D69" s="325"/>
      <c r="E69" s="326"/>
      <c r="F69" s="62"/>
    </row>
  </sheetData>
  <sheetProtection sheet="1" objects="1" scenarios="1"/>
  <sortState ref="Y5:Z18">
    <sortCondition ref="Y5:Y18"/>
  </sortState>
  <mergeCells count="98">
    <mergeCell ref="C69:E69"/>
    <mergeCell ref="C64:E64"/>
    <mergeCell ref="C65:E65"/>
    <mergeCell ref="C66:E66"/>
    <mergeCell ref="C67:E67"/>
    <mergeCell ref="C68:E68"/>
    <mergeCell ref="C59:E59"/>
    <mergeCell ref="C60:E60"/>
    <mergeCell ref="C61:E61"/>
    <mergeCell ref="C62:E62"/>
    <mergeCell ref="C63:E63"/>
    <mergeCell ref="C54:E54"/>
    <mergeCell ref="C55:E55"/>
    <mergeCell ref="C56:E56"/>
    <mergeCell ref="C57:E57"/>
    <mergeCell ref="C58:E58"/>
    <mergeCell ref="C49:E49"/>
    <mergeCell ref="C50:E50"/>
    <mergeCell ref="C51:E51"/>
    <mergeCell ref="C52:E52"/>
    <mergeCell ref="C53:E53"/>
    <mergeCell ref="C44:E44"/>
    <mergeCell ref="C45:E45"/>
    <mergeCell ref="C46:E46"/>
    <mergeCell ref="C47:E47"/>
    <mergeCell ref="C48:E48"/>
    <mergeCell ref="C39:E39"/>
    <mergeCell ref="C40:E40"/>
    <mergeCell ref="C41:E41"/>
    <mergeCell ref="C42:E42"/>
    <mergeCell ref="C43:E43"/>
    <mergeCell ref="C34:E34"/>
    <mergeCell ref="C35:E35"/>
    <mergeCell ref="C36:E36"/>
    <mergeCell ref="C37:E37"/>
    <mergeCell ref="C38:E38"/>
    <mergeCell ref="C29:E29"/>
    <mergeCell ref="C30:E30"/>
    <mergeCell ref="C31:E31"/>
    <mergeCell ref="C32:E32"/>
    <mergeCell ref="C33:E33"/>
    <mergeCell ref="C24:E24"/>
    <mergeCell ref="C25:E25"/>
    <mergeCell ref="C26:E26"/>
    <mergeCell ref="C27:E27"/>
    <mergeCell ref="C28:E28"/>
    <mergeCell ref="C19:E19"/>
    <mergeCell ref="C20:E20"/>
    <mergeCell ref="C21:E21"/>
    <mergeCell ref="C22:E22"/>
    <mergeCell ref="C23:E23"/>
    <mergeCell ref="C14:E14"/>
    <mergeCell ref="C15:E15"/>
    <mergeCell ref="C16:E16"/>
    <mergeCell ref="C17:E17"/>
    <mergeCell ref="C18:E18"/>
    <mergeCell ref="K24:M25"/>
    <mergeCell ref="K26:M27"/>
    <mergeCell ref="K20:L20"/>
    <mergeCell ref="P29:R29"/>
    <mergeCell ref="P24:R24"/>
    <mergeCell ref="P25:R25"/>
    <mergeCell ref="P26:R26"/>
    <mergeCell ref="P27:R27"/>
    <mergeCell ref="P28:R28"/>
    <mergeCell ref="P22:R22"/>
    <mergeCell ref="P23:R23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C13:E13"/>
    <mergeCell ref="B3:F4"/>
    <mergeCell ref="B7:F8"/>
    <mergeCell ref="C11:E11"/>
    <mergeCell ref="C12:E12"/>
    <mergeCell ref="P8:R8"/>
    <mergeCell ref="P9:R9"/>
    <mergeCell ref="P10:R10"/>
    <mergeCell ref="P11:R11"/>
    <mergeCell ref="P14:R14"/>
    <mergeCell ref="P15:R15"/>
    <mergeCell ref="P18:R18"/>
    <mergeCell ref="P19:R19"/>
    <mergeCell ref="P20:R20"/>
    <mergeCell ref="P21:R21"/>
  </mergeCells>
  <phoneticPr fontId="0" type="noConversion"/>
  <conditionalFormatting sqref="K26 M27:M28 L28">
    <cfRule type="cellIs" dxfId="77" priority="7" stopIfTrue="1" operator="equal">
      <formula>"Color"</formula>
    </cfRule>
  </conditionalFormatting>
  <conditionalFormatting sqref="H5:J19 H21:J22">
    <cfRule type="expression" dxfId="76" priority="3" stopIfTrue="1">
      <formula>AND($M$3="Kg")</formula>
    </cfRule>
  </conditionalFormatting>
  <conditionalFormatting sqref="K5:M19 K21:M22 K20">
    <cfRule type="expression" dxfId="75" priority="4" stopIfTrue="1">
      <formula>AND($M$3="Lb")</formula>
    </cfRule>
  </conditionalFormatting>
  <conditionalFormatting sqref="H20:J20">
    <cfRule type="expression" dxfId="74" priority="2" stopIfTrue="1">
      <formula>AND($M$3="Kg")</formula>
    </cfRule>
  </conditionalFormatting>
  <conditionalFormatting sqref="M20">
    <cfRule type="expression" dxfId="73" priority="1" stopIfTrue="1">
      <formula>AND($M$3="Lb")</formula>
    </cfRule>
  </conditionalFormatting>
  <dataValidations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44"/>
  <sheetViews>
    <sheetView workbookViewId="0">
      <selection activeCell="Q23" sqref="Q23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86"/>
      <c r="M1" s="86"/>
      <c r="N1" s="87"/>
      <c r="O1" t="s">
        <v>178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IF(Lifting!BI2,INDIRECT(ADDRESS(9,Lifting!BD4+1,,,"Lifting")),INDIRECT(ADDRESS(Lifting!AY5+1,Lifting!BD4,,,"Lifting")))</f>
        <v>75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173</v>
      </c>
      <c r="B14" t="str">
        <f>'Weigh-In'!E2</f>
        <v>Bwt (kg)</v>
      </c>
      <c r="I14" t="s">
        <v>176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168</v>
      </c>
      <c r="D15" s="79" t="s">
        <v>169</v>
      </c>
      <c r="E15" s="5" t="s">
        <v>168</v>
      </c>
      <c r="F15" s="5" t="s">
        <v>169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164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165</v>
      </c>
      <c r="K16" s="5" t="s">
        <v>174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75</v>
      </c>
      <c r="Q18" s="5">
        <f ca="1">2*(Q21*P21+Q22*P22+Q23*P23+Q24*P24+Q25*P25+Q26*P26+Q27*P27+Q28*P28+Q29*P29+Q30*P30+Q31*P31)+Q36</f>
        <v>75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167</v>
      </c>
      <c r="K20" s="5" t="s">
        <v>175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1</v>
      </c>
      <c r="R23" s="5" t="str">
        <f ca="1">IF(Q23=0,"",IF(Q23&gt;1,CONCATENATE(Q23,"/",P23," "),CONCATENATE(P23," ")))</f>
        <v xml:space="preserve">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165</v>
      </c>
      <c r="F24" s="5" t="s">
        <v>165</v>
      </c>
      <c r="G24" s="5" t="s">
        <v>174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168</v>
      </c>
      <c r="D25" s="5" t="s">
        <v>91</v>
      </c>
      <c r="E25" s="5" t="s">
        <v>168</v>
      </c>
      <c r="F25" s="5" t="s">
        <v>169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166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0</v>
      </c>
      <c r="R26" s="5" t="str">
        <f t="shared" ca="1" si="4"/>
        <v/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0</v>
      </c>
      <c r="R28" s="5" t="str">
        <f t="shared" ca="1" si="4"/>
        <v/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1:20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167</v>
      </c>
      <c r="F33" s="5" t="s">
        <v>167</v>
      </c>
      <c r="G33" s="5" t="s">
        <v>175</v>
      </c>
      <c r="L33" s="5"/>
      <c r="M33" s="5"/>
      <c r="P33" s="5"/>
      <c r="Q33" s="5"/>
      <c r="R33" s="5"/>
    </row>
    <row r="34" spans="1:20" x14ac:dyDescent="0.2">
      <c r="L34" s="5"/>
      <c r="M34" s="5"/>
      <c r="P34" s="5"/>
      <c r="Q34" s="5"/>
      <c r="R34" s="5"/>
    </row>
    <row r="35" spans="1:20" x14ac:dyDescent="0.2">
      <c r="A35" t="s">
        <v>207</v>
      </c>
      <c r="D35" s="5" t="str">
        <f>IF(Lifting!$C$4="Squat 1","Knäböj 1","")</f>
        <v>Knäböj 1</v>
      </c>
      <c r="I35" t="s">
        <v>204</v>
      </c>
      <c r="L35" s="5"/>
      <c r="M35" s="5"/>
      <c r="O35" s="88" t="s">
        <v>179</v>
      </c>
      <c r="P35" s="5"/>
      <c r="Q35" s="5">
        <f>[3]Setup!D32</f>
        <v>55</v>
      </c>
      <c r="R35" s="5"/>
    </row>
    <row r="36" spans="1:20" x14ac:dyDescent="0.2">
      <c r="A36" s="242">
        <f ca="1">INDIRECT(ADDRESS(Lifting!AY5,9,,,"Lifting"))</f>
        <v>34242</v>
      </c>
      <c r="D36" s="5" t="str">
        <f>IF(Lifting!$C$4="Squat 2","Knäböj 2","")</f>
        <v/>
      </c>
      <c r="I36" t="s">
        <v>205</v>
      </c>
      <c r="J36" t="b">
        <f>IF(LEFT(Lifting!C4,5)="Squat",TRUE,FALSE)</f>
        <v>1</v>
      </c>
      <c r="K36">
        <f ca="1">IF(AND(J36,Lifting!$BI$2),INDIRECT(ADDRESS(9,11,,,"Lifting")),IF(AND(J36,NOT(Lifting!$AY$5=Lifting!$BA$6)),INDIRECT(ADDRESS(Lifting!$AY$5+1,11,,,"Lifting")),""))</f>
        <v>13</v>
      </c>
      <c r="L36" s="5"/>
      <c r="M36" s="5"/>
      <c r="O36" s="88" t="s">
        <v>180</v>
      </c>
      <c r="Q36" s="5">
        <f>[3]Setup!G32</f>
        <v>25</v>
      </c>
      <c r="R36" s="5"/>
    </row>
    <row r="37" spans="1:20" x14ac:dyDescent="0.2">
      <c r="A37" t="s">
        <v>208</v>
      </c>
      <c r="D37" s="5" t="str">
        <f>IF(Lifting!$C$4="Squat 3","Knäböj 3","")</f>
        <v/>
      </c>
      <c r="I37" t="s">
        <v>206</v>
      </c>
      <c r="J37" t="b">
        <f>IF(LEFT(Lifting!C4,5)="Bench",TRUE,FALSE)</f>
        <v>0</v>
      </c>
      <c r="K37" t="str">
        <f ca="1">IF(AND(J37,Lifting!$BI$2),INDIRECT(ADDRESS(9,16,,,"Lifting")),IF(AND(J37,NOT(Lifting!$AY$5=Lifting!$BA$6)),INDIRECT(ADDRESS(Lifting!$AY$5+1,16,,,"Lifting")),""))</f>
        <v/>
      </c>
      <c r="L37" s="5"/>
      <c r="M37" s="5"/>
      <c r="P37" s="5"/>
      <c r="Q37" s="5"/>
      <c r="R37" s="5"/>
    </row>
    <row r="38" spans="1:20" x14ac:dyDescent="0.2">
      <c r="A38" s="214" t="str">
        <f ca="1">INDIRECT(ADDRESS(Lifting!AY5,6,,,"Lifting"))</f>
        <v>84+</v>
      </c>
      <c r="B38" t="str">
        <f ca="1">CONCATENATE("Klass ",A38," kg")</f>
        <v>Klass 84+ kg</v>
      </c>
      <c r="D38" s="5" t="str">
        <f>IF(Lifting!$C$4="Bench Press 1","Bänkpress 1","")</f>
        <v/>
      </c>
      <c r="L38" s="5"/>
      <c r="M38" s="5"/>
      <c r="O38" t="str">
        <f ca="1">TRIM(IF(AND(Lifting!AY5=Lifting!BA6,NOT(Lifting!BI2)),"",CONCATENATE("Next Barload: ",R6,R7,R8,R9,R10,R11,R12,R13,R14,R15,R16,R21,R22,R23,R24,R25,R26,R27,R28,R29,R30,R31,IF(O39="","",CONCATENATE("| ",O39)))))</f>
        <v>Next Barload: 25 | Next Rack: 13</v>
      </c>
      <c r="P38" s="5"/>
      <c r="Q38" s="5"/>
      <c r="R38" s="88" t="str">
        <f ca="1">IF(O38="","",CONCATENATE("Nästa vikt: ",P3," kg"))</f>
        <v>Nästa vikt: 75 kg</v>
      </c>
      <c r="T38" t="str">
        <f ca="1">IF(Lifting!$BI$2,INDIRECT(ADDRESS(9,2,,,"Lifting")),IF(NOT(Lifting!$AY$5=Lifting!$BA$6),INDIRECT(ADDRESS(Lifting!$AY$5+1,2,,,"Lifting")),""))</f>
        <v>Cecilia Thulin</v>
      </c>
    </row>
    <row r="39" spans="1:20" x14ac:dyDescent="0.2">
      <c r="A39" t="s">
        <v>209</v>
      </c>
      <c r="D39" s="5" t="str">
        <f>IF(Lifting!$C$4="Bench Press 2","Bänkpress 2","")</f>
        <v/>
      </c>
      <c r="O39" t="str">
        <f ca="1">IF(AND(K36="",K37=""),"",CONCATENATE("Next Rack: ",K36,K37))</f>
        <v>Next Rack: 13</v>
      </c>
      <c r="R39" s="88" t="str">
        <f ca="1">IF(O39="","",CONCATENATE("Nästa höjd: ",TRIM(RIGHT(O39,LEN(O39)-10))))</f>
        <v>Nästa höjd: 13</v>
      </c>
      <c r="T39" t="str">
        <f ca="1">IF(Lifting!$BI$2,OFFSET(Setup!P1,MATCH(INDIRECT(ADDRESS(9,3,,,"Lifting")),Setup!O:O,0)-1,0),IF(NOT(Lifting!$AY$5=Lifting!$BA$6),OFFSET(Setup!P1,MATCH(INDIRECT(ADDRESS(Lifting!$AY$5+1,3,,,"Lifting")),Setup!O:O,0)-1,0),""))</f>
        <v>Göteborg KK</v>
      </c>
    </row>
    <row r="40" spans="1:20" x14ac:dyDescent="0.2">
      <c r="A40" t="str">
        <f ca="1">IF(A36="","",CONCATENATE(RIGHT(YEAR(A36),2),TEXT(A36,"MM"),TEXT(A36,"DD"),", klass ",A38," kg"))</f>
        <v>930930, klass 84+ kg</v>
      </c>
      <c r="D40" s="5" t="str">
        <f>IF(Lifting!$C$4="Bench Press 3","Bänkpress 3","")</f>
        <v/>
      </c>
      <c r="T40" t="str">
        <f ca="1">IF(Lifting!$BI$2,CONCATENATE("Klass ",INDIRECT(ADDRESS(9,6,,,"Lifting"))," kg"),IF(NOT(Lifting!$AY$5=Lifting!$BA$6),CONCATENATE("Klass ",INDIRECT(ADDRESS(Lifting!$AY$5+1,6,,,"Lifting"))," kg"),""))</f>
        <v>Klass 84 kg</v>
      </c>
    </row>
    <row r="41" spans="1:20" x14ac:dyDescent="0.2">
      <c r="D41" s="5" t="str">
        <f>IF(Lifting!$C$4="Deadlift 1","Marklyft 1","")</f>
        <v/>
      </c>
    </row>
    <row r="42" spans="1:20" x14ac:dyDescent="0.2">
      <c r="D42" s="5" t="str">
        <f>IF(Lifting!$C$4="Deadlift 2","Marklyft 2","")</f>
        <v/>
      </c>
    </row>
    <row r="43" spans="1:20" x14ac:dyDescent="0.2">
      <c r="D43" s="5" t="str">
        <f>IF(Lifting!$C$4="Deadlift 3","Marklyft 3","")</f>
        <v/>
      </c>
    </row>
    <row r="44" spans="1:20" x14ac:dyDescent="0.2">
      <c r="D44" t="str">
        <f>CONCATENATE(D35,D36,D37,D38,D39,D40,D41,D42,D43)</f>
        <v>Knäböj 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3"/>
  <sheetViews>
    <sheetView workbookViewId="0">
      <selection activeCell="A3" sqref="A3"/>
    </sheetView>
  </sheetViews>
  <sheetFormatPr defaultColWidth="9.140625" defaultRowHeight="12.75" x14ac:dyDescent="0.2"/>
  <cols>
    <col min="1" max="1" width="6" style="100" customWidth="1"/>
    <col min="2" max="2" width="27.42578125" style="100" customWidth="1"/>
    <col min="3" max="3" width="9.140625" style="100"/>
    <col min="4" max="4" width="7.28515625" style="100" customWidth="1"/>
    <col min="5" max="5" width="7.85546875" style="100" customWidth="1"/>
    <col min="6" max="6" width="5.5703125" style="100" customWidth="1"/>
    <col min="7" max="7" width="12.28515625" style="221" customWidth="1"/>
    <col min="8" max="8" width="5.85546875" style="100" customWidth="1"/>
    <col min="9" max="9" width="9.140625" style="100" customWidth="1"/>
    <col min="10" max="10" width="5.85546875" style="101" customWidth="1"/>
    <col min="11" max="12" width="9.140625" style="100" customWidth="1"/>
    <col min="13" max="13" width="12" style="100" customWidth="1"/>
    <col min="14" max="14" width="9.140625" style="103"/>
    <col min="15" max="20" width="9.140625" style="102" hidden="1" customWidth="1"/>
    <col min="21" max="21" width="9.140625" style="102"/>
    <col min="22" max="22" width="9.140625" style="103"/>
    <col min="23" max="25" width="9.140625" style="102"/>
    <col min="26" max="27" width="0" style="102" hidden="1" customWidth="1"/>
    <col min="28" max="35" width="9.140625" style="102"/>
    <col min="36" max="38" width="0" style="102" hidden="1" customWidth="1"/>
    <col min="39" max="40" width="9.140625" style="102"/>
    <col min="41" max="47" width="0" style="102" hidden="1" customWidth="1"/>
    <col min="48" max="16384" width="9.140625" style="102"/>
  </cols>
  <sheetData>
    <row r="1" spans="1:60" s="93" customFormat="1" ht="30.75" customHeight="1" x14ac:dyDescent="0.2">
      <c r="A1" s="90"/>
      <c r="B1" s="90"/>
      <c r="C1" s="90"/>
      <c r="D1" s="90"/>
      <c r="E1" s="90"/>
      <c r="F1" s="90"/>
      <c r="G1" s="219"/>
      <c r="H1" s="90"/>
      <c r="I1" s="90"/>
      <c r="J1" s="91"/>
      <c r="K1" s="90"/>
      <c r="L1" s="90"/>
      <c r="M1" s="90"/>
      <c r="N1" s="92"/>
      <c r="V1" s="92"/>
      <c r="Z1" s="93">
        <v>3</v>
      </c>
    </row>
    <row r="2" spans="1:60" s="98" customFormat="1" ht="27" customHeight="1" x14ac:dyDescent="0.2">
      <c r="A2" s="94" t="s">
        <v>161</v>
      </c>
      <c r="B2" s="94" t="s">
        <v>0</v>
      </c>
      <c r="C2" s="94" t="s">
        <v>41</v>
      </c>
      <c r="D2" s="94" t="s">
        <v>2</v>
      </c>
      <c r="E2" s="94" t="s">
        <v>181</v>
      </c>
      <c r="F2" s="94" t="s">
        <v>1</v>
      </c>
      <c r="G2" s="220" t="s">
        <v>210</v>
      </c>
      <c r="H2" s="104" t="s">
        <v>8</v>
      </c>
      <c r="I2" s="95" t="str">
        <f>CONCATENATE("SQ-1 (",Setup!M3,")")</f>
        <v>SQ-1 (Kg)</v>
      </c>
      <c r="J2" s="96" t="s">
        <v>13</v>
      </c>
      <c r="K2" s="95" t="str">
        <f>CONCATENATE("BP-1 (",Setup!M3,")")</f>
        <v>BP-1 (Kg)</v>
      </c>
      <c r="L2" s="95" t="str">
        <f>CONCATENATE("DL-1 (",Setup!M3,")")</f>
        <v>DL-1 (Kg)</v>
      </c>
      <c r="M2" s="95" t="s">
        <v>27</v>
      </c>
      <c r="N2" s="97"/>
      <c r="P2" s="99" t="str">
        <f>Setup!M3</f>
        <v>Kg</v>
      </c>
      <c r="Q2" s="99">
        <f>COUNTA(E:E)+1</f>
        <v>2</v>
      </c>
      <c r="R2" s="98" t="str">
        <f>CONCATENATE("Setup!B12:B",COUNTA(Setup!B:B)+8)</f>
        <v>Setup!B12:B14</v>
      </c>
      <c r="S2" s="98" t="str">
        <f>CONCATENATE("Setup!O6:O",COUNTA(Setup!O:O)+3)</f>
        <v>Setup!O6:O15</v>
      </c>
      <c r="V2" s="99"/>
      <c r="Z2" s="98">
        <v>1</v>
      </c>
      <c r="AA2" s="98">
        <f>COUNTA(E:E)+1</f>
        <v>2</v>
      </c>
      <c r="AJ2" s="99" t="s">
        <v>52</v>
      </c>
      <c r="AK2" s="99" t="s">
        <v>53</v>
      </c>
      <c r="AU2" s="99" t="s">
        <v>9</v>
      </c>
      <c r="AV2" s="99" t="s">
        <v>10</v>
      </c>
      <c r="AW2" s="99" t="s">
        <v>11</v>
      </c>
      <c r="AX2" s="99" t="s">
        <v>28</v>
      </c>
      <c r="AY2" s="99" t="s">
        <v>13</v>
      </c>
      <c r="AZ2" s="99" t="s">
        <v>14</v>
      </c>
      <c r="BA2" s="99" t="s">
        <v>15</v>
      </c>
      <c r="BB2" s="99" t="s">
        <v>16</v>
      </c>
      <c r="BC2" s="99" t="s">
        <v>29</v>
      </c>
      <c r="BD2" s="99" t="s">
        <v>17</v>
      </c>
      <c r="BE2" s="99" t="s">
        <v>18</v>
      </c>
      <c r="BF2" s="99" t="s">
        <v>19</v>
      </c>
      <c r="BG2" s="99" t="s">
        <v>20</v>
      </c>
      <c r="BH2" s="99" t="s">
        <v>30</v>
      </c>
    </row>
    <row r="3" spans="1:60" x14ac:dyDescent="0.2">
      <c r="B3" s="289"/>
    </row>
  </sheetData>
  <sheetProtection sheet="1" objects="1" scenarios="1"/>
  <phoneticPr fontId="0" type="noConversion"/>
  <conditionalFormatting sqref="A2:M65433">
    <cfRule type="expression" dxfId="72" priority="1" stopIfTrue="1">
      <formula>AND(ROW(A2)=$Z$1,COLUMN(A2)=$Z$2)</formula>
    </cfRule>
    <cfRule type="expression" dxfId="71" priority="2" stopIfTrue="1">
      <formula>OR(AND(ROW(A2)=$Z$1,COLUMN(A2)&lt;$Z$2),AND(ROW(A2)&lt;$Z$1,COLUMN(A2)=$Z$2))</formula>
    </cfRule>
  </conditionalFormatting>
  <dataValidations count="7">
    <dataValidation type="list" allowBlank="1" showInputMessage="1" showErrorMessage="1" sqref="E2">
      <formula1>"Bwt (lb), Bwt (kg)"</formula1>
    </dataValidation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3:N65433"/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433"/>
    <dataValidation type="list" allowBlank="1" showInputMessage="1" showErrorMessage="1" sqref="A3:A65433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433 I3:I65433">
      <formula1>AND(MOD(I3,IF($P$2="Lb",5,2.5))=0)</formula1>
    </dataValidation>
    <dataValidation type="list" allowBlank="1" showInputMessage="1" showErrorMessage="1" sqref="D3:D65433">
      <formula1>INDIRECT($R$2)</formula1>
    </dataValidation>
    <dataValidation type="list" allowBlank="1" showInputMessage="1" showErrorMessage="1" sqref="C3:C65433">
      <formula1>INDIRECT($S$2)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42"/>
  <sheetViews>
    <sheetView showGridLines="0" tabSelected="1" zoomScaleNormal="100" workbookViewId="0">
      <selection activeCell="M3" sqref="M3"/>
    </sheetView>
  </sheetViews>
  <sheetFormatPr defaultColWidth="9.140625" defaultRowHeight="12.75" x14ac:dyDescent="0.2"/>
  <cols>
    <col min="1" max="1" width="4.28515625" style="128" customWidth="1"/>
    <col min="2" max="2" width="17.7109375" style="184" customWidth="1"/>
    <col min="3" max="3" width="9.7109375" style="118" customWidth="1"/>
    <col min="4" max="4" width="6.5703125" style="128" customWidth="1"/>
    <col min="5" max="5" width="6.28515625" style="128" customWidth="1"/>
    <col min="6" max="6" width="6.7109375" style="118" customWidth="1"/>
    <col min="7" max="7" width="6" style="128" customWidth="1"/>
    <col min="8" max="8" width="6.28515625" style="118" hidden="1" customWidth="1"/>
    <col min="9" max="9" width="10.140625" style="185" hidden="1" customWidth="1"/>
    <col min="10" max="10" width="6.28515625" style="118" hidden="1" customWidth="1"/>
    <col min="11" max="11" width="5.28515625" style="128" customWidth="1"/>
    <col min="12" max="14" width="7.5703125" style="186" customWidth="1"/>
    <col min="15" max="15" width="7.5703125" style="128" hidden="1" customWidth="1"/>
    <col min="16" max="16" width="5.28515625" style="187" customWidth="1"/>
    <col min="17" max="19" width="7.5703125" style="128" customWidth="1"/>
    <col min="20" max="20" width="7.5703125" style="128" hidden="1" customWidth="1"/>
    <col min="21" max="21" width="6.5703125" style="128" customWidth="1"/>
    <col min="22" max="24" width="6.85546875" style="128" customWidth="1"/>
    <col min="25" max="25" width="7.140625" style="128" hidden="1" customWidth="1"/>
    <col min="26" max="26" width="7.5703125" style="128" customWidth="1"/>
    <col min="27" max="27" width="10.28515625" style="128" customWidth="1"/>
    <col min="28" max="28" width="10.28515625" style="128" hidden="1" customWidth="1"/>
    <col min="29" max="29" width="5.7109375" style="128" hidden="1" customWidth="1"/>
    <col min="30" max="30" width="13.42578125" style="128" hidden="1" customWidth="1"/>
    <col min="31" max="31" width="9.140625" style="128" hidden="1" customWidth="1"/>
    <col min="32" max="33" width="9.140625" style="118" hidden="1" customWidth="1"/>
    <col min="34" max="34" width="18.5703125" style="188" hidden="1" customWidth="1"/>
    <col min="35" max="35" width="6" style="128" hidden="1" customWidth="1"/>
    <col min="36" max="36" width="6.42578125" style="128" hidden="1" customWidth="1"/>
    <col min="37" max="37" width="9" style="128" hidden="1" customWidth="1"/>
    <col min="38" max="38" width="7" style="128" hidden="1" customWidth="1"/>
    <col min="39" max="39" width="9.140625" style="118" hidden="1" customWidth="1"/>
    <col min="40" max="43" width="5.85546875" style="180" hidden="1" customWidth="1"/>
    <col min="44" max="47" width="9.140625" style="118" hidden="1" customWidth="1"/>
    <col min="48" max="48" width="20" style="181" hidden="1" customWidth="1"/>
    <col min="49" max="49" width="6.7109375" style="118" hidden="1" customWidth="1"/>
    <col min="50" max="63" width="9.140625" style="118" hidden="1" customWidth="1"/>
    <col min="64" max="66" width="6.85546875" style="118" hidden="1" customWidth="1"/>
    <col min="67" max="67" width="11.5703125" style="183" hidden="1" customWidth="1"/>
    <col min="68" max="68" width="9.140625" style="118" hidden="1" customWidth="1"/>
    <col min="69" max="71" width="6.85546875" style="118" hidden="1" customWidth="1"/>
    <col min="72" max="72" width="11.5703125" style="183" hidden="1" customWidth="1"/>
    <col min="73" max="73" width="9.140625" style="118" hidden="1" customWidth="1"/>
    <col min="74" max="76" width="6.85546875" style="118" hidden="1" customWidth="1"/>
    <col min="77" max="78" width="11.5703125" style="183" hidden="1" customWidth="1"/>
    <col min="79" max="79" width="12" style="118" hidden="1" customWidth="1"/>
    <col min="80" max="95" width="9.140625" style="118" customWidth="1"/>
    <col min="96" max="16384" width="9.140625" style="118"/>
  </cols>
  <sheetData>
    <row r="1" spans="1:125" ht="50.25" customHeight="1" x14ac:dyDescent="0.2">
      <c r="A1" s="385" t="s">
        <v>281</v>
      </c>
      <c r="B1" s="386"/>
      <c r="C1" s="386"/>
      <c r="D1" s="386"/>
      <c r="E1" s="386"/>
      <c r="F1" s="386"/>
      <c r="G1" s="386"/>
      <c r="H1" s="105"/>
      <c r="I1" s="106"/>
      <c r="J1" s="105"/>
      <c r="K1" s="107"/>
      <c r="L1" s="108"/>
      <c r="M1" s="108"/>
      <c r="N1" s="108"/>
      <c r="O1" s="107"/>
      <c r="P1" s="109"/>
      <c r="Q1" s="262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5"/>
      <c r="AG1" s="105"/>
      <c r="AH1" s="110"/>
      <c r="AI1" s="107"/>
      <c r="AJ1" s="107"/>
      <c r="AK1" s="107"/>
      <c r="AL1" s="107"/>
      <c r="AM1" s="105"/>
      <c r="AN1" s="111"/>
      <c r="AO1" s="111"/>
      <c r="AP1" s="111"/>
      <c r="AQ1" s="111"/>
      <c r="AR1" s="105"/>
      <c r="AS1" s="112" t="str">
        <f>CONCATENATE("Lists!E2:E",IF(Lists!E1=1,11,IF(OR(Lists!E1=4,Lists!E1=3,Lists!E1=2),5,8)))</f>
        <v>Lists!E2:E11</v>
      </c>
      <c r="AT1" s="105"/>
      <c r="AU1" s="105"/>
      <c r="AV1" s="113">
        <f ca="1">COUNTIF(INDIRECT("AU1:AU200"),1)</f>
        <v>26</v>
      </c>
      <c r="AW1" s="114"/>
      <c r="AX1" s="105"/>
      <c r="AY1" s="105"/>
      <c r="AZ1" s="115"/>
      <c r="BA1" s="116" t="s">
        <v>23</v>
      </c>
      <c r="BB1" s="116" t="s">
        <v>24</v>
      </c>
      <c r="BC1" s="116" t="s">
        <v>25</v>
      </c>
      <c r="BD1" s="116" t="s">
        <v>43</v>
      </c>
      <c r="BE1" s="116" t="s">
        <v>44</v>
      </c>
      <c r="BF1" s="116" t="s">
        <v>45</v>
      </c>
      <c r="BG1" s="116" t="s">
        <v>46</v>
      </c>
      <c r="BH1" s="116" t="s">
        <v>47</v>
      </c>
      <c r="BI1" s="213" t="s">
        <v>203</v>
      </c>
      <c r="BJ1" s="105"/>
      <c r="BK1" s="105"/>
      <c r="BL1" s="105">
        <v>1</v>
      </c>
      <c r="BM1" s="105"/>
      <c r="BN1" s="105"/>
      <c r="BO1" s="117"/>
      <c r="BP1" s="105"/>
      <c r="BQ1" s="105"/>
      <c r="BR1" s="105"/>
      <c r="BS1" s="105"/>
      <c r="BT1" s="117"/>
      <c r="BU1" s="105"/>
      <c r="BV1" s="105"/>
      <c r="BW1" s="105"/>
      <c r="BX1" s="105"/>
      <c r="BY1" s="117"/>
      <c r="BZ1" s="117"/>
      <c r="CA1" s="105"/>
      <c r="CB1" s="105"/>
      <c r="CC1" s="105"/>
      <c r="CD1" s="105"/>
      <c r="CE1" s="105"/>
      <c r="CF1" s="105"/>
      <c r="CG1" s="105"/>
      <c r="CH1" s="105"/>
      <c r="CI1" s="105"/>
      <c r="CJ1" s="105"/>
      <c r="CK1" s="105"/>
      <c r="CL1" s="105"/>
      <c r="CM1" s="105"/>
      <c r="CN1" s="105"/>
      <c r="CO1" s="105"/>
      <c r="CP1" s="105"/>
      <c r="CQ1" s="105"/>
      <c r="CR1" s="105"/>
      <c r="CS1" s="105"/>
      <c r="CT1" s="105"/>
      <c r="CU1" s="105"/>
      <c r="CV1" s="105"/>
      <c r="CW1" s="105"/>
      <c r="CX1" s="105"/>
      <c r="CY1" s="105"/>
      <c r="CZ1" s="105"/>
      <c r="DA1" s="105"/>
      <c r="DB1" s="105"/>
      <c r="DC1" s="105"/>
      <c r="DD1" s="105"/>
      <c r="DE1" s="105"/>
      <c r="DF1" s="105"/>
      <c r="DG1" s="105"/>
      <c r="DH1" s="105"/>
      <c r="DI1" s="105"/>
      <c r="DJ1" s="105"/>
      <c r="DK1" s="105"/>
      <c r="DL1" s="105"/>
      <c r="DM1" s="105"/>
      <c r="DN1" s="105"/>
      <c r="DO1" s="105"/>
      <c r="DP1" s="105"/>
      <c r="DQ1" s="105"/>
      <c r="DR1" s="105"/>
      <c r="DS1" s="105"/>
      <c r="DT1" s="105"/>
      <c r="DU1" s="105"/>
    </row>
    <row r="2" spans="1:125" ht="25.5" customHeight="1" x14ac:dyDescent="0.2">
      <c r="A2" s="389" t="str">
        <f ca="1">CONCATENATE("Class ",INDIRECT(ADDRESS(AY5,6))," kg")</f>
        <v>Class 84+ kg</v>
      </c>
      <c r="B2" s="390"/>
      <c r="C2" s="393">
        <f ca="1">INDIRECT(AY4)</f>
        <v>70</v>
      </c>
      <c r="D2" s="394"/>
      <c r="E2" s="394"/>
      <c r="F2" s="394" t="s">
        <v>122</v>
      </c>
      <c r="G2" s="394"/>
      <c r="H2" s="105"/>
      <c r="I2" s="106"/>
      <c r="J2" s="105"/>
      <c r="K2" s="107"/>
      <c r="L2" s="108"/>
      <c r="M2" s="108"/>
      <c r="N2" s="108"/>
      <c r="O2" s="107"/>
      <c r="P2" s="109"/>
      <c r="Q2" s="262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5"/>
      <c r="AG2" s="105"/>
      <c r="AH2" s="110"/>
      <c r="AI2" s="107"/>
      <c r="AJ2" s="107"/>
      <c r="AK2" s="107"/>
      <c r="AL2" s="107"/>
      <c r="AM2" s="105"/>
      <c r="AN2" s="111"/>
      <c r="AO2" s="111"/>
      <c r="AP2" s="111"/>
      <c r="AQ2" s="111"/>
      <c r="AR2" s="105"/>
      <c r="AS2" s="107" t="str">
        <f ca="1">CONCATENATE("B9:B",BA6)</f>
        <v>B9:B20</v>
      </c>
      <c r="AT2" s="119" t="s">
        <v>127</v>
      </c>
      <c r="AU2" s="107" t="s">
        <v>109</v>
      </c>
      <c r="AV2" s="120"/>
      <c r="AW2" s="114"/>
      <c r="AX2" s="105"/>
      <c r="AY2" s="105"/>
      <c r="AZ2" s="105"/>
      <c r="BA2" s="116">
        <f>IF(BA1=RIGHT($A$7,1),0,BH2+1)</f>
        <v>7</v>
      </c>
      <c r="BB2" s="116">
        <f t="shared" ref="BB2:BH2" si="0">IF(BB1=RIGHT($A$7,1),0,BA2+1)</f>
        <v>0</v>
      </c>
      <c r="BC2" s="116">
        <f t="shared" si="0"/>
        <v>1</v>
      </c>
      <c r="BD2" s="116">
        <f t="shared" si="0"/>
        <v>2</v>
      </c>
      <c r="BE2" s="116">
        <f t="shared" si="0"/>
        <v>3</v>
      </c>
      <c r="BF2" s="116">
        <f t="shared" si="0"/>
        <v>4</v>
      </c>
      <c r="BG2" s="116">
        <f t="shared" si="0"/>
        <v>5</v>
      </c>
      <c r="BH2" s="116">
        <f t="shared" si="0"/>
        <v>6</v>
      </c>
      <c r="BI2" s="121" t="b">
        <f ca="1">IF(AND(AY5=BA6,OR(BD4=12,BD4=13,BD4=17,BD4=18,BD4=22,BD4=23)),TRUE)</f>
        <v>0</v>
      </c>
      <c r="BJ2" s="105"/>
      <c r="BK2" s="105"/>
      <c r="BL2" s="105">
        <v>1</v>
      </c>
      <c r="BM2" s="105"/>
      <c r="BN2" s="105"/>
      <c r="BO2" s="117"/>
      <c r="BP2" s="105"/>
      <c r="BQ2" s="105"/>
      <c r="BR2" s="105"/>
      <c r="BS2" s="105"/>
      <c r="BT2" s="117"/>
      <c r="BU2" s="105"/>
      <c r="BV2" s="105"/>
      <c r="BW2" s="105"/>
      <c r="BX2" s="105"/>
      <c r="BY2" s="117"/>
      <c r="BZ2" s="117"/>
      <c r="CA2" s="105"/>
      <c r="CB2" s="105"/>
      <c r="CC2" s="105"/>
      <c r="CD2" s="105"/>
      <c r="CE2" s="105"/>
      <c r="CF2" s="105"/>
      <c r="CG2" s="105"/>
      <c r="CH2" s="105"/>
      <c r="CI2" s="105"/>
      <c r="CJ2" s="105"/>
      <c r="CK2" s="105"/>
      <c r="CL2" s="105"/>
      <c r="CM2" s="105"/>
      <c r="CN2" s="105"/>
      <c r="CO2" s="105"/>
      <c r="CP2" s="105"/>
      <c r="CQ2" s="105"/>
      <c r="CR2" s="105"/>
      <c r="CS2" s="105"/>
      <c r="CT2" s="105"/>
      <c r="CU2" s="105"/>
      <c r="CV2" s="105"/>
      <c r="CW2" s="105"/>
      <c r="CX2" s="105"/>
      <c r="CY2" s="105"/>
      <c r="CZ2" s="105"/>
      <c r="DA2" s="105"/>
      <c r="DB2" s="105"/>
      <c r="DC2" s="105"/>
      <c r="DD2" s="105"/>
      <c r="DE2" s="105"/>
      <c r="DF2" s="105"/>
      <c r="DG2" s="105"/>
      <c r="DH2" s="105"/>
      <c r="DI2" s="105"/>
      <c r="DJ2" s="105"/>
      <c r="DK2" s="105"/>
      <c r="DL2" s="105"/>
      <c r="DM2" s="105"/>
      <c r="DN2" s="105"/>
      <c r="DO2" s="105"/>
      <c r="DP2" s="105"/>
      <c r="DQ2" s="105"/>
      <c r="DR2" s="105"/>
      <c r="DS2" s="105"/>
      <c r="DT2" s="105"/>
      <c r="DU2" s="105"/>
    </row>
    <row r="3" spans="1:125" ht="25.5" customHeight="1" x14ac:dyDescent="0.2">
      <c r="A3" s="389" t="str">
        <f ca="1">OFFSET(Setup!P1,MATCH(INDIRECT(ADDRESS(AY5,3)),Setup!O:O,0)-1,0)</f>
        <v>Sommarhemmets KS</v>
      </c>
      <c r="B3" s="390"/>
      <c r="C3" s="395"/>
      <c r="D3" s="396"/>
      <c r="E3" s="396"/>
      <c r="F3" s="397"/>
      <c r="G3" s="396"/>
      <c r="H3" s="105"/>
      <c r="I3" s="106"/>
      <c r="J3" s="105"/>
      <c r="K3" s="107"/>
      <c r="L3" s="108"/>
      <c r="M3" s="108"/>
      <c r="N3" s="108"/>
      <c r="O3" s="107"/>
      <c r="P3" s="109"/>
      <c r="Q3" s="262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5"/>
      <c r="AG3" s="105"/>
      <c r="AH3" s="110"/>
      <c r="AI3" s="107"/>
      <c r="AJ3" s="107"/>
      <c r="AK3" s="107"/>
      <c r="AL3" s="107"/>
      <c r="AM3" s="105"/>
      <c r="AN3" s="111"/>
      <c r="AO3" s="111"/>
      <c r="AP3" s="111"/>
      <c r="AQ3" s="111"/>
      <c r="AR3" s="105"/>
      <c r="AS3" s="112" t="str">
        <f>CONCATENATE("Setup!B12:B",COUNTA(Setup!B:B)+8)</f>
        <v>Setup!B12:B14</v>
      </c>
      <c r="AT3" s="119" t="s">
        <v>12</v>
      </c>
      <c r="AU3" s="107" t="s">
        <v>116</v>
      </c>
      <c r="AV3" s="122" t="s">
        <v>112</v>
      </c>
      <c r="AW3" s="123"/>
      <c r="AX3" s="123"/>
      <c r="AY3" s="124" t="s">
        <v>111</v>
      </c>
      <c r="AZ3" s="105"/>
      <c r="BA3" s="125" t="s">
        <v>50</v>
      </c>
      <c r="BB3" s="112" t="s">
        <v>7</v>
      </c>
      <c r="BC3" s="105"/>
      <c r="BD3" s="124" t="s">
        <v>55</v>
      </c>
      <c r="BE3" s="124" t="s">
        <v>51</v>
      </c>
      <c r="BF3" s="124" t="s">
        <v>54</v>
      </c>
      <c r="BG3" s="124" t="s">
        <v>146</v>
      </c>
      <c r="BH3" s="105"/>
      <c r="BI3" s="105" t="b">
        <f ca="1">IF(AND(AY5=BD6,OR(BD4=12,BD4=13)),TRUE)</f>
        <v>1</v>
      </c>
      <c r="BJ3" s="105"/>
      <c r="BK3" s="105"/>
      <c r="BL3" s="105">
        <v>1</v>
      </c>
      <c r="BM3" s="105"/>
      <c r="BN3" s="105"/>
      <c r="BO3" s="117"/>
      <c r="BP3" s="105"/>
      <c r="BQ3" s="105"/>
      <c r="BR3" s="105"/>
      <c r="BS3" s="105"/>
      <c r="BT3" s="117"/>
      <c r="BU3" s="105"/>
      <c r="BV3" s="105"/>
      <c r="BW3" s="105"/>
      <c r="BX3" s="105"/>
      <c r="BY3" s="117"/>
      <c r="BZ3" s="117"/>
      <c r="CA3" s="105"/>
      <c r="CB3" s="105"/>
      <c r="CC3" s="105"/>
      <c r="CD3" s="105"/>
      <c r="CE3" s="105"/>
      <c r="CF3" s="105"/>
      <c r="CG3" s="105"/>
      <c r="CH3" s="105"/>
      <c r="CI3" s="105"/>
      <c r="CJ3" s="105"/>
      <c r="CK3" s="105"/>
      <c r="CL3" s="105"/>
      <c r="CM3" s="105"/>
      <c r="CN3" s="105"/>
      <c r="CO3" s="105"/>
      <c r="CP3" s="105"/>
      <c r="CQ3" s="105"/>
      <c r="CR3" s="105"/>
      <c r="CS3" s="105"/>
      <c r="CT3" s="105"/>
      <c r="CU3" s="105"/>
      <c r="CV3" s="105"/>
      <c r="CW3" s="105"/>
      <c r="CX3" s="105"/>
      <c r="CY3" s="105"/>
      <c r="CZ3" s="105"/>
      <c r="DA3" s="105"/>
      <c r="DB3" s="105"/>
      <c r="DC3" s="105"/>
      <c r="DD3" s="105"/>
      <c r="DE3" s="105"/>
      <c r="DF3" s="105"/>
      <c r="DG3" s="105"/>
      <c r="DH3" s="105"/>
      <c r="DI3" s="105"/>
      <c r="DJ3" s="105"/>
      <c r="DK3" s="105"/>
      <c r="DL3" s="105"/>
      <c r="DM3" s="105"/>
      <c r="DN3" s="105"/>
      <c r="DO3" s="105"/>
      <c r="DP3" s="105"/>
      <c r="DQ3" s="105"/>
      <c r="DR3" s="105"/>
      <c r="DS3" s="105"/>
      <c r="DT3" s="105"/>
      <c r="DU3" s="105"/>
    </row>
    <row r="4" spans="1:125" ht="25.5" customHeight="1" x14ac:dyDescent="0.2">
      <c r="A4" s="391"/>
      <c r="B4" s="392"/>
      <c r="C4" s="398" t="s">
        <v>32</v>
      </c>
      <c r="D4" s="399"/>
      <c r="E4" s="400"/>
      <c r="F4" s="263" t="s">
        <v>258</v>
      </c>
      <c r="G4" s="264">
        <f ca="1">IF(LEFT(C4,1)="S",INDIRECT(ADDRESS(AY5,11)),IF(LEFT(C4,1)="B",INDIRECT(ADDRESS(AY5,16)),""))</f>
        <v>15</v>
      </c>
      <c r="H4" s="105"/>
      <c r="I4" s="106"/>
      <c r="J4" s="105"/>
      <c r="K4" s="107"/>
      <c r="L4" s="108"/>
      <c r="M4" s="108"/>
      <c r="N4" s="108"/>
      <c r="O4" s="107"/>
      <c r="P4" s="109"/>
      <c r="Q4" s="262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5"/>
      <c r="AG4" s="105"/>
      <c r="AH4" s="110"/>
      <c r="AI4" s="107"/>
      <c r="AJ4" s="107"/>
      <c r="AK4" s="107"/>
      <c r="AL4" s="107"/>
      <c r="AM4" s="105"/>
      <c r="AN4" s="111"/>
      <c r="AO4" s="111"/>
      <c r="AP4" s="111"/>
      <c r="AQ4" s="111"/>
      <c r="AR4" s="105"/>
      <c r="AS4" s="112" t="str">
        <f>CONCATENATE("Setup!O6:O",COUNTA(Setup!O:O)+3)</f>
        <v>Setup!O6:O15</v>
      </c>
      <c r="AT4" s="119" t="s">
        <v>21</v>
      </c>
      <c r="AU4" s="107" t="s">
        <v>117</v>
      </c>
      <c r="AV4" s="122" t="s">
        <v>113</v>
      </c>
      <c r="AW4" s="105"/>
      <c r="AX4" s="105"/>
      <c r="AY4" s="107" t="str">
        <f ca="1">ADDRESS(MATCH(A1,INDIRECT(AS2),0)+8,BD4)</f>
        <v>$L$9</v>
      </c>
      <c r="AZ4" s="105"/>
      <c r="BA4" s="107" t="str">
        <f ca="1">CONCATENATE("B",$BA$5,":","B",BA6)</f>
        <v>B9:B20</v>
      </c>
      <c r="BB4" s="125">
        <v>12</v>
      </c>
      <c r="BC4" s="126" t="s">
        <v>57</v>
      </c>
      <c r="BD4" s="107">
        <f ca="1">OFFSET(Lists!C1,MATCH(C4,Attempts,0),0)</f>
        <v>12</v>
      </c>
      <c r="BE4" s="107" t="s">
        <v>25</v>
      </c>
      <c r="BF4" s="112" t="str">
        <f>CONCATENATE("$A$",BF5,":$A$",BF6)</f>
        <v>$A$9:$A$42</v>
      </c>
      <c r="BG4" s="107">
        <f>IF(C4="Squat 3",17,22)</f>
        <v>22</v>
      </c>
      <c r="BH4" s="105"/>
      <c r="BI4" s="105" t="b">
        <f ca="1">IF(AND(AY5=BD6,OR(BD4=17,BD4=18)),TRUE)</f>
        <v>0</v>
      </c>
      <c r="BJ4" s="105"/>
      <c r="BK4" s="105"/>
      <c r="BL4" s="105">
        <v>1</v>
      </c>
      <c r="BM4" s="105"/>
      <c r="BN4" s="105"/>
      <c r="BO4" s="117"/>
      <c r="BP4" s="105"/>
      <c r="BQ4" s="105"/>
      <c r="BR4" s="105"/>
      <c r="BS4" s="105"/>
      <c r="BT4" s="117"/>
      <c r="BU4" s="105"/>
      <c r="BV4" s="105"/>
      <c r="BW4" s="105"/>
      <c r="BX4" s="105"/>
      <c r="BY4" s="117"/>
      <c r="BZ4" s="117"/>
      <c r="CA4" s="105"/>
      <c r="CB4" s="105"/>
      <c r="CC4" s="105"/>
      <c r="CD4" s="105"/>
      <c r="CE4" s="105"/>
      <c r="CF4" s="105"/>
      <c r="CG4" s="105"/>
      <c r="CH4" s="105"/>
      <c r="CI4" s="105"/>
      <c r="CJ4" s="105"/>
      <c r="CK4" s="105"/>
      <c r="CL4" s="105"/>
      <c r="CM4" s="105"/>
      <c r="CN4" s="105"/>
      <c r="CO4" s="105"/>
      <c r="CP4" s="105"/>
      <c r="CQ4" s="105"/>
      <c r="CR4" s="105"/>
      <c r="CS4" s="105"/>
      <c r="CT4" s="105"/>
      <c r="CU4" s="105"/>
      <c r="CV4" s="105"/>
      <c r="CW4" s="105"/>
      <c r="CX4" s="105"/>
      <c r="CY4" s="105"/>
      <c r="CZ4" s="105"/>
      <c r="DA4" s="105"/>
      <c r="DB4" s="105"/>
      <c r="DC4" s="105"/>
      <c r="DD4" s="105"/>
      <c r="DE4" s="105"/>
      <c r="DF4" s="105"/>
      <c r="DG4" s="105"/>
      <c r="DH4" s="105"/>
      <c r="DI4" s="105"/>
      <c r="DJ4" s="105"/>
      <c r="DK4" s="105"/>
      <c r="DL4" s="105"/>
      <c r="DM4" s="105"/>
      <c r="DN4" s="105"/>
      <c r="DO4" s="105"/>
      <c r="DP4" s="105"/>
      <c r="DQ4" s="105"/>
      <c r="DR4" s="105"/>
      <c r="DS4" s="105"/>
      <c r="DT4" s="105"/>
      <c r="DU4" s="105"/>
    </row>
    <row r="5" spans="1:125" ht="25.5" customHeight="1" x14ac:dyDescent="0.2">
      <c r="A5" s="387" t="s">
        <v>160</v>
      </c>
      <c r="B5" s="388"/>
      <c r="C5" s="307" t="s">
        <v>364</v>
      </c>
      <c r="D5" s="308" t="s">
        <v>25</v>
      </c>
      <c r="E5" s="308" t="s">
        <v>116</v>
      </c>
      <c r="F5" s="279" t="s">
        <v>6</v>
      </c>
      <c r="G5" s="280" t="s">
        <v>162</v>
      </c>
      <c r="H5" s="105"/>
      <c r="I5" s="106"/>
      <c r="J5" s="105"/>
      <c r="K5" s="107"/>
      <c r="L5" s="108"/>
      <c r="M5" s="108"/>
      <c r="N5" s="108"/>
      <c r="O5" s="107"/>
      <c r="P5" s="109"/>
      <c r="Q5" s="262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5"/>
      <c r="AG5" s="105"/>
      <c r="AH5" s="110"/>
      <c r="AI5" s="107"/>
      <c r="AJ5" s="107"/>
      <c r="AK5" s="107"/>
      <c r="AL5" s="107"/>
      <c r="AM5" s="105">
        <f ca="1">INDIRECT(ADDRESS(AY5,36))</f>
        <v>1300</v>
      </c>
      <c r="AN5" s="111"/>
      <c r="AO5" s="111"/>
      <c r="AP5" s="111"/>
      <c r="AQ5" s="111"/>
      <c r="AR5" s="105"/>
      <c r="AS5" s="105"/>
      <c r="AT5" s="119" t="s">
        <v>22</v>
      </c>
      <c r="AU5" s="107" t="s">
        <v>118</v>
      </c>
      <c r="AV5" s="129"/>
      <c r="AW5" s="125" t="s">
        <v>42</v>
      </c>
      <c r="AX5" s="107">
        <v>275</v>
      </c>
      <c r="AY5" s="107">
        <f ca="1">MATCH(A1,INDIRECT(AS2),0)+8</f>
        <v>9</v>
      </c>
      <c r="AZ5" s="107" t="s">
        <v>24</v>
      </c>
      <c r="BA5" s="107">
        <v>9</v>
      </c>
      <c r="BB5" s="125">
        <v>9</v>
      </c>
      <c r="BC5" s="126" t="s">
        <v>58</v>
      </c>
      <c r="BD5" s="107">
        <f ca="1">IF(BD4&lt;20,IF(BD4&lt;15,15,20),25)</f>
        <v>15</v>
      </c>
      <c r="BE5" s="107">
        <f ca="1">MATCH($BE$4,INDIRECT(BF4),0)+8</f>
        <v>21</v>
      </c>
      <c r="BF5" s="107">
        <v>9</v>
      </c>
      <c r="BG5" s="107">
        <f>BB6+1</f>
        <v>43</v>
      </c>
      <c r="BH5" s="105"/>
      <c r="BI5" s="105"/>
      <c r="BJ5" s="105"/>
      <c r="BK5" s="105"/>
      <c r="BL5" s="105">
        <v>1</v>
      </c>
      <c r="BM5" s="105"/>
      <c r="BN5" s="105"/>
      <c r="BO5" s="105"/>
      <c r="BP5" s="105"/>
      <c r="BQ5" s="105"/>
      <c r="BR5" s="105"/>
      <c r="BS5" s="105"/>
      <c r="BT5" s="105"/>
      <c r="BU5" s="105"/>
      <c r="BV5" s="105"/>
      <c r="BW5" s="105"/>
      <c r="BX5" s="105"/>
      <c r="BY5" s="105"/>
      <c r="BZ5" s="130"/>
      <c r="CA5" s="131">
        <f ca="1">NOW()-TODAY()</f>
        <v>0.94405138889123918</v>
      </c>
      <c r="CB5" s="105"/>
      <c r="CC5" s="105"/>
      <c r="CD5" s="105"/>
      <c r="CE5" s="105"/>
      <c r="CF5" s="105"/>
      <c r="CG5" s="105"/>
      <c r="CH5" s="105"/>
      <c r="CI5" s="105"/>
      <c r="CJ5" s="105"/>
      <c r="CK5" s="105"/>
      <c r="CL5" s="105"/>
      <c r="CM5" s="105"/>
      <c r="CN5" s="105"/>
      <c r="CO5" s="105"/>
      <c r="CP5" s="105"/>
      <c r="CQ5" s="105"/>
      <c r="CR5" s="105"/>
      <c r="CS5" s="105"/>
      <c r="CT5" s="105"/>
      <c r="CU5" s="105"/>
      <c r="CV5" s="105"/>
      <c r="CW5" s="105"/>
      <c r="CX5" s="105"/>
      <c r="CY5" s="105"/>
      <c r="CZ5" s="105"/>
      <c r="DA5" s="105"/>
      <c r="DB5" s="105"/>
      <c r="DC5" s="105"/>
      <c r="DD5" s="105"/>
      <c r="DE5" s="105"/>
      <c r="DF5" s="105"/>
      <c r="DG5" s="105"/>
      <c r="DH5" s="105"/>
      <c r="DI5" s="105"/>
      <c r="DJ5" s="105"/>
      <c r="DK5" s="105"/>
      <c r="DL5" s="105"/>
      <c r="DM5" s="105"/>
      <c r="DN5" s="105"/>
      <c r="DO5" s="105"/>
      <c r="DP5" s="105"/>
      <c r="DQ5" s="105"/>
      <c r="DR5" s="105"/>
      <c r="DS5" s="105"/>
      <c r="DT5" s="105"/>
      <c r="DU5" s="105"/>
    </row>
    <row r="6" spans="1:125" s="127" customFormat="1" ht="25.5" hidden="1" customHeight="1" x14ac:dyDescent="0.2">
      <c r="A6" s="132"/>
      <c r="B6" s="133"/>
      <c r="C6" s="134"/>
      <c r="D6" s="139"/>
      <c r="E6" s="139"/>
      <c r="F6" s="135"/>
      <c r="G6" s="136"/>
      <c r="H6" s="137"/>
      <c r="I6" s="138"/>
      <c r="J6" s="137"/>
      <c r="K6" s="139"/>
      <c r="L6" s="140"/>
      <c r="M6" s="140"/>
      <c r="N6" s="140"/>
      <c r="O6" s="139"/>
      <c r="P6" s="141"/>
      <c r="Q6" s="139"/>
      <c r="R6" s="139"/>
      <c r="S6" s="139"/>
      <c r="T6" s="139"/>
      <c r="U6" s="139"/>
      <c r="V6" s="139"/>
      <c r="W6" s="142"/>
      <c r="X6" s="143"/>
      <c r="Y6" s="144"/>
      <c r="Z6" s="139"/>
      <c r="AA6" s="139"/>
      <c r="AB6" s="139"/>
      <c r="AC6" s="139"/>
      <c r="AD6" s="139"/>
      <c r="AE6" s="137"/>
      <c r="AF6" s="137"/>
      <c r="AG6" s="137"/>
      <c r="AH6" s="145"/>
      <c r="AI6" s="139"/>
      <c r="AJ6" s="139"/>
      <c r="AK6" s="139"/>
      <c r="AL6" s="139"/>
      <c r="AM6" s="137"/>
      <c r="AN6" s="146"/>
      <c r="AO6" s="146"/>
      <c r="AP6" s="146"/>
      <c r="AQ6" s="146"/>
      <c r="AR6" s="137"/>
      <c r="AS6" s="137"/>
      <c r="AT6" s="147" t="s">
        <v>131</v>
      </c>
      <c r="AU6" s="148" t="s">
        <v>119</v>
      </c>
      <c r="AV6" s="149" t="str">
        <f>CONCATENATE("AV9:AV",BF6)</f>
        <v>AV9:AV42</v>
      </c>
      <c r="AW6" s="150" t="s">
        <v>2</v>
      </c>
      <c r="AX6" s="139" t="s">
        <v>48</v>
      </c>
      <c r="AY6" s="137"/>
      <c r="AZ6" s="148"/>
      <c r="BA6" s="148">
        <f ca="1">COUNTIF(INDIRECT(BF4),AZ5)+8</f>
        <v>20</v>
      </c>
      <c r="BB6" s="150">
        <v>42</v>
      </c>
      <c r="BC6" s="151" t="s">
        <v>59</v>
      </c>
      <c r="BD6" s="148">
        <f ca="1">MATCH(A1,INDIRECT(AS2),0)+8</f>
        <v>9</v>
      </c>
      <c r="BE6" s="139">
        <f ca="1">COUNTIF(INDIRECT(BF4),BE4)+BE5-1</f>
        <v>34</v>
      </c>
      <c r="BF6" s="148">
        <f>COUNTA($BL:$BL)</f>
        <v>42</v>
      </c>
      <c r="BG6" s="148">
        <f ca="1">COUNTIF(A:A,INDIRECT(ADDRESS(BG5,1)))+BG5-1</f>
        <v>42</v>
      </c>
      <c r="BH6" s="137"/>
      <c r="BI6" s="137"/>
      <c r="BJ6" s="137"/>
      <c r="BK6" s="137"/>
      <c r="BL6" s="137">
        <v>1</v>
      </c>
      <c r="BM6" s="137"/>
      <c r="BN6" s="137"/>
      <c r="BO6" s="152"/>
      <c r="BP6" s="137"/>
      <c r="BQ6" s="137"/>
      <c r="BR6" s="137"/>
      <c r="BS6" s="137"/>
      <c r="BT6" s="152"/>
      <c r="BU6" s="137"/>
      <c r="BV6" s="137"/>
      <c r="BW6" s="137"/>
      <c r="BX6" s="137"/>
      <c r="BY6" s="152"/>
      <c r="BZ6" s="152"/>
      <c r="CA6" s="137"/>
      <c r="CB6" s="137"/>
      <c r="CC6" s="137"/>
      <c r="CD6" s="137"/>
      <c r="CE6" s="137"/>
      <c r="CF6" s="137"/>
      <c r="CG6" s="137"/>
      <c r="CH6" s="137"/>
      <c r="CI6" s="137"/>
      <c r="CJ6" s="137"/>
      <c r="CK6" s="137"/>
      <c r="CL6" s="137"/>
      <c r="CM6" s="137"/>
      <c r="CN6" s="137"/>
      <c r="CO6" s="137"/>
      <c r="CP6" s="137"/>
      <c r="CQ6" s="137"/>
      <c r="CR6" s="137"/>
      <c r="CS6" s="137"/>
      <c r="CT6" s="137"/>
      <c r="CU6" s="137"/>
      <c r="CV6" s="137"/>
      <c r="CW6" s="137"/>
      <c r="CX6" s="137"/>
      <c r="CY6" s="137"/>
      <c r="CZ6" s="137"/>
      <c r="DA6" s="137"/>
      <c r="DB6" s="137"/>
      <c r="DC6" s="137"/>
      <c r="DD6" s="137"/>
      <c r="DE6" s="137"/>
      <c r="DF6" s="137"/>
      <c r="DG6" s="137"/>
      <c r="DH6" s="137"/>
      <c r="DI6" s="137"/>
      <c r="DJ6" s="137"/>
      <c r="DK6" s="137"/>
      <c r="DL6" s="137"/>
      <c r="DM6" s="137"/>
      <c r="DN6" s="137"/>
      <c r="DO6" s="137"/>
      <c r="DP6" s="137"/>
      <c r="DQ6" s="137"/>
      <c r="DR6" s="137"/>
      <c r="DS6" s="137"/>
      <c r="DT6" s="137"/>
      <c r="DU6" s="137"/>
    </row>
    <row r="7" spans="1:125" s="156" customFormat="1" ht="27" customHeight="1" x14ac:dyDescent="0.2">
      <c r="A7" s="153" t="s">
        <v>365</v>
      </c>
      <c r="B7" s="154" t="s">
        <v>0</v>
      </c>
      <c r="C7" s="155" t="s">
        <v>41</v>
      </c>
      <c r="D7" s="155" t="s">
        <v>2</v>
      </c>
      <c r="E7" s="155" t="str">
        <f>'Weigh-In'!E2</f>
        <v>Bwt (kg)</v>
      </c>
      <c r="F7" s="155" t="str">
        <f>IF(E7="Bwt (lb)","WtCls (lb)","WtCls (kg)")</f>
        <v>WtCls (kg)</v>
      </c>
      <c r="G7" s="155" t="s">
        <v>1</v>
      </c>
      <c r="H7" s="156" t="s">
        <v>5</v>
      </c>
      <c r="I7" s="157" t="s">
        <v>187</v>
      </c>
      <c r="J7" s="155" t="s">
        <v>4</v>
      </c>
      <c r="K7" s="155" t="s">
        <v>8</v>
      </c>
      <c r="L7" s="155" t="s">
        <v>9</v>
      </c>
      <c r="M7" s="155" t="s">
        <v>10</v>
      </c>
      <c r="N7" s="155" t="s">
        <v>11</v>
      </c>
      <c r="O7" s="155" t="s">
        <v>12</v>
      </c>
      <c r="P7" s="158" t="s">
        <v>13</v>
      </c>
      <c r="Q7" s="155" t="s">
        <v>14</v>
      </c>
      <c r="R7" s="155" t="s">
        <v>15</v>
      </c>
      <c r="S7" s="155" t="s">
        <v>16</v>
      </c>
      <c r="T7" s="155" t="s">
        <v>21</v>
      </c>
      <c r="U7" s="155" t="s">
        <v>17</v>
      </c>
      <c r="V7" s="155" t="s">
        <v>18</v>
      </c>
      <c r="W7" s="159" t="s">
        <v>19</v>
      </c>
      <c r="X7" s="155" t="s">
        <v>20</v>
      </c>
      <c r="Y7" s="160" t="s">
        <v>22</v>
      </c>
      <c r="Z7" s="153" t="s">
        <v>127</v>
      </c>
      <c r="AA7" s="155" t="s">
        <v>186</v>
      </c>
      <c r="AB7" s="155" t="s">
        <v>185</v>
      </c>
      <c r="AC7" s="155" t="s">
        <v>26</v>
      </c>
      <c r="AD7" s="161" t="s">
        <v>133</v>
      </c>
      <c r="AE7" s="155" t="s">
        <v>27</v>
      </c>
      <c r="AG7" s="156">
        <v>1</v>
      </c>
      <c r="AH7" s="162" t="s">
        <v>114</v>
      </c>
      <c r="AI7" s="155" t="s">
        <v>115</v>
      </c>
      <c r="AJ7" s="155" t="s">
        <v>151</v>
      </c>
      <c r="AK7" s="155" t="s">
        <v>152</v>
      </c>
      <c r="AL7" s="155" t="s">
        <v>140</v>
      </c>
      <c r="AN7" s="163" t="s">
        <v>153</v>
      </c>
      <c r="AO7" s="163" t="s">
        <v>154</v>
      </c>
      <c r="AP7" s="163" t="s">
        <v>155</v>
      </c>
      <c r="AQ7" s="163" t="s">
        <v>156</v>
      </c>
      <c r="AU7" s="163" t="str">
        <f ca="1">OFFSET(AU1,MATCH(Z7,AT2:AT6,0),0)</f>
        <v>PL</v>
      </c>
      <c r="AW7" s="163"/>
      <c r="AX7" s="164"/>
      <c r="AY7" s="164"/>
      <c r="AZ7" s="164"/>
      <c r="BA7" s="165" t="s">
        <v>150</v>
      </c>
      <c r="BB7" s="155" t="s">
        <v>53</v>
      </c>
      <c r="BL7" s="155" t="s">
        <v>9</v>
      </c>
      <c r="BM7" s="155" t="s">
        <v>10</v>
      </c>
      <c r="BN7" s="155" t="s">
        <v>11</v>
      </c>
      <c r="BO7" s="166" t="s">
        <v>28</v>
      </c>
      <c r="BP7" s="155" t="s">
        <v>13</v>
      </c>
      <c r="BQ7" s="155" t="s">
        <v>14</v>
      </c>
      <c r="BR7" s="155" t="s">
        <v>15</v>
      </c>
      <c r="BS7" s="155" t="s">
        <v>16</v>
      </c>
      <c r="BT7" s="166" t="s">
        <v>29</v>
      </c>
      <c r="BU7" s="155" t="s">
        <v>17</v>
      </c>
      <c r="BV7" s="155" t="s">
        <v>18</v>
      </c>
      <c r="BW7" s="155" t="s">
        <v>19</v>
      </c>
      <c r="BX7" s="155" t="s">
        <v>20</v>
      </c>
      <c r="BY7" s="166" t="s">
        <v>30</v>
      </c>
      <c r="BZ7" s="166" t="s">
        <v>157</v>
      </c>
      <c r="CA7" s="156" t="s">
        <v>163</v>
      </c>
    </row>
    <row r="8" spans="1:125" ht="19.5" hidden="1" customHeight="1" x14ac:dyDescent="0.2">
      <c r="A8" s="167"/>
      <c r="B8" s="168" t="s">
        <v>110</v>
      </c>
      <c r="C8" s="168"/>
      <c r="D8" s="169"/>
      <c r="E8" s="169">
        <v>0</v>
      </c>
      <c r="F8" s="169" t="e">
        <f>IF(LEFT(D8,1)="M",VLOOKUP(IF($E$7="Bwt (kg)",E8,E8/2.2046),Lists!$B$16:$D$24,IF(ISERROR(FIND("J",D8)),3,2)),VLOOKUP(IF($E$7="Bwt (kg)",E8,E8/2.2046),Lists!$B$26:$D$33,IF(ISERROR(FIND("J",D8)),3,2)))</f>
        <v>#N/A</v>
      </c>
      <c r="G8" s="169">
        <v>0</v>
      </c>
      <c r="H8" s="170">
        <f>IF(AND(VALUE(E8)&gt;0,OR(LEFT(D8,1)="M",LEFT(D8,1)="F")),IF(LEFT(D8,1)="M",Wilks_Men(IF(RIGHT($F$7,4)="(lb)",E8/2.2046,E8)),Wilks_Women(IF(RIGHT($F$7,4)="(lb)",E8/2.2046,E8))),0)</f>
        <v>0</v>
      </c>
      <c r="I8" s="171">
        <v>0</v>
      </c>
      <c r="J8" s="128">
        <f ca="1">IF(I8,VLOOKUP(INT((NOW()-I8)/365.25),DATA!$A$2:$B$53,2,TRUE),0)</f>
        <v>0</v>
      </c>
      <c r="K8" s="169"/>
      <c r="L8" s="172">
        <v>0</v>
      </c>
      <c r="M8" s="172"/>
      <c r="N8" s="172"/>
      <c r="O8" s="173" t="str">
        <f t="shared" ref="O8" si="1">IF(MAX(BL8:BN8)&gt;0,MAX(ABS(L8)*BL8,ABS(M8)*BM8,ABS(N8)*BN8),"")</f>
        <v/>
      </c>
      <c r="P8" s="174"/>
      <c r="Q8" s="167">
        <v>0</v>
      </c>
      <c r="R8" s="167"/>
      <c r="S8" s="167"/>
      <c r="T8" s="173">
        <f t="shared" ref="T8" si="2">IF(MAX(BQ8:BS8)&gt;0,MAX(ABS(Q8)*BQ8,ABS(R8)*BR8,ABS(S8)*BS8),0)</f>
        <v>0</v>
      </c>
      <c r="U8" s="173" t="str">
        <f t="shared" ref="U8" si="3">IF(OR(O8="",T8=""),"",O8+T8)</f>
        <v/>
      </c>
      <c r="V8" s="167">
        <v>0</v>
      </c>
      <c r="W8" s="175"/>
      <c r="X8" s="167"/>
      <c r="Y8" s="176" t="str">
        <f t="shared" ref="Y8" si="4">IF(MAX(BV8:BX8)&gt;0,MAX(ABS(V8)*BV8,ABS(W8)*BW8,ABS(X8)*BX8),"")</f>
        <v/>
      </c>
      <c r="Z8" s="173" t="str">
        <f t="shared" ref="Z8" ca="1" si="5">IF(AE8=$AU$7,IF($AU$7="SQ",O8,IF($AU$7="BP",T8,IF($AU$7="DL",Y8,IF($AU$7="PP",IF(OR(T8="",Y8=""),"",T8+Y8),IF(OR($U8="",$Y8=""),"",$O8+$T8+$Y8))))),"")</f>
        <v/>
      </c>
      <c r="AA8" s="282" t="str">
        <f ca="1">IF(AE8="BP",IF(T8&gt;1,T8*H8,""),IF(Z8="","",Z8*H8))</f>
        <v/>
      </c>
      <c r="AB8" s="177" t="e">
        <f t="shared" ref="AB8" ca="1" si="6">IF(AND(I8&gt;23,I8&lt;40),0,AA8*J8)</f>
        <v>#VALUE!</v>
      </c>
      <c r="AC8" s="167" t="e">
        <f ca="1">OFFSET(Setup!$F$1,MATCH(D8,INDIRECT("Setup!B1:B100"),0)-1,0)</f>
        <v>#N/A</v>
      </c>
      <c r="AD8" s="178" t="str">
        <f t="shared" ref="AD8" ca="1" si="7">IF(OR(Z8=0,AU8=0,AH8=0),"",CONCATENATE(AL8,"-",D8,IF(AC8&gt;1,"","-"),IF(AC8&gt;1,"",F8),"-",$AU$7))</f>
        <v/>
      </c>
      <c r="AE8" s="169"/>
      <c r="AH8" s="179">
        <f ca="1">AU8*(IF(OR(D8="",E8=""),0,MATCH(D8,INDIRECT("Setup!B1:B100"),0)*100000000+IF(AC8=1,(MATCH(F8,Lists!$I$16:$I$32,0)),0)*1000000+IF(Z8=0,0,IF(AC8=1,AN8*1000,IF(AC8=2,AA8,AB8))+IF(AC8=1,AP8+AQ8/1000,0))))</f>
        <v>0</v>
      </c>
      <c r="AI8" s="128">
        <f t="shared" ref="AI8" ca="1" si="8">RANK(AH8,INDIRECT("AH1:AH200"),0)</f>
        <v>27</v>
      </c>
      <c r="AJ8" s="128">
        <f t="shared" ref="AJ8" ca="1" si="9">INT(AH8/1000000)</f>
        <v>0</v>
      </c>
      <c r="AK8" s="128">
        <f t="shared" ref="AK8" ca="1" si="10">RANK(AJ8,INDIRECT("AJ1:AJ200"),0)</f>
        <v>27</v>
      </c>
      <c r="AL8" s="128">
        <f t="shared" ref="AL8" ca="1" si="11">AI8-AK8+1</f>
        <v>1</v>
      </c>
      <c r="AN8" s="180" t="e">
        <f t="shared" ref="AN8" ca="1" si="12">RANK(Z8,INDIRECT("Z1:Z200"),-1)</f>
        <v>#VALUE!</v>
      </c>
      <c r="AO8" s="180">
        <f t="shared" ref="AO8" si="13">E8</f>
        <v>0</v>
      </c>
      <c r="AP8" s="180">
        <f t="shared" ref="AP8" ca="1" si="14">RANK(AO8,INDIRECT("AO1:AO200"))</f>
        <v>35</v>
      </c>
      <c r="AQ8" s="180">
        <f t="shared" ref="AQ8" ca="1" si="15">RANK(BZ8,INDIRECT("BZ:BZ"),-1)</f>
        <v>1</v>
      </c>
      <c r="AU8" s="180">
        <f t="shared" ref="AU8" ca="1" si="16">IF(ISERROR(FIND($AU$7,AE8)),0,1)</f>
        <v>0</v>
      </c>
      <c r="AW8" s="180"/>
      <c r="AX8" s="182"/>
      <c r="AY8" s="182"/>
      <c r="AZ8" s="182"/>
      <c r="BA8" s="128" t="e">
        <f t="shared" ref="BA8" si="17">HLOOKUP($A8,$BA$1:$BH$2,2,FALSE)</f>
        <v>#N/A</v>
      </c>
      <c r="BB8" s="118" t="str">
        <f t="shared" ref="BB8" ca="1" si="18">IF(OR(INDIRECT(ADDRESS(ROW(BB8),$BB$4))="",INDIRECT(ADDRESS(ROW(BB8),$BB$4))=0),"",ABS(INDIRECT(ADDRESS(ROW(BB8),$BB$4)))+0.0001*INDIRECT(ADDRESS(ROW(BB8),7)))</f>
        <v/>
      </c>
      <c r="BL8" s="118">
        <v>0</v>
      </c>
      <c r="BM8" s="118">
        <v>0</v>
      </c>
      <c r="BN8" s="118">
        <v>0</v>
      </c>
      <c r="BQ8" s="118">
        <v>0</v>
      </c>
      <c r="BR8" s="118">
        <v>0</v>
      </c>
      <c r="BS8" s="118">
        <v>0</v>
      </c>
      <c r="BV8" s="118">
        <v>0</v>
      </c>
      <c r="BW8" s="118">
        <v>0</v>
      </c>
      <c r="BX8" s="118">
        <v>0</v>
      </c>
      <c r="BY8" s="183">
        <f t="shared" ref="BY8" si="19">IF(BX8=1,3,IF(BW8=1,2,IF(BV8=1,1,0)))</f>
        <v>0</v>
      </c>
      <c r="BZ8" s="183">
        <f t="shared" ref="BZ8" ca="1" si="20">IF($AU$7="SQ",BO8,IF($AU$7="BP",BT8,BY8))</f>
        <v>0</v>
      </c>
    </row>
    <row r="9" spans="1:125" ht="19.5" customHeight="1" x14ac:dyDescent="0.2">
      <c r="A9" s="167" t="s">
        <v>24</v>
      </c>
      <c r="B9" s="168" t="s">
        <v>281</v>
      </c>
      <c r="C9" s="168" t="s">
        <v>213</v>
      </c>
      <c r="D9" s="169" t="s">
        <v>223</v>
      </c>
      <c r="E9" s="169">
        <v>97.35</v>
      </c>
      <c r="F9" s="169" t="str">
        <f>IF(LEFT(D9,1)="M",VLOOKUP(IF($E$7="Bwt (kg)",E9,E9/2.2046),Lists!$B$16:$D$24,IF(ISERROR(FIND("J",D9)),3,2)),VLOOKUP(IF($E$7="Bwt (kg)",E9,E9/2.2046),Lists!$B$26:$D$33,IF(ISERROR(FIND("J",D9)),3,2)))</f>
        <v>84+</v>
      </c>
      <c r="G9" s="169">
        <v>10</v>
      </c>
      <c r="H9" s="170">
        <f>IF(AND(VALUE(E9)&gt;0,OR(LEFT(D9,1)="M",LEFT(D9,1)="F")),IF(LEFT(D9,1)="M",Wilks_Men(IF(RIGHT($F$7,4)="(lb)",E9/2.2046,E9)),Wilks_Women(IF(RIGHT($F$7,4)="(lb)",E9/2.2046,E9))),0)</f>
        <v>0.83950001001358032</v>
      </c>
      <c r="I9" s="241">
        <v>34242</v>
      </c>
      <c r="J9" s="128">
        <f ca="1">IF(I9,VLOOKUP(INT((NOW()-I9)/365.25),DATA!$A$2:$B$53,2,TRUE),0)</f>
        <v>1</v>
      </c>
      <c r="K9" s="169">
        <v>15</v>
      </c>
      <c r="L9" s="243">
        <v>70</v>
      </c>
      <c r="M9" s="246">
        <v>-80</v>
      </c>
      <c r="N9" s="246">
        <v>-105</v>
      </c>
      <c r="O9" s="173">
        <f t="shared" ref="O9:O42" si="21">IF(MAX(BL9:BN9)&gt;0,MAX(ABS(L9)*BL9,ABS(M9)*BM9,ABS(N9)*BN9),"")</f>
        <v>70</v>
      </c>
      <c r="P9" s="174" t="s">
        <v>282</v>
      </c>
      <c r="Q9" s="243">
        <v>40</v>
      </c>
      <c r="R9" s="243">
        <v>50</v>
      </c>
      <c r="S9" s="246">
        <v>-55</v>
      </c>
      <c r="T9" s="173">
        <f t="shared" ref="T9:T42" si="22">IF(MAX(BQ9:BS9)&gt;0,MAX(ABS(Q9)*BQ9,ABS(R9)*BR9,ABS(S9)*BS9),0)</f>
        <v>50</v>
      </c>
      <c r="U9" s="173">
        <f t="shared" ref="U9:U42" si="23">IF(OR(O9="",T9=""),"",O9+T9)</f>
        <v>120</v>
      </c>
      <c r="V9" s="243">
        <v>80</v>
      </c>
      <c r="W9" s="248">
        <v>100</v>
      </c>
      <c r="X9" s="243">
        <v>110</v>
      </c>
      <c r="Y9" s="176">
        <f t="shared" ref="Y9:Y42" si="24">IF(MAX(BV9:BX9)&gt;0,MAX(ABS(V9)*BV9,ABS(W9)*BW9,ABS(X9)*BX9),"")</f>
        <v>110</v>
      </c>
      <c r="Z9" s="173">
        <f t="shared" ref="Z9:Z42" ca="1" si="25">IF(AE9=$AU$7,IF($AU$7="SQ",O9,IF($AU$7="BP",T9,IF($AU$7="DL",Y9,IF($AU$7="PP",IF(OR(T9="",Y9=""),"",T9+Y9),IF(OR($U9="",$Y9=""),"",$O9+$T9+$Y9))))),"")</f>
        <v>230</v>
      </c>
      <c r="AA9" s="282">
        <f t="shared" ref="AA9:AA42" ca="1" si="26">IF(AE9="BP",IF(T9&gt;1,T9*H9,""),IF(Z9="","",Z9*H9))</f>
        <v>193.08500230312347</v>
      </c>
      <c r="AB9" s="177">
        <f t="shared" ref="AB9:AB42" ca="1" si="27">IF(AND(I9&gt;23,I9&lt;40),0,AA9*J9)</f>
        <v>193.08500230312347</v>
      </c>
      <c r="AC9" s="167">
        <f ca="1">OFFSET(Setup!$F$1,MATCH(D9,INDIRECT("Setup!B1:B100"),0)-1,0)</f>
        <v>2</v>
      </c>
      <c r="AD9" s="178" t="str">
        <f t="shared" ref="AD9:AD42" ca="1" si="28">IF(OR(Z9=0,AU9=0,AH9=0),"",CONCATENATE(AL9,"-",D9,IF(AC9&gt;1,"","-"),IF(AC9&gt;1,"",F9),"-",$AU$7))</f>
        <v>10-F-BL-PL</v>
      </c>
      <c r="AE9" s="169" t="s">
        <v>109</v>
      </c>
      <c r="AH9" s="179">
        <f ca="1">AU9*(IF(OR(D9="",E9=""),0,MATCH(D9,INDIRECT("Setup!B1:B100"),0)*100000000+IF(AC9=1,(MATCH(F9,Lists!$I$16:$I$32,0)),0)*1000000+IF(Z9=0,0,IF(AC9=1,AN9*1000,IF(AC9=2,AA9,AB9))+IF(AC9=1,AP9+AQ9/1000,0))))</f>
        <v>1300000193.0850024</v>
      </c>
      <c r="AI9" s="128">
        <f t="shared" ref="AI9:AI42" ca="1" si="29">RANK(AH9,INDIRECT("AH1:AH200"),0)</f>
        <v>10</v>
      </c>
      <c r="AJ9" s="128">
        <f t="shared" ref="AJ9:AJ42" ca="1" si="30">INT(AH9/1000000)</f>
        <v>1300</v>
      </c>
      <c r="AK9" s="128">
        <f t="shared" ref="AK9:AK42" ca="1" si="31">RANK(AJ9,INDIRECT("AJ1:AJ200"),0)</f>
        <v>1</v>
      </c>
      <c r="AL9" s="128">
        <f t="shared" ref="AL9:AL42" ca="1" si="32">AI9-AK9+1</f>
        <v>10</v>
      </c>
      <c r="AN9" s="180">
        <f t="shared" ref="AN9:AN42" ca="1" si="33">RANK(Z9,INDIRECT("Z1:Z200"),-1)</f>
        <v>1</v>
      </c>
      <c r="AO9" s="180">
        <f t="shared" ref="AO9:AO42" si="34">E9</f>
        <v>97.35</v>
      </c>
      <c r="AP9" s="180">
        <f t="shared" ref="AP9:AP42" ca="1" si="35">RANK(AO9,INDIRECT("AO1:AO200"))</f>
        <v>6</v>
      </c>
      <c r="AQ9" s="180">
        <f t="shared" ref="AQ9:AQ42" ca="1" si="36">RANK(BZ9,INDIRECT("BZ:BZ"),-1)</f>
        <v>13</v>
      </c>
      <c r="AU9" s="180">
        <f t="shared" ref="AU9:AU42" ca="1" si="37">IF(ISERROR(FIND($AU$7,AE9)),0,1)</f>
        <v>1</v>
      </c>
      <c r="AW9" s="180"/>
      <c r="AX9" s="182"/>
      <c r="AY9" s="182"/>
      <c r="AZ9" s="182"/>
      <c r="BA9" s="128">
        <f t="shared" ref="BA9:BA42" si="38">HLOOKUP($A9,$BA$1:$BH$2,2,FALSE)</f>
        <v>0</v>
      </c>
      <c r="BB9" s="118">
        <f t="shared" ref="BB9:BB42" ca="1" si="39">IF(OR(INDIRECT(ADDRESS(ROW(BB9),$BB$4))="",INDIRECT(ADDRESS(ROW(BB9),$BB$4))=0),"",ABS(INDIRECT(ADDRESS(ROW(BB9),$BB$4)))+0.0001*INDIRECT(ADDRESS(ROW(BB9),7)))</f>
        <v>70.001000000000005</v>
      </c>
      <c r="BL9" s="118">
        <v>1</v>
      </c>
      <c r="BM9" s="118">
        <v>-1</v>
      </c>
      <c r="BN9" s="118">
        <v>-1</v>
      </c>
      <c r="BO9" s="183">
        <v>43155.465532407405</v>
      </c>
      <c r="BQ9" s="118">
        <v>1</v>
      </c>
      <c r="BR9" s="118">
        <v>1</v>
      </c>
      <c r="BS9" s="118">
        <v>-1</v>
      </c>
      <c r="BT9" s="183">
        <v>43155.534907407404</v>
      </c>
      <c r="BV9" s="118">
        <v>1</v>
      </c>
      <c r="BW9" s="118">
        <v>1</v>
      </c>
      <c r="BX9" s="118">
        <v>1</v>
      </c>
      <c r="BY9" s="183">
        <v>43155.606145833335</v>
      </c>
      <c r="BZ9" s="183">
        <f t="shared" ref="BZ9:BZ42" ca="1" si="40">IF($AU$7="SQ",BO9,IF($AU$7="BP",BT9,BY9))</f>
        <v>43155.606145833335</v>
      </c>
      <c r="CA9" s="244">
        <v>0.60684027777777783</v>
      </c>
    </row>
    <row r="10" spans="1:125" ht="19.5" customHeight="1" x14ac:dyDescent="0.2">
      <c r="A10" s="167" t="s">
        <v>24</v>
      </c>
      <c r="B10" s="168" t="s">
        <v>289</v>
      </c>
      <c r="C10" s="168" t="s">
        <v>183</v>
      </c>
      <c r="D10" s="169" t="s">
        <v>223</v>
      </c>
      <c r="E10" s="169">
        <v>80.400000000000006</v>
      </c>
      <c r="F10" s="169">
        <f>IF(LEFT(D10,1)="M",VLOOKUP(IF($E$7="Bwt (kg)",E10,E10/2.2046),Lists!$B$16:$D$24,IF(ISERROR(FIND("J",D10)),3,2)),VLOOKUP(IF($E$7="Bwt (kg)",E10,E10/2.2046),Lists!$B$26:$D$33,IF(ISERROR(FIND("J",D10)),3,2)))</f>
        <v>84</v>
      </c>
      <c r="G10" s="169">
        <v>33</v>
      </c>
      <c r="H10" s="170">
        <f>IF(AND(VALUE(E10)&gt;0,OR(LEFT(D10,1)="M",LEFT(D10,1)="F")),IF(LEFT(D10,1)="M",Wilks_Men(IF(RIGHT($F$7,4)="(lb)",E10/2.2046,E10)),Wilks_Women(IF(RIGHT($F$7,4)="(lb)",E10/2.2046,E10))),0)</f>
        <v>0.91250002384185791</v>
      </c>
      <c r="I10" s="241">
        <v>32165</v>
      </c>
      <c r="J10" s="128">
        <f ca="1">IF(I10,VLOOKUP(INT((NOW()-I10)/365.25),DATA!$A$2:$B$53,2,TRUE),0)</f>
        <v>1</v>
      </c>
      <c r="K10" s="169">
        <v>13</v>
      </c>
      <c r="L10" s="243">
        <v>75</v>
      </c>
      <c r="M10" s="243">
        <v>80</v>
      </c>
      <c r="N10" s="246">
        <v>-90</v>
      </c>
      <c r="O10" s="173">
        <f t="shared" si="21"/>
        <v>80</v>
      </c>
      <c r="P10" s="174" t="s">
        <v>290</v>
      </c>
      <c r="Q10" s="243">
        <v>40</v>
      </c>
      <c r="R10" s="243">
        <v>45</v>
      </c>
      <c r="S10" s="246">
        <v>-50</v>
      </c>
      <c r="T10" s="173">
        <f t="shared" si="22"/>
        <v>45</v>
      </c>
      <c r="U10" s="173">
        <f t="shared" si="23"/>
        <v>125</v>
      </c>
      <c r="V10" s="243">
        <v>100</v>
      </c>
      <c r="W10" s="248">
        <v>112.5</v>
      </c>
      <c r="X10" s="243">
        <v>117.5</v>
      </c>
      <c r="Y10" s="176">
        <f t="shared" si="24"/>
        <v>117.5</v>
      </c>
      <c r="Z10" s="173">
        <f t="shared" ca="1" si="25"/>
        <v>242.5</v>
      </c>
      <c r="AA10" s="282">
        <f t="shared" ca="1" si="26"/>
        <v>221.28125578165054</v>
      </c>
      <c r="AB10" s="177">
        <f t="shared" ca="1" si="27"/>
        <v>221.28125578165054</v>
      </c>
      <c r="AC10" s="167">
        <f ca="1">OFFSET(Setup!$F$1,MATCH(D10,INDIRECT("Setup!B1:B100"),0)-1,0)</f>
        <v>2</v>
      </c>
      <c r="AD10" s="178" t="str">
        <f t="shared" ca="1" si="28"/>
        <v>9-F-BL-PL</v>
      </c>
      <c r="AE10" s="169" t="s">
        <v>109</v>
      </c>
      <c r="AH10" s="179">
        <f ca="1">AU10*(IF(OR(D10="",E10=""),0,MATCH(D10,INDIRECT("Setup!B1:B100"),0)*100000000+IF(AC10=1,(MATCH(F10,Lists!$I$16:$I$32,0)),0)*1000000+IF(Z10=0,0,IF(AC10=1,AN10*1000,IF(AC10=2,AA10,AB10))+IF(AC10=1,AP10+AQ10/1000,0))))</f>
        <v>1300000221.2812557</v>
      </c>
      <c r="AI10" s="128">
        <f t="shared" ca="1" si="29"/>
        <v>9</v>
      </c>
      <c r="AJ10" s="128">
        <f t="shared" ca="1" si="30"/>
        <v>1300</v>
      </c>
      <c r="AK10" s="128">
        <f t="shared" ca="1" si="31"/>
        <v>1</v>
      </c>
      <c r="AL10" s="128">
        <f t="shared" ca="1" si="32"/>
        <v>9</v>
      </c>
      <c r="AN10" s="180">
        <f t="shared" ca="1" si="33"/>
        <v>2</v>
      </c>
      <c r="AO10" s="180">
        <f t="shared" si="34"/>
        <v>80.400000000000006</v>
      </c>
      <c r="AP10" s="180">
        <f t="shared" ca="1" si="35"/>
        <v>17</v>
      </c>
      <c r="AQ10" s="180">
        <f t="shared" ca="1" si="36"/>
        <v>15</v>
      </c>
      <c r="AU10" s="180">
        <f t="shared" ca="1" si="37"/>
        <v>1</v>
      </c>
      <c r="AW10" s="180"/>
      <c r="AX10" s="182"/>
      <c r="AY10" s="182"/>
      <c r="AZ10" s="182"/>
      <c r="BA10" s="128">
        <f t="shared" si="38"/>
        <v>0</v>
      </c>
      <c r="BB10" s="118">
        <f t="shared" ca="1" si="39"/>
        <v>75.003299999999996</v>
      </c>
      <c r="BL10" s="118">
        <v>1</v>
      </c>
      <c r="BM10" s="118">
        <v>1</v>
      </c>
      <c r="BN10" s="118">
        <v>-1</v>
      </c>
      <c r="BO10" s="183">
        <v>43155.474594907406</v>
      </c>
      <c r="BQ10" s="118">
        <v>1</v>
      </c>
      <c r="BR10" s="118">
        <v>1</v>
      </c>
      <c r="BS10" s="118">
        <v>-1</v>
      </c>
      <c r="BT10" s="183">
        <v>43155.534143518518</v>
      </c>
      <c r="BV10" s="118">
        <v>1</v>
      </c>
      <c r="BW10" s="118">
        <v>1</v>
      </c>
      <c r="BX10" s="118">
        <v>1</v>
      </c>
      <c r="BY10" s="183">
        <v>43155.607870370368</v>
      </c>
      <c r="BZ10" s="183">
        <f t="shared" ca="1" si="40"/>
        <v>43155.607870370368</v>
      </c>
      <c r="CA10" s="244">
        <v>0.60856481481481484</v>
      </c>
    </row>
    <row r="11" spans="1:125" ht="19.5" customHeight="1" x14ac:dyDescent="0.2">
      <c r="A11" s="167" t="s">
        <v>24</v>
      </c>
      <c r="B11" s="168" t="s">
        <v>284</v>
      </c>
      <c r="C11" s="168" t="s">
        <v>213</v>
      </c>
      <c r="D11" s="169" t="s">
        <v>223</v>
      </c>
      <c r="E11" s="169">
        <v>61.3</v>
      </c>
      <c r="F11" s="169">
        <f>IF(LEFT(D11,1)="M",VLOOKUP(IF($E$7="Bwt (kg)",E11,E11/2.2046),Lists!$B$16:$D$24,IF(ISERROR(FIND("J",D11)),3,2)),VLOOKUP(IF($E$7="Bwt (kg)",E11,E11/2.2046),Lists!$B$26:$D$33,IF(ISERROR(FIND("J",D11)),3,2)))</f>
        <v>63</v>
      </c>
      <c r="G11" s="169">
        <v>14</v>
      </c>
      <c r="H11" s="170">
        <f>IF(AND(VALUE(E11)&gt;0,OR(LEFT(D11,1)="M",LEFT(D11,1)="F")),IF(LEFT(D11,1)="M",Wilks_Men(IF(RIGHT($F$7,4)="(lb)",E11/2.2046,E11)),Wilks_Women(IF(RIGHT($F$7,4)="(lb)",E11/2.2046,E11))),0)</f>
        <v>1.0966000556945801</v>
      </c>
      <c r="I11" s="241">
        <v>36753</v>
      </c>
      <c r="J11" s="128">
        <f ca="1">IF(I11,VLOOKUP(INT((NOW()-I11)/365.25),DATA!$A$2:$B$53,2,TRUE),0)</f>
        <v>1.08</v>
      </c>
      <c r="K11" s="169">
        <v>12</v>
      </c>
      <c r="L11" s="243">
        <v>80</v>
      </c>
      <c r="M11" s="243">
        <v>85</v>
      </c>
      <c r="N11" s="243">
        <v>92.5</v>
      </c>
      <c r="O11" s="173">
        <f t="shared" si="21"/>
        <v>92.5</v>
      </c>
      <c r="P11" s="174" t="s">
        <v>251</v>
      </c>
      <c r="Q11" s="243">
        <v>75</v>
      </c>
      <c r="R11" s="243">
        <v>80</v>
      </c>
      <c r="S11" s="243">
        <v>82.5</v>
      </c>
      <c r="T11" s="173">
        <f t="shared" si="22"/>
        <v>82.5</v>
      </c>
      <c r="U11" s="173">
        <f t="shared" si="23"/>
        <v>175</v>
      </c>
      <c r="V11" s="243">
        <v>100</v>
      </c>
      <c r="W11" s="248">
        <v>105</v>
      </c>
      <c r="X11" s="243">
        <v>110</v>
      </c>
      <c r="Y11" s="176">
        <f t="shared" si="24"/>
        <v>110</v>
      </c>
      <c r="Z11" s="173">
        <f t="shared" ca="1" si="25"/>
        <v>285</v>
      </c>
      <c r="AA11" s="282">
        <f t="shared" ca="1" si="26"/>
        <v>312.53101587295532</v>
      </c>
      <c r="AB11" s="177">
        <f t="shared" ca="1" si="27"/>
        <v>337.53349714279176</v>
      </c>
      <c r="AC11" s="167">
        <f ca="1">OFFSET(Setup!$F$1,MATCH(D11,INDIRECT("Setup!B1:B100"),0)-1,0)</f>
        <v>2</v>
      </c>
      <c r="AD11" s="178" t="str">
        <f t="shared" ca="1" si="28"/>
        <v>7-F-BL-PL</v>
      </c>
      <c r="AE11" s="169" t="s">
        <v>109</v>
      </c>
      <c r="AH11" s="179">
        <f ca="1">AU11*(IF(OR(D11="",E11=""),0,MATCH(D11,INDIRECT("Setup!B1:B100"),0)*100000000+IF(AC11=1,(MATCH(F11,Lists!$I$16:$I$32,0)),0)*1000000+IF(Z11=0,0,IF(AC11=1,AN11*1000,IF(AC11=2,AA11,AB11))+IF(AC11=1,AP11+AQ11/1000,0))))</f>
        <v>1300000312.5310159</v>
      </c>
      <c r="AI11" s="128">
        <f t="shared" ca="1" si="29"/>
        <v>7</v>
      </c>
      <c r="AJ11" s="128">
        <f t="shared" ca="1" si="30"/>
        <v>1300</v>
      </c>
      <c r="AK11" s="128">
        <f t="shared" ca="1" si="31"/>
        <v>1</v>
      </c>
      <c r="AL11" s="128">
        <f t="shared" ca="1" si="32"/>
        <v>7</v>
      </c>
      <c r="AN11" s="180">
        <f t="shared" ca="1" si="33"/>
        <v>3</v>
      </c>
      <c r="AO11" s="180">
        <f t="shared" si="34"/>
        <v>61.3</v>
      </c>
      <c r="AP11" s="180">
        <f t="shared" ca="1" si="35"/>
        <v>33</v>
      </c>
      <c r="AQ11" s="180">
        <f t="shared" ca="1" si="36"/>
        <v>14</v>
      </c>
      <c r="AU11" s="180">
        <f t="shared" ca="1" si="37"/>
        <v>1</v>
      </c>
      <c r="AW11" s="180"/>
      <c r="AX11" s="182"/>
      <c r="AY11" s="182"/>
      <c r="AZ11" s="182"/>
      <c r="BA11" s="128">
        <f t="shared" si="38"/>
        <v>0</v>
      </c>
      <c r="BB11" s="118">
        <f t="shared" ca="1" si="39"/>
        <v>80.001400000000004</v>
      </c>
      <c r="BL11" s="118">
        <v>1</v>
      </c>
      <c r="BM11" s="118">
        <v>1</v>
      </c>
      <c r="BN11" s="118">
        <v>1</v>
      </c>
      <c r="BO11" s="183">
        <v>43155.482835648145</v>
      </c>
      <c r="BQ11" s="118">
        <v>1</v>
      </c>
      <c r="BR11" s="118">
        <v>1</v>
      </c>
      <c r="BS11" s="118">
        <v>1</v>
      </c>
      <c r="BT11" s="183">
        <v>43155.549074074072</v>
      </c>
      <c r="BV11" s="118">
        <v>1</v>
      </c>
      <c r="BW11" s="118">
        <v>1</v>
      </c>
      <c r="BX11" s="118">
        <v>1</v>
      </c>
      <c r="BY11" s="183">
        <v>43155.606724537036</v>
      </c>
      <c r="BZ11" s="183">
        <f t="shared" ca="1" si="40"/>
        <v>43155.606724537036</v>
      </c>
      <c r="CA11" s="244">
        <v>0.60741898148148155</v>
      </c>
    </row>
    <row r="12" spans="1:125" ht="19.5" customHeight="1" x14ac:dyDescent="0.2">
      <c r="A12" s="167" t="s">
        <v>24</v>
      </c>
      <c r="B12" s="168" t="s">
        <v>291</v>
      </c>
      <c r="C12" s="168" t="s">
        <v>259</v>
      </c>
      <c r="D12" s="169" t="s">
        <v>222</v>
      </c>
      <c r="E12" s="169">
        <v>86.45</v>
      </c>
      <c r="F12" s="169">
        <f>IF(LEFT(D12,1)="M",VLOOKUP(IF($E$7="Bwt (kg)",E12,E12/2.2046),Lists!$B$16:$D$24,IF(ISERROR(FIND("J",D12)),3,2)),VLOOKUP(IF($E$7="Bwt (kg)",E12,E12/2.2046),Lists!$B$26:$D$33,IF(ISERROR(FIND("J",D12)),3,2)))</f>
        <v>93</v>
      </c>
      <c r="G12" s="169">
        <v>19</v>
      </c>
      <c r="H12" s="170">
        <f>IF(AND(VALUE(E12)&gt;0,OR(LEFT(D12,1)="M",LEFT(D12,1)="F")),IF(LEFT(D12,1)="M",Wilks_Men(IF(RIGHT($F$7,4)="(lb)",E12/2.2046,E12)),Wilks_Women(IF(RIGHT($F$7,4)="(lb)",E12/2.2046,E12))),0)</f>
        <v>0.65210002660751343</v>
      </c>
      <c r="I12" s="241">
        <v>36849</v>
      </c>
      <c r="J12" s="128">
        <f ca="1">IF(I12,VLOOKUP(INT((NOW()-I12)/365.25),DATA!$A$2:$B$53,2,TRUE),0)</f>
        <v>1.08</v>
      </c>
      <c r="K12" s="169">
        <v>14</v>
      </c>
      <c r="L12" s="243">
        <v>90</v>
      </c>
      <c r="M12" s="246">
        <v>-100</v>
      </c>
      <c r="N12" s="243">
        <v>100</v>
      </c>
      <c r="O12" s="173">
        <f t="shared" si="21"/>
        <v>100</v>
      </c>
      <c r="P12" s="174" t="s">
        <v>292</v>
      </c>
      <c r="Q12" s="243">
        <v>60</v>
      </c>
      <c r="R12" s="243">
        <v>70</v>
      </c>
      <c r="S12" s="243">
        <v>75</v>
      </c>
      <c r="T12" s="173">
        <f t="shared" si="22"/>
        <v>75</v>
      </c>
      <c r="U12" s="173">
        <f t="shared" si="23"/>
        <v>175</v>
      </c>
      <c r="V12" s="243">
        <v>100</v>
      </c>
      <c r="W12" s="248">
        <v>120</v>
      </c>
      <c r="X12" s="243">
        <v>140</v>
      </c>
      <c r="Y12" s="176">
        <f t="shared" si="24"/>
        <v>140</v>
      </c>
      <c r="Z12" s="173">
        <f t="shared" ca="1" si="25"/>
        <v>315</v>
      </c>
      <c r="AA12" s="282">
        <f t="shared" ca="1" si="26"/>
        <v>205.41150838136673</v>
      </c>
      <c r="AB12" s="177">
        <f t="shared" ca="1" si="27"/>
        <v>221.84442905187609</v>
      </c>
      <c r="AC12" s="167">
        <f ca="1">OFFSET(Setup!$F$1,MATCH(D12,INDIRECT("Setup!B1:B100"),0)-1,0)</f>
        <v>2</v>
      </c>
      <c r="AD12" s="178" t="str">
        <f t="shared" ca="1" si="28"/>
        <v>16-M-BL-PL</v>
      </c>
      <c r="AE12" s="169" t="s">
        <v>109</v>
      </c>
      <c r="AH12" s="179">
        <f ca="1">AU12*(IF(OR(D12="",E12=""),0,MATCH(D12,INDIRECT("Setup!B1:B100"),0)*100000000+IF(AC12=1,(MATCH(F12,Lists!$I$16:$I$32,0)),0)*1000000+IF(Z12=0,0,IF(AC12=1,AN12*1000,IF(AC12=2,AA12,AB12))+IF(AC12=1,AP12+AQ12/1000,0))))</f>
        <v>1200000205.4115083</v>
      </c>
      <c r="AI12" s="128">
        <f t="shared" ca="1" si="29"/>
        <v>26</v>
      </c>
      <c r="AJ12" s="128">
        <f t="shared" ca="1" si="30"/>
        <v>1200</v>
      </c>
      <c r="AK12" s="128">
        <f t="shared" ca="1" si="31"/>
        <v>11</v>
      </c>
      <c r="AL12" s="128">
        <f t="shared" ca="1" si="32"/>
        <v>16</v>
      </c>
      <c r="AN12" s="180">
        <f t="shared" ca="1" si="33"/>
        <v>5</v>
      </c>
      <c r="AO12" s="180">
        <f t="shared" si="34"/>
        <v>86.45</v>
      </c>
      <c r="AP12" s="180">
        <f t="shared" ca="1" si="35"/>
        <v>12</v>
      </c>
      <c r="AQ12" s="180">
        <f t="shared" ca="1" si="36"/>
        <v>17</v>
      </c>
      <c r="AU12" s="180">
        <f t="shared" ca="1" si="37"/>
        <v>1</v>
      </c>
      <c r="AW12" s="180"/>
      <c r="AX12" s="182"/>
      <c r="AY12" s="182"/>
      <c r="AZ12" s="182"/>
      <c r="BA12" s="128">
        <f t="shared" si="38"/>
        <v>0</v>
      </c>
      <c r="BB12" s="118">
        <f t="shared" ca="1" si="39"/>
        <v>90.001900000000006</v>
      </c>
      <c r="BL12" s="118">
        <v>1</v>
      </c>
      <c r="BM12" s="118">
        <v>-1</v>
      </c>
      <c r="BN12" s="118">
        <v>1</v>
      </c>
      <c r="BO12" s="183">
        <v>43155.483506944445</v>
      </c>
      <c r="BQ12" s="118">
        <v>1</v>
      </c>
      <c r="BR12" s="118">
        <v>1</v>
      </c>
      <c r="BS12" s="118">
        <v>1</v>
      </c>
      <c r="BT12" s="183">
        <v>43155.547812500001</v>
      </c>
      <c r="BV12" s="118">
        <v>1</v>
      </c>
      <c r="BW12" s="118">
        <v>1</v>
      </c>
      <c r="BX12" s="118">
        <v>1</v>
      </c>
      <c r="BY12" s="183">
        <v>43155.609317129631</v>
      </c>
      <c r="BZ12" s="183">
        <f t="shared" ca="1" si="40"/>
        <v>43155.609317129631</v>
      </c>
      <c r="CA12" s="244">
        <v>0.61001157407407403</v>
      </c>
    </row>
    <row r="13" spans="1:125" ht="19.5" customHeight="1" x14ac:dyDescent="0.2">
      <c r="A13" s="167" t="s">
        <v>24</v>
      </c>
      <c r="B13" s="168" t="s">
        <v>279</v>
      </c>
      <c r="C13" s="168" t="s">
        <v>183</v>
      </c>
      <c r="D13" s="169" t="s">
        <v>223</v>
      </c>
      <c r="E13" s="169">
        <v>58.2</v>
      </c>
      <c r="F13" s="169">
        <f>IF(LEFT(D13,1)="M",VLOOKUP(IF($E$7="Bwt (kg)",E13,E13/2.2046),Lists!$B$16:$D$24,IF(ISERROR(FIND("J",D13)),3,2)),VLOOKUP(IF($E$7="Bwt (kg)",E13,E13/2.2046),Lists!$B$26:$D$33,IF(ISERROR(FIND("J",D13)),3,2)))</f>
        <v>63</v>
      </c>
      <c r="G13" s="169">
        <v>1</v>
      </c>
      <c r="H13" s="170">
        <f>IF(AND(VALUE(E13)&gt;0,OR(LEFT(D13,1)="M",LEFT(D13,1)="F")),IF(LEFT(D13,1)="M",Wilks_Men(IF(RIGHT($F$7,4)="(lb)",E13/2.2046,E13)),Wilks_Women(IF(RIGHT($F$7,4)="(lb)",E13/2.2046,E13))),0)</f>
        <v>1.1416000127792358</v>
      </c>
      <c r="I13" s="241">
        <v>34795</v>
      </c>
      <c r="J13" s="128">
        <f ca="1">IF(I13,VLOOKUP(INT((NOW()-I13)/365.25),DATA!$A$2:$B$53,2,TRUE),0)</f>
        <v>1.01</v>
      </c>
      <c r="K13" s="169">
        <v>10</v>
      </c>
      <c r="L13" s="243">
        <v>100</v>
      </c>
      <c r="M13" s="243">
        <v>110</v>
      </c>
      <c r="N13" s="246">
        <v>-112.5</v>
      </c>
      <c r="O13" s="173">
        <f t="shared" si="21"/>
        <v>110</v>
      </c>
      <c r="P13" s="174" t="s">
        <v>252</v>
      </c>
      <c r="Q13" s="243">
        <v>67.5</v>
      </c>
      <c r="R13" s="243">
        <v>70</v>
      </c>
      <c r="S13" s="243">
        <v>75</v>
      </c>
      <c r="T13" s="173">
        <f t="shared" si="22"/>
        <v>75</v>
      </c>
      <c r="U13" s="173">
        <f t="shared" si="23"/>
        <v>185</v>
      </c>
      <c r="V13" s="243">
        <v>130</v>
      </c>
      <c r="W13" s="248">
        <v>140</v>
      </c>
      <c r="X13" s="243">
        <v>150</v>
      </c>
      <c r="Y13" s="176">
        <f t="shared" si="24"/>
        <v>150</v>
      </c>
      <c r="Z13" s="173">
        <f t="shared" ca="1" si="25"/>
        <v>335</v>
      </c>
      <c r="AA13" s="282">
        <f t="shared" ca="1" si="26"/>
        <v>382.43600428104401</v>
      </c>
      <c r="AB13" s="177">
        <f t="shared" ca="1" si="27"/>
        <v>386.26036432385445</v>
      </c>
      <c r="AC13" s="167">
        <f ca="1">OFFSET(Setup!$F$1,MATCH(D13,INDIRECT("Setup!B1:B100"),0)-1,0)</f>
        <v>2</v>
      </c>
      <c r="AD13" s="178" t="str">
        <f t="shared" ca="1" si="28"/>
        <v>2-F-BL-PL</v>
      </c>
      <c r="AE13" s="169" t="s">
        <v>109</v>
      </c>
      <c r="AH13" s="179">
        <f ca="1">AU13*(IF(OR(D13="",E13=""),0,MATCH(D13,INDIRECT("Setup!B1:B100"),0)*100000000+IF(AC13=1,(MATCH(F13,Lists!$I$16:$I$32,0)),0)*1000000+IF(Z13=0,0,IF(AC13=1,AN13*1000,IF(AC13=2,AA13,AB13))+IF(AC13=1,AP13+AQ13/1000,0))))</f>
        <v>1300000382.4360042</v>
      </c>
      <c r="AI13" s="128">
        <f t="shared" ca="1" si="29"/>
        <v>2</v>
      </c>
      <c r="AJ13" s="128">
        <f t="shared" ca="1" si="30"/>
        <v>1300</v>
      </c>
      <c r="AK13" s="128">
        <f t="shared" ca="1" si="31"/>
        <v>1</v>
      </c>
      <c r="AL13" s="128">
        <f t="shared" ca="1" si="32"/>
        <v>2</v>
      </c>
      <c r="AN13" s="180">
        <f t="shared" ca="1" si="33"/>
        <v>6</v>
      </c>
      <c r="AO13" s="180">
        <f t="shared" si="34"/>
        <v>58.2</v>
      </c>
      <c r="AP13" s="180">
        <f t="shared" ca="1" si="35"/>
        <v>34</v>
      </c>
      <c r="AQ13" s="180">
        <f t="shared" ca="1" si="36"/>
        <v>18</v>
      </c>
      <c r="AU13" s="180">
        <f t="shared" ca="1" si="37"/>
        <v>1</v>
      </c>
      <c r="AW13" s="180"/>
      <c r="AX13" s="182"/>
      <c r="AY13" s="182"/>
      <c r="AZ13" s="182"/>
      <c r="BA13" s="128">
        <f t="shared" si="38"/>
        <v>0</v>
      </c>
      <c r="BB13" s="118">
        <f t="shared" ca="1" si="39"/>
        <v>100.0001</v>
      </c>
      <c r="BL13" s="118">
        <v>1</v>
      </c>
      <c r="BM13" s="118">
        <v>1</v>
      </c>
      <c r="BN13" s="118">
        <v>-1</v>
      </c>
      <c r="BO13" s="183">
        <v>43155.476597222223</v>
      </c>
      <c r="BQ13" s="118">
        <v>1</v>
      </c>
      <c r="BR13" s="118">
        <v>1</v>
      </c>
      <c r="BS13" s="118">
        <v>1</v>
      </c>
      <c r="BT13" s="183">
        <v>43155.547233796293</v>
      </c>
      <c r="BV13" s="118">
        <v>1</v>
      </c>
      <c r="BW13" s="118">
        <v>1</v>
      </c>
      <c r="BX13" s="118">
        <v>1</v>
      </c>
      <c r="BY13" s="183">
        <v>43155.609976851854</v>
      </c>
      <c r="BZ13" s="183">
        <f t="shared" ca="1" si="40"/>
        <v>43155.609976851854</v>
      </c>
      <c r="CA13" s="244">
        <v>0.61067129629629624</v>
      </c>
    </row>
    <row r="14" spans="1:125" ht="19.5" customHeight="1" x14ac:dyDescent="0.2">
      <c r="A14" s="167" t="s">
        <v>24</v>
      </c>
      <c r="B14" s="168" t="s">
        <v>283</v>
      </c>
      <c r="C14" s="168" t="s">
        <v>259</v>
      </c>
      <c r="D14" s="169" t="s">
        <v>223</v>
      </c>
      <c r="E14" s="169">
        <v>62.55</v>
      </c>
      <c r="F14" s="169">
        <f>IF(LEFT(D14,1)="M",VLOOKUP(IF($E$7="Bwt (kg)",E14,E14/2.2046),Lists!$B$16:$D$24,IF(ISERROR(FIND("J",D14)),3,2)),VLOOKUP(IF($E$7="Bwt (kg)",E14,E14/2.2046),Lists!$B$26:$D$33,IF(ISERROR(FIND("J",D14)),3,2)))</f>
        <v>63</v>
      </c>
      <c r="G14" s="169">
        <v>11</v>
      </c>
      <c r="H14" s="170">
        <f>IF(AND(VALUE(E14)&gt;0,OR(LEFT(D14,1)="M",LEFT(D14,1)="F")),IF(LEFT(D14,1)="M",Wilks_Men(IF(RIGHT($F$7,4)="(lb)",E14/2.2046,E14)),Wilks_Women(IF(RIGHT($F$7,4)="(lb)",E14/2.2046,E14))),0)</f>
        <v>1.079800009727478</v>
      </c>
      <c r="I14" s="241">
        <v>35454</v>
      </c>
      <c r="J14" s="128">
        <f ca="1">IF(I14,VLOOKUP(INT((NOW()-I14)/365.25),DATA!$A$2:$B$53,2,TRUE),0)</f>
        <v>1.02</v>
      </c>
      <c r="K14" s="169">
        <v>10</v>
      </c>
      <c r="L14" s="243">
        <v>100</v>
      </c>
      <c r="M14" s="243">
        <v>110</v>
      </c>
      <c r="N14" s="172"/>
      <c r="O14" s="173">
        <f t="shared" si="21"/>
        <v>110</v>
      </c>
      <c r="P14" s="174" t="s">
        <v>274</v>
      </c>
      <c r="Q14" s="243">
        <v>60</v>
      </c>
      <c r="R14" s="243">
        <v>65</v>
      </c>
      <c r="S14" s="243">
        <v>67.5</v>
      </c>
      <c r="T14" s="173">
        <f t="shared" si="22"/>
        <v>67.5</v>
      </c>
      <c r="U14" s="173">
        <f t="shared" si="23"/>
        <v>177.5</v>
      </c>
      <c r="V14" s="243">
        <v>120</v>
      </c>
      <c r="W14" s="248">
        <v>130</v>
      </c>
      <c r="X14" s="167"/>
      <c r="Y14" s="176">
        <f t="shared" si="24"/>
        <v>130</v>
      </c>
      <c r="Z14" s="173">
        <f t="shared" ca="1" si="25"/>
        <v>307.5</v>
      </c>
      <c r="AA14" s="282">
        <f t="shared" ca="1" si="26"/>
        <v>332.03850299119949</v>
      </c>
      <c r="AB14" s="177">
        <f t="shared" ca="1" si="27"/>
        <v>338.67927305102347</v>
      </c>
      <c r="AC14" s="167">
        <f ca="1">OFFSET(Setup!$F$1,MATCH(D14,INDIRECT("Setup!B1:B100"),0)-1,0)</f>
        <v>2</v>
      </c>
      <c r="AD14" s="178" t="str">
        <f t="shared" ca="1" si="28"/>
        <v>5-F-BL-PL</v>
      </c>
      <c r="AE14" s="169" t="s">
        <v>109</v>
      </c>
      <c r="AH14" s="179">
        <f ca="1">AU14*(IF(OR(D14="",E14=""),0,MATCH(D14,INDIRECT("Setup!B1:B100"),0)*100000000+IF(AC14=1,(MATCH(F14,Lists!$I$16:$I$32,0)),0)*1000000+IF(Z14=0,0,IF(AC14=1,AN14*1000,IF(AC14=2,AA14,AB14))+IF(AC14=1,AP14+AQ14/1000,0))))</f>
        <v>1300000332.0385029</v>
      </c>
      <c r="AI14" s="128">
        <f t="shared" ca="1" si="29"/>
        <v>5</v>
      </c>
      <c r="AJ14" s="128">
        <f t="shared" ca="1" si="30"/>
        <v>1300</v>
      </c>
      <c r="AK14" s="128">
        <f t="shared" ca="1" si="31"/>
        <v>1</v>
      </c>
      <c r="AL14" s="128">
        <f t="shared" ca="1" si="32"/>
        <v>5</v>
      </c>
      <c r="AN14" s="180">
        <f t="shared" ca="1" si="33"/>
        <v>4</v>
      </c>
      <c r="AO14" s="180">
        <f t="shared" si="34"/>
        <v>62.55</v>
      </c>
      <c r="AP14" s="180">
        <f t="shared" ca="1" si="35"/>
        <v>31</v>
      </c>
      <c r="AQ14" s="180">
        <f t="shared" ca="1" si="36"/>
        <v>10</v>
      </c>
      <c r="AU14" s="180">
        <f t="shared" ca="1" si="37"/>
        <v>1</v>
      </c>
      <c r="AW14" s="180"/>
      <c r="AX14" s="182"/>
      <c r="AY14" s="182"/>
      <c r="AZ14" s="182"/>
      <c r="BA14" s="128">
        <f t="shared" si="38"/>
        <v>0</v>
      </c>
      <c r="BB14" s="118">
        <f t="shared" ca="1" si="39"/>
        <v>100.00109999999999</v>
      </c>
      <c r="BL14" s="118">
        <v>1</v>
      </c>
      <c r="BM14" s="118">
        <v>1</v>
      </c>
      <c r="BN14" s="118">
        <v>0</v>
      </c>
      <c r="BO14" s="183">
        <v>43155.477210648147</v>
      </c>
      <c r="BQ14" s="118">
        <v>1</v>
      </c>
      <c r="BR14" s="118">
        <v>1</v>
      </c>
      <c r="BS14" s="118">
        <v>1</v>
      </c>
      <c r="BT14" s="183">
        <v>43155.544988425929</v>
      </c>
      <c r="BV14" s="118">
        <v>1</v>
      </c>
      <c r="BW14" s="118">
        <v>1</v>
      </c>
      <c r="BX14" s="118">
        <v>0</v>
      </c>
      <c r="BY14" s="183">
        <v>43155.600844907407</v>
      </c>
      <c r="BZ14" s="183">
        <f t="shared" ca="1" si="40"/>
        <v>43155.600844907407</v>
      </c>
      <c r="CA14" s="244">
        <v>0.60153935185185181</v>
      </c>
    </row>
    <row r="15" spans="1:125" ht="19.5" customHeight="1" x14ac:dyDescent="0.2">
      <c r="A15" s="167" t="s">
        <v>24</v>
      </c>
      <c r="B15" s="168" t="s">
        <v>293</v>
      </c>
      <c r="C15" s="168" t="s">
        <v>259</v>
      </c>
      <c r="D15" s="169" t="s">
        <v>222</v>
      </c>
      <c r="E15" s="169">
        <v>81.7</v>
      </c>
      <c r="F15" s="169">
        <f>IF(LEFT(D15,1)="M",VLOOKUP(IF($E$7="Bwt (kg)",E15,E15/2.2046),Lists!$B$16:$D$24,IF(ISERROR(FIND("J",D15)),3,2)),VLOOKUP(IF($E$7="Bwt (kg)",E15,E15/2.2046),Lists!$B$26:$D$33,IF(ISERROR(FIND("J",D15)),3,2)))</f>
        <v>83</v>
      </c>
      <c r="G15" s="169">
        <v>21</v>
      </c>
      <c r="H15" s="170">
        <f>IF(AND(VALUE(E15)&gt;0,OR(LEFT(D15,1)="M",LEFT(D15,1)="F")),IF(LEFT(D15,1)="M",Wilks_Men(IF(RIGHT($F$7,4)="(lb)",E15/2.2046,E15)),Wilks_Women(IF(RIGHT($F$7,4)="(lb)",E15/2.2046,E15))),0)</f>
        <v>0.67390000820159912</v>
      </c>
      <c r="I15" s="241">
        <v>36305</v>
      </c>
      <c r="J15" s="128">
        <f ca="1">IF(I15,VLOOKUP(INT((NOW()-I15)/365.25),DATA!$A$2:$B$53,2,TRUE),0)</f>
        <v>1.06</v>
      </c>
      <c r="K15" s="169">
        <v>12</v>
      </c>
      <c r="L15" s="243">
        <v>110</v>
      </c>
      <c r="M15" s="243">
        <v>115</v>
      </c>
      <c r="N15" s="243">
        <v>125</v>
      </c>
      <c r="O15" s="173">
        <f t="shared" si="21"/>
        <v>125</v>
      </c>
      <c r="P15" s="174" t="s">
        <v>292</v>
      </c>
      <c r="Q15" s="243">
        <v>100</v>
      </c>
      <c r="R15" s="243">
        <v>105</v>
      </c>
      <c r="S15" s="243">
        <v>110</v>
      </c>
      <c r="T15" s="173">
        <f t="shared" si="22"/>
        <v>110</v>
      </c>
      <c r="U15" s="173">
        <f t="shared" si="23"/>
        <v>235</v>
      </c>
      <c r="V15" s="243">
        <v>150</v>
      </c>
      <c r="W15" s="248">
        <v>180</v>
      </c>
      <c r="X15" s="243">
        <v>200</v>
      </c>
      <c r="Y15" s="176">
        <f t="shared" si="24"/>
        <v>200</v>
      </c>
      <c r="Z15" s="173">
        <f t="shared" ca="1" si="25"/>
        <v>435</v>
      </c>
      <c r="AA15" s="282">
        <f t="shared" ca="1" si="26"/>
        <v>293.14650356769562</v>
      </c>
      <c r="AB15" s="177">
        <f t="shared" ca="1" si="27"/>
        <v>310.73529378175738</v>
      </c>
      <c r="AC15" s="167">
        <f ca="1">OFFSET(Setup!$F$1,MATCH(D15,INDIRECT("Setup!B1:B100"),0)-1,0)</f>
        <v>2</v>
      </c>
      <c r="AD15" s="178" t="str">
        <f t="shared" ca="1" si="28"/>
        <v>15-M-BL-PL</v>
      </c>
      <c r="AE15" s="169" t="s">
        <v>109</v>
      </c>
      <c r="AH15" s="179">
        <f ca="1">AU15*(IF(OR(D15="",E15=""),0,MATCH(D15,INDIRECT("Setup!B1:B100"),0)*100000000+IF(AC15=1,(MATCH(F15,Lists!$I$16:$I$32,0)),0)*1000000+IF(Z15=0,0,IF(AC15=1,AN15*1000,IF(AC15=2,AA15,AB15))+IF(AC15=1,AP15+AQ15/1000,0))))</f>
        <v>1200000293.1465034</v>
      </c>
      <c r="AI15" s="128">
        <f t="shared" ca="1" si="29"/>
        <v>25</v>
      </c>
      <c r="AJ15" s="128">
        <f t="shared" ca="1" si="30"/>
        <v>1200</v>
      </c>
      <c r="AK15" s="128">
        <f t="shared" ca="1" si="31"/>
        <v>11</v>
      </c>
      <c r="AL15" s="128">
        <f t="shared" ca="1" si="32"/>
        <v>15</v>
      </c>
      <c r="AN15" s="180">
        <f t="shared" ca="1" si="33"/>
        <v>12</v>
      </c>
      <c r="AO15" s="180">
        <f t="shared" si="34"/>
        <v>81.7</v>
      </c>
      <c r="AP15" s="180">
        <f t="shared" ca="1" si="35"/>
        <v>15</v>
      </c>
      <c r="AQ15" s="180">
        <f t="shared" ca="1" si="36"/>
        <v>21</v>
      </c>
      <c r="AU15" s="180">
        <f t="shared" ca="1" si="37"/>
        <v>1</v>
      </c>
      <c r="AW15" s="180"/>
      <c r="AX15" s="182"/>
      <c r="AY15" s="182"/>
      <c r="AZ15" s="182"/>
      <c r="BA15" s="128">
        <f t="shared" si="38"/>
        <v>0</v>
      </c>
      <c r="BB15" s="118">
        <f t="shared" ca="1" si="39"/>
        <v>110.0021</v>
      </c>
      <c r="BL15" s="118">
        <v>1</v>
      </c>
      <c r="BM15" s="118">
        <v>1</v>
      </c>
      <c r="BN15" s="118">
        <v>1</v>
      </c>
      <c r="BO15" s="183">
        <v>43155.486238425925</v>
      </c>
      <c r="BQ15" s="118">
        <v>1</v>
      </c>
      <c r="BR15" s="118">
        <v>1</v>
      </c>
      <c r="BS15" s="118">
        <v>1</v>
      </c>
      <c r="BT15" s="183">
        <v>43155.550497685188</v>
      </c>
      <c r="BV15" s="118">
        <v>1</v>
      </c>
      <c r="BW15" s="118">
        <v>1</v>
      </c>
      <c r="BX15" s="118">
        <v>1</v>
      </c>
      <c r="BY15" s="183">
        <v>43155.613356481481</v>
      </c>
      <c r="BZ15" s="183">
        <f t="shared" ca="1" si="40"/>
        <v>43155.613356481481</v>
      </c>
      <c r="CA15" s="244">
        <v>0.61405092592592592</v>
      </c>
    </row>
    <row r="16" spans="1:125" ht="19.5" customHeight="1" x14ac:dyDescent="0.2">
      <c r="A16" s="167" t="s">
        <v>24</v>
      </c>
      <c r="B16" s="168" t="s">
        <v>287</v>
      </c>
      <c r="C16" s="168" t="s">
        <v>213</v>
      </c>
      <c r="D16" s="169" t="s">
        <v>223</v>
      </c>
      <c r="E16" s="169">
        <v>89.15</v>
      </c>
      <c r="F16" s="169" t="str">
        <f>IF(LEFT(D16,1)="M",VLOOKUP(IF($E$7="Bwt (kg)",E16,E16/2.2046),Lists!$B$16:$D$24,IF(ISERROR(FIND("J",D16)),3,2)),VLOOKUP(IF($E$7="Bwt (kg)",E16,E16/2.2046),Lists!$B$26:$D$33,IF(ISERROR(FIND("J",D16)),3,2)))</f>
        <v>84+</v>
      </c>
      <c r="G16" s="169">
        <v>22</v>
      </c>
      <c r="H16" s="170">
        <f>IF(AND(VALUE(E16)&gt;0,OR(LEFT(D16,1)="M",LEFT(D16,1)="F")),IF(LEFT(D16,1)="M",Wilks_Men(IF(RIGHT($F$7,4)="(lb)",E16/2.2046,E16)),Wilks_Women(IF(RIGHT($F$7,4)="(lb)",E16/2.2046,E16))),0)</f>
        <v>0.86750000715255737</v>
      </c>
      <c r="I16" s="241">
        <v>32589</v>
      </c>
      <c r="J16" s="128">
        <f ca="1">IF(I16,VLOOKUP(INT((NOW()-I16)/365.25),DATA!$A$2:$B$53,2,TRUE),0)</f>
        <v>1</v>
      </c>
      <c r="K16" s="169">
        <v>13</v>
      </c>
      <c r="L16" s="243">
        <v>110</v>
      </c>
      <c r="M16" s="243">
        <v>120</v>
      </c>
      <c r="N16" s="246">
        <v>-127.5</v>
      </c>
      <c r="O16" s="173">
        <f t="shared" si="21"/>
        <v>120</v>
      </c>
      <c r="P16" s="174" t="s">
        <v>251</v>
      </c>
      <c r="Q16" s="243">
        <v>70</v>
      </c>
      <c r="R16" s="243">
        <v>80</v>
      </c>
      <c r="S16" s="246">
        <v>-85</v>
      </c>
      <c r="T16" s="173">
        <f t="shared" si="22"/>
        <v>80</v>
      </c>
      <c r="U16" s="173">
        <f t="shared" si="23"/>
        <v>200</v>
      </c>
      <c r="V16" s="243">
        <v>120</v>
      </c>
      <c r="W16" s="248">
        <v>140</v>
      </c>
      <c r="X16" s="246">
        <v>-150</v>
      </c>
      <c r="Y16" s="176">
        <f t="shared" si="24"/>
        <v>140</v>
      </c>
      <c r="Z16" s="173">
        <f t="shared" ca="1" si="25"/>
        <v>340</v>
      </c>
      <c r="AA16" s="282">
        <f t="shared" ca="1" si="26"/>
        <v>294.95000243186951</v>
      </c>
      <c r="AB16" s="177">
        <f t="shared" ca="1" si="27"/>
        <v>294.95000243186951</v>
      </c>
      <c r="AC16" s="167">
        <f ca="1">OFFSET(Setup!$F$1,MATCH(D16,INDIRECT("Setup!B1:B100"),0)-1,0)</f>
        <v>2</v>
      </c>
      <c r="AD16" s="178" t="str">
        <f t="shared" ca="1" si="28"/>
        <v>8-F-BL-PL</v>
      </c>
      <c r="AE16" s="169" t="s">
        <v>109</v>
      </c>
      <c r="AH16" s="179">
        <f ca="1">AU16*(IF(OR(D16="",E16=""),0,MATCH(D16,INDIRECT("Setup!B1:B100"),0)*100000000+IF(AC16=1,(MATCH(F16,Lists!$I$16:$I$32,0)),0)*1000000+IF(Z16=0,0,IF(AC16=1,AN16*1000,IF(AC16=2,AA16,AB16))+IF(AC16=1,AP16+AQ16/1000,0))))</f>
        <v>1300000294.9500024</v>
      </c>
      <c r="AI16" s="128">
        <f t="shared" ca="1" si="29"/>
        <v>8</v>
      </c>
      <c r="AJ16" s="128">
        <f t="shared" ca="1" si="30"/>
        <v>1300</v>
      </c>
      <c r="AK16" s="128">
        <f t="shared" ca="1" si="31"/>
        <v>1</v>
      </c>
      <c r="AL16" s="128">
        <f t="shared" ca="1" si="32"/>
        <v>8</v>
      </c>
      <c r="AN16" s="180">
        <f t="shared" ca="1" si="33"/>
        <v>7</v>
      </c>
      <c r="AO16" s="180">
        <f t="shared" si="34"/>
        <v>89.15</v>
      </c>
      <c r="AP16" s="180">
        <f t="shared" ca="1" si="35"/>
        <v>10</v>
      </c>
      <c r="AQ16" s="180">
        <f t="shared" ca="1" si="36"/>
        <v>11</v>
      </c>
      <c r="AU16" s="180">
        <f t="shared" ca="1" si="37"/>
        <v>1</v>
      </c>
      <c r="AW16" s="180"/>
      <c r="AX16" s="182"/>
      <c r="AY16" s="182"/>
      <c r="AZ16" s="182"/>
      <c r="BA16" s="128">
        <f t="shared" si="38"/>
        <v>0</v>
      </c>
      <c r="BB16" s="118">
        <f t="shared" ca="1" si="39"/>
        <v>110.0022</v>
      </c>
      <c r="BL16" s="118">
        <v>1</v>
      </c>
      <c r="BM16" s="118">
        <v>1</v>
      </c>
      <c r="BN16" s="118">
        <v>-1</v>
      </c>
      <c r="BO16" s="183">
        <v>43155.478460648148</v>
      </c>
      <c r="BQ16" s="118">
        <v>1</v>
      </c>
      <c r="BR16" s="118">
        <v>1</v>
      </c>
      <c r="BS16" s="118">
        <v>-1</v>
      </c>
      <c r="BT16" s="183">
        <v>43155.541238425925</v>
      </c>
      <c r="BV16" s="118">
        <v>1</v>
      </c>
      <c r="BW16" s="118">
        <v>1</v>
      </c>
      <c r="BX16" s="118">
        <v>-1</v>
      </c>
      <c r="BY16" s="183">
        <v>43155.602731481478</v>
      </c>
      <c r="BZ16" s="183">
        <f t="shared" ca="1" si="40"/>
        <v>43155.602731481478</v>
      </c>
      <c r="CA16" s="244">
        <v>0.61123842592592592</v>
      </c>
    </row>
    <row r="17" spans="1:79" ht="19.5" customHeight="1" x14ac:dyDescent="0.2">
      <c r="A17" s="167" t="s">
        <v>24</v>
      </c>
      <c r="B17" s="168" t="s">
        <v>253</v>
      </c>
      <c r="C17" s="168" t="s">
        <v>183</v>
      </c>
      <c r="D17" s="169" t="s">
        <v>223</v>
      </c>
      <c r="E17" s="169">
        <v>63</v>
      </c>
      <c r="F17" s="169">
        <f>IF(LEFT(D17,1)="M",VLOOKUP(IF($E$7="Bwt (kg)",E17,E17/2.2046),Lists!$B$16:$D$24,IF(ISERROR(FIND("J",D17)),3,2)),VLOOKUP(IF($E$7="Bwt (kg)",E17,E17/2.2046),Lists!$B$26:$D$33,IF(ISERROR(FIND("J",D17)),3,2)))</f>
        <v>63</v>
      </c>
      <c r="G17" s="169">
        <v>25</v>
      </c>
      <c r="H17" s="170">
        <f>IF(AND(VALUE(E17)&gt;0,OR(LEFT(D17,1)="M",LEFT(D17,1)="F")),IF(LEFT(D17,1)="M",Wilks_Men(IF(RIGHT($F$7,4)="(lb)",E17/2.2046,E17)),Wilks_Women(IF(RIGHT($F$7,4)="(lb)",E17/2.2046,E17))),0)</f>
        <v>1.0740000009536743</v>
      </c>
      <c r="I17" s="241">
        <v>33564</v>
      </c>
      <c r="J17" s="128">
        <f ca="1">IF(I17,VLOOKUP(INT((NOW()-I17)/365.25),DATA!$A$2:$B$53,2,TRUE),0)</f>
        <v>1</v>
      </c>
      <c r="K17" s="169">
        <v>12</v>
      </c>
      <c r="L17" s="243">
        <v>115</v>
      </c>
      <c r="M17" s="243">
        <v>120</v>
      </c>
      <c r="N17" s="246">
        <v>-122.5</v>
      </c>
      <c r="O17" s="173">
        <f t="shared" si="21"/>
        <v>120</v>
      </c>
      <c r="P17" s="174" t="s">
        <v>256</v>
      </c>
      <c r="Q17" s="243">
        <v>65</v>
      </c>
      <c r="R17" s="243">
        <v>67.5</v>
      </c>
      <c r="S17" s="246">
        <v>-70</v>
      </c>
      <c r="T17" s="173">
        <f t="shared" si="22"/>
        <v>67.5</v>
      </c>
      <c r="U17" s="173">
        <f t="shared" si="23"/>
        <v>187.5</v>
      </c>
      <c r="V17" s="243">
        <v>150</v>
      </c>
      <c r="W17" s="249">
        <v>-162.5</v>
      </c>
      <c r="X17" s="243">
        <v>162.5</v>
      </c>
      <c r="Y17" s="176">
        <f t="shared" si="24"/>
        <v>162.5</v>
      </c>
      <c r="Z17" s="173">
        <f t="shared" ca="1" si="25"/>
        <v>350</v>
      </c>
      <c r="AA17" s="282">
        <f t="shared" ca="1" si="26"/>
        <v>375.90000033378601</v>
      </c>
      <c r="AB17" s="177">
        <f t="shared" ca="1" si="27"/>
        <v>375.90000033378601</v>
      </c>
      <c r="AC17" s="167">
        <f ca="1">OFFSET(Setup!$F$1,MATCH(D17,INDIRECT("Setup!B1:B100"),0)-1,0)</f>
        <v>2</v>
      </c>
      <c r="AD17" s="178" t="str">
        <f t="shared" ca="1" si="28"/>
        <v>3-F-BL-PL</v>
      </c>
      <c r="AE17" s="169" t="s">
        <v>109</v>
      </c>
      <c r="AH17" s="179">
        <f ca="1">AU17*(IF(OR(D17="",E17=""),0,MATCH(D17,INDIRECT("Setup!B1:B100"),0)*100000000+IF(AC17=1,(MATCH(F17,Lists!$I$16:$I$32,0)),0)*1000000+IF(Z17=0,0,IF(AC17=1,AN17*1000,IF(AC17=2,AA17,AB17))+IF(AC17=1,AP17+AQ17/1000,0))))</f>
        <v>1300000375.9000003</v>
      </c>
      <c r="AI17" s="128">
        <f t="shared" ca="1" si="29"/>
        <v>3</v>
      </c>
      <c r="AJ17" s="128">
        <f t="shared" ca="1" si="30"/>
        <v>1300</v>
      </c>
      <c r="AK17" s="128">
        <f t="shared" ca="1" si="31"/>
        <v>1</v>
      </c>
      <c r="AL17" s="128">
        <f t="shared" ca="1" si="32"/>
        <v>3</v>
      </c>
      <c r="AN17" s="180">
        <f t="shared" ca="1" si="33"/>
        <v>9</v>
      </c>
      <c r="AO17" s="180">
        <f t="shared" si="34"/>
        <v>63</v>
      </c>
      <c r="AP17" s="180">
        <f t="shared" ca="1" si="35"/>
        <v>30</v>
      </c>
      <c r="AQ17" s="180">
        <f t="shared" ca="1" si="36"/>
        <v>19</v>
      </c>
      <c r="AU17" s="180">
        <f t="shared" ca="1" si="37"/>
        <v>1</v>
      </c>
      <c r="AW17" s="180"/>
      <c r="AX17" s="182"/>
      <c r="AY17" s="182"/>
      <c r="AZ17" s="182"/>
      <c r="BA17" s="128">
        <f t="shared" si="38"/>
        <v>0</v>
      </c>
      <c r="BB17" s="118">
        <f t="shared" ca="1" si="39"/>
        <v>115.0025</v>
      </c>
      <c r="BL17" s="118">
        <v>1</v>
      </c>
      <c r="BM17" s="118">
        <v>1</v>
      </c>
      <c r="BN17" s="118">
        <v>-1</v>
      </c>
      <c r="BO17" s="183">
        <v>43155.479050925926</v>
      </c>
      <c r="BQ17" s="118">
        <v>1</v>
      </c>
      <c r="BR17" s="118">
        <v>1</v>
      </c>
      <c r="BS17" s="118">
        <v>-1</v>
      </c>
      <c r="BT17" s="183">
        <v>43155.537835648145</v>
      </c>
      <c r="BV17" s="118">
        <v>1</v>
      </c>
      <c r="BW17" s="118">
        <v>-1</v>
      </c>
      <c r="BX17" s="118">
        <v>1</v>
      </c>
      <c r="BY17" s="183">
        <v>43155.611956018518</v>
      </c>
      <c r="BZ17" s="183">
        <f t="shared" ca="1" si="40"/>
        <v>43155.611956018518</v>
      </c>
      <c r="CA17" s="244">
        <v>0.61265046296296299</v>
      </c>
    </row>
    <row r="18" spans="1:79" ht="19.5" customHeight="1" x14ac:dyDescent="0.2">
      <c r="A18" s="167" t="s">
        <v>24</v>
      </c>
      <c r="B18" s="168" t="s">
        <v>285</v>
      </c>
      <c r="C18" s="168" t="s">
        <v>183</v>
      </c>
      <c r="D18" s="169" t="s">
        <v>223</v>
      </c>
      <c r="E18" s="169">
        <v>70.55</v>
      </c>
      <c r="F18" s="169">
        <f>IF(LEFT(D18,1)="M",VLOOKUP(IF($E$7="Bwt (kg)",E18,E18/2.2046),Lists!$B$16:$D$24,IF(ISERROR(FIND("J",D18)),3,2)),VLOOKUP(IF($E$7="Bwt (kg)",E18,E18/2.2046),Lists!$B$26:$D$33,IF(ISERROR(FIND("J",D18)),3,2)))</f>
        <v>72</v>
      </c>
      <c r="G18" s="169">
        <v>15</v>
      </c>
      <c r="H18" s="170">
        <f>IF(AND(VALUE(E18)&gt;0,OR(LEFT(D18,1)="M",LEFT(D18,1)="F")),IF(LEFT(D18,1)="M",Wilks_Men(IF(RIGHT($F$7,4)="(lb)",E18/2.2046,E18)),Wilks_Women(IF(RIGHT($F$7,4)="(lb)",E18/2.2046,E18))),0)</f>
        <v>0.98949998617172241</v>
      </c>
      <c r="I18" s="241">
        <v>34479</v>
      </c>
      <c r="J18" s="128">
        <f ca="1">IF(I18,VLOOKUP(INT((NOW()-I18)/365.25),DATA!$A$2:$B$53,2,TRUE),0)</f>
        <v>1</v>
      </c>
      <c r="K18" s="169">
        <v>12</v>
      </c>
      <c r="L18" s="243">
        <v>125</v>
      </c>
      <c r="M18" s="243">
        <v>130</v>
      </c>
      <c r="N18" s="246">
        <v>-135</v>
      </c>
      <c r="O18" s="173">
        <f t="shared" si="21"/>
        <v>130</v>
      </c>
      <c r="P18" s="174" t="s">
        <v>286</v>
      </c>
      <c r="Q18" s="243">
        <v>67.5</v>
      </c>
      <c r="R18" s="243">
        <v>72.5</v>
      </c>
      <c r="S18" s="246">
        <v>-77.5</v>
      </c>
      <c r="T18" s="173">
        <f t="shared" si="22"/>
        <v>72.5</v>
      </c>
      <c r="U18" s="173">
        <f t="shared" si="23"/>
        <v>202.5</v>
      </c>
      <c r="V18" s="243">
        <v>140</v>
      </c>
      <c r="W18" s="248">
        <v>150</v>
      </c>
      <c r="X18" s="246">
        <v>-160</v>
      </c>
      <c r="Y18" s="176">
        <f t="shared" si="24"/>
        <v>150</v>
      </c>
      <c r="Z18" s="173">
        <f t="shared" ca="1" si="25"/>
        <v>352.5</v>
      </c>
      <c r="AA18" s="282">
        <f t="shared" ca="1" si="26"/>
        <v>348.79874512553215</v>
      </c>
      <c r="AB18" s="177">
        <f t="shared" ca="1" si="27"/>
        <v>348.79874512553215</v>
      </c>
      <c r="AC18" s="167">
        <f ca="1">OFFSET(Setup!$F$1,MATCH(D18,INDIRECT("Setup!B1:B100"),0)-1,0)</f>
        <v>2</v>
      </c>
      <c r="AD18" s="178" t="str">
        <f t="shared" ca="1" si="28"/>
        <v>4-F-BL-PL</v>
      </c>
      <c r="AE18" s="169" t="s">
        <v>109</v>
      </c>
      <c r="AH18" s="179">
        <f ca="1">AU18*(IF(OR(D18="",E18=""),0,MATCH(D18,INDIRECT("Setup!B1:B100"),0)*100000000+IF(AC18=1,(MATCH(F18,Lists!$I$16:$I$32,0)),0)*1000000+IF(Z18=0,0,IF(AC18=1,AN18*1000,IF(AC18=2,AA18,AB18))+IF(AC18=1,AP18+AQ18/1000,0))))</f>
        <v>1300000348.7987452</v>
      </c>
      <c r="AI18" s="128">
        <f t="shared" ca="1" si="29"/>
        <v>4</v>
      </c>
      <c r="AJ18" s="128">
        <f t="shared" ca="1" si="30"/>
        <v>1300</v>
      </c>
      <c r="AK18" s="128">
        <f t="shared" ca="1" si="31"/>
        <v>1</v>
      </c>
      <c r="AL18" s="128">
        <f t="shared" ca="1" si="32"/>
        <v>4</v>
      </c>
      <c r="AN18" s="180">
        <f t="shared" ca="1" si="33"/>
        <v>10</v>
      </c>
      <c r="AO18" s="180">
        <f t="shared" si="34"/>
        <v>70.55</v>
      </c>
      <c r="AP18" s="180">
        <f t="shared" ca="1" si="35"/>
        <v>28</v>
      </c>
      <c r="AQ18" s="180">
        <f t="shared" ca="1" si="36"/>
        <v>12</v>
      </c>
      <c r="AU18" s="180">
        <f t="shared" ca="1" si="37"/>
        <v>1</v>
      </c>
      <c r="AW18" s="180"/>
      <c r="AX18" s="182"/>
      <c r="AY18" s="182"/>
      <c r="AZ18" s="182"/>
      <c r="BA18" s="128">
        <f t="shared" si="38"/>
        <v>0</v>
      </c>
      <c r="BB18" s="118">
        <f t="shared" ca="1" si="39"/>
        <v>125.00149999999999</v>
      </c>
      <c r="BL18" s="118">
        <v>1</v>
      </c>
      <c r="BM18" s="118">
        <v>1</v>
      </c>
      <c r="BN18" s="118">
        <v>-1</v>
      </c>
      <c r="BO18" s="183">
        <v>43155.479791666665</v>
      </c>
      <c r="BQ18" s="118">
        <v>1</v>
      </c>
      <c r="BR18" s="118">
        <v>1</v>
      </c>
      <c r="BS18" s="118">
        <v>-1</v>
      </c>
      <c r="BT18" s="183">
        <v>43155.540023148147</v>
      </c>
      <c r="BV18" s="118">
        <v>1</v>
      </c>
      <c r="BW18" s="118">
        <v>1</v>
      </c>
      <c r="BX18" s="118">
        <v>-1</v>
      </c>
      <c r="BY18" s="183">
        <v>43155.603298611109</v>
      </c>
      <c r="BZ18" s="183">
        <f t="shared" ca="1" si="40"/>
        <v>43155.603298611109</v>
      </c>
      <c r="CA18" s="244">
        <v>0.61196759259259259</v>
      </c>
    </row>
    <row r="19" spans="1:79" ht="19.5" customHeight="1" x14ac:dyDescent="0.2">
      <c r="A19" s="167" t="s">
        <v>24</v>
      </c>
      <c r="B19" s="168" t="s">
        <v>280</v>
      </c>
      <c r="C19" s="168" t="s">
        <v>183</v>
      </c>
      <c r="D19" s="169" t="s">
        <v>223</v>
      </c>
      <c r="E19" s="169">
        <v>72.3</v>
      </c>
      <c r="F19" s="169">
        <f>IF(LEFT(D19,1)="M",VLOOKUP(IF($E$7="Bwt (kg)",E19,E19/2.2046),Lists!$B$16:$D$24,IF(ISERROR(FIND("J",D19)),3,2)),VLOOKUP(IF($E$7="Bwt (kg)",E19,E19/2.2046),Lists!$B$26:$D$33,IF(ISERROR(FIND("J",D19)),3,2)))</f>
        <v>84</v>
      </c>
      <c r="G19" s="169">
        <v>6</v>
      </c>
      <c r="H19" s="170">
        <f>IF(AND(VALUE(E19)&gt;0,OR(LEFT(D19,1)="M",LEFT(D19,1)="F")),IF(LEFT(D19,1)="M",Wilks_Men(IF(RIGHT($F$7,4)="(lb)",E19/2.2046,E19)),Wilks_Women(IF(RIGHT($F$7,4)="(lb)",E19/2.2046,E19))),0)</f>
        <v>0.97339999675750732</v>
      </c>
      <c r="I19" s="241">
        <v>36581</v>
      </c>
      <c r="J19" s="128">
        <f ca="1">IF(I19,VLOOKUP(INT((NOW()-I19)/365.25),DATA!$A$2:$B$53,2,TRUE),0)</f>
        <v>1.06</v>
      </c>
      <c r="K19" s="169">
        <v>12</v>
      </c>
      <c r="L19" s="243">
        <v>130</v>
      </c>
      <c r="M19" s="243">
        <v>145</v>
      </c>
      <c r="N19" s="246">
        <v>-155</v>
      </c>
      <c r="O19" s="173">
        <f t="shared" si="21"/>
        <v>145</v>
      </c>
      <c r="P19" s="174" t="s">
        <v>269</v>
      </c>
      <c r="Q19" s="243">
        <v>60</v>
      </c>
      <c r="R19" s="246">
        <v>-65</v>
      </c>
      <c r="S19" s="246">
        <v>-70</v>
      </c>
      <c r="T19" s="173">
        <f t="shared" si="22"/>
        <v>60</v>
      </c>
      <c r="U19" s="173">
        <f t="shared" si="23"/>
        <v>205</v>
      </c>
      <c r="V19" s="243">
        <v>120</v>
      </c>
      <c r="W19" s="248">
        <v>130</v>
      </c>
      <c r="X19" s="243">
        <v>135</v>
      </c>
      <c r="Y19" s="176">
        <f t="shared" si="24"/>
        <v>135</v>
      </c>
      <c r="Z19" s="173">
        <f t="shared" ca="1" si="25"/>
        <v>340</v>
      </c>
      <c r="AA19" s="282">
        <f t="shared" ca="1" si="26"/>
        <v>330.95599889755249</v>
      </c>
      <c r="AB19" s="177">
        <f t="shared" ca="1" si="27"/>
        <v>350.81335883140565</v>
      </c>
      <c r="AC19" s="167">
        <f ca="1">OFFSET(Setup!$F$1,MATCH(D19,INDIRECT("Setup!B1:B100"),0)-1,0)</f>
        <v>2</v>
      </c>
      <c r="AD19" s="178" t="str">
        <f t="shared" ca="1" si="28"/>
        <v>6-F-BL-PL</v>
      </c>
      <c r="AE19" s="169" t="s">
        <v>109</v>
      </c>
      <c r="AH19" s="179">
        <f ca="1">AU19*(IF(OR(D19="",E19=""),0,MATCH(D19,INDIRECT("Setup!B1:B100"),0)*100000000+IF(AC19=1,(MATCH(F19,Lists!$I$16:$I$32,0)),0)*1000000+IF(Z19=0,0,IF(AC19=1,AN19*1000,IF(AC19=2,AA19,AB19))+IF(AC19=1,AP19+AQ19/1000,0))))</f>
        <v>1300000330.9559989</v>
      </c>
      <c r="AI19" s="128">
        <f t="shared" ca="1" si="29"/>
        <v>6</v>
      </c>
      <c r="AJ19" s="128">
        <f t="shared" ca="1" si="30"/>
        <v>1300</v>
      </c>
      <c r="AK19" s="128">
        <f t="shared" ca="1" si="31"/>
        <v>1</v>
      </c>
      <c r="AL19" s="128">
        <f t="shared" ca="1" si="32"/>
        <v>6</v>
      </c>
      <c r="AN19" s="180">
        <f t="shared" ca="1" si="33"/>
        <v>7</v>
      </c>
      <c r="AO19" s="180">
        <f t="shared" si="34"/>
        <v>72.3</v>
      </c>
      <c r="AP19" s="180">
        <f t="shared" ca="1" si="35"/>
        <v>27</v>
      </c>
      <c r="AQ19" s="180">
        <f t="shared" ca="1" si="36"/>
        <v>16</v>
      </c>
      <c r="AU19" s="180">
        <f t="shared" ca="1" si="37"/>
        <v>1</v>
      </c>
      <c r="AW19" s="180"/>
      <c r="AX19" s="182"/>
      <c r="AY19" s="182"/>
      <c r="AZ19" s="182"/>
      <c r="BA19" s="128">
        <f t="shared" si="38"/>
        <v>0</v>
      </c>
      <c r="BB19" s="118">
        <f t="shared" ca="1" si="39"/>
        <v>130.00059999999999</v>
      </c>
      <c r="BL19" s="118">
        <v>1</v>
      </c>
      <c r="BM19" s="118">
        <v>1</v>
      </c>
      <c r="BN19" s="118">
        <v>-1</v>
      </c>
      <c r="BO19" s="183">
        <v>43155.480486111112</v>
      </c>
      <c r="BQ19" s="118">
        <v>1</v>
      </c>
      <c r="BR19" s="118">
        <v>-1</v>
      </c>
      <c r="BS19" s="118">
        <v>-1</v>
      </c>
      <c r="BT19" s="183">
        <v>43155.526967592596</v>
      </c>
      <c r="BV19" s="118">
        <v>1</v>
      </c>
      <c r="BW19" s="118">
        <v>1</v>
      </c>
      <c r="BX19" s="118">
        <v>1</v>
      </c>
      <c r="BY19" s="183">
        <v>43155.608749999999</v>
      </c>
      <c r="BZ19" s="183">
        <f t="shared" ca="1" si="40"/>
        <v>43155.608749999999</v>
      </c>
      <c r="CA19" s="244">
        <v>0.60944444444444446</v>
      </c>
    </row>
    <row r="20" spans="1:79" ht="19.5" customHeight="1" x14ac:dyDescent="0.2">
      <c r="A20" s="167" t="s">
        <v>24</v>
      </c>
      <c r="B20" s="168" t="s">
        <v>288</v>
      </c>
      <c r="C20" s="168" t="s">
        <v>259</v>
      </c>
      <c r="D20" s="169" t="s">
        <v>223</v>
      </c>
      <c r="E20" s="169">
        <v>75.599999999999994</v>
      </c>
      <c r="F20" s="169">
        <f>IF(LEFT(D20,1)="M",VLOOKUP(IF($E$7="Bwt (kg)",E20,E20/2.2046),Lists!$B$16:$D$24,IF(ISERROR(FIND("J",D20)),3,2)),VLOOKUP(IF($E$7="Bwt (kg)",E20,E20/2.2046),Lists!$B$26:$D$33,IF(ISERROR(FIND("J",D20)),3,2)))</f>
        <v>84</v>
      </c>
      <c r="G20" s="169">
        <v>30</v>
      </c>
      <c r="H20" s="170">
        <f>IF(AND(VALUE(E20)&gt;0,OR(LEFT(D20,1)="M",LEFT(D20,1)="F")),IF(LEFT(D20,1)="M",Wilks_Men(IF(RIGHT($F$7,4)="(lb)",E20/2.2046,E20)),Wilks_Women(IF(RIGHT($F$7,4)="(lb)",E20/2.2046,E20))),0)</f>
        <v>0.94590002298355103</v>
      </c>
      <c r="I20" s="241">
        <v>33938</v>
      </c>
      <c r="J20" s="128">
        <f ca="1">IF(I20,VLOOKUP(INT((NOW()-I20)/365.25),DATA!$A$2:$B$53,2,TRUE),0)</f>
        <v>1</v>
      </c>
      <c r="K20" s="169">
        <v>11</v>
      </c>
      <c r="L20" s="243">
        <v>160</v>
      </c>
      <c r="M20" s="243">
        <v>170</v>
      </c>
      <c r="N20" s="172"/>
      <c r="O20" s="173">
        <f t="shared" si="21"/>
        <v>170</v>
      </c>
      <c r="P20" s="174" t="s">
        <v>252</v>
      </c>
      <c r="Q20" s="243">
        <v>60</v>
      </c>
      <c r="R20" s="243">
        <v>62.5</v>
      </c>
      <c r="S20" s="243">
        <v>65</v>
      </c>
      <c r="T20" s="173">
        <f t="shared" si="22"/>
        <v>65</v>
      </c>
      <c r="U20" s="173">
        <f t="shared" si="23"/>
        <v>235</v>
      </c>
      <c r="V20" s="243">
        <v>160</v>
      </c>
      <c r="W20" s="248">
        <v>167.5</v>
      </c>
      <c r="X20" s="243">
        <v>175</v>
      </c>
      <c r="Y20" s="176">
        <f t="shared" si="24"/>
        <v>175</v>
      </c>
      <c r="Z20" s="173">
        <f t="shared" ca="1" si="25"/>
        <v>410</v>
      </c>
      <c r="AA20" s="282">
        <f t="shared" ca="1" si="26"/>
        <v>387.81900942325592</v>
      </c>
      <c r="AB20" s="177">
        <f t="shared" ca="1" si="27"/>
        <v>387.81900942325592</v>
      </c>
      <c r="AC20" s="167">
        <f ca="1">OFFSET(Setup!$F$1,MATCH(D20,INDIRECT("Setup!B1:B100"),0)-1,0)</f>
        <v>2</v>
      </c>
      <c r="AD20" s="178" t="str">
        <f t="shared" ca="1" si="28"/>
        <v>1-F-BL-PL</v>
      </c>
      <c r="AE20" s="169" t="s">
        <v>109</v>
      </c>
      <c r="AH20" s="179">
        <f ca="1">AU20*(IF(OR(D20="",E20=""),0,MATCH(D20,INDIRECT("Setup!B1:B100"),0)*100000000+IF(AC20=1,(MATCH(F20,Lists!$I$16:$I$32,0)),0)*1000000+IF(Z20=0,0,IF(AC20=1,AN20*1000,IF(AC20=2,AA20,AB20))+IF(AC20=1,AP20+AQ20/1000,0))))</f>
        <v>1300000387.8190093</v>
      </c>
      <c r="AI20" s="128">
        <f t="shared" ca="1" si="29"/>
        <v>1</v>
      </c>
      <c r="AJ20" s="128">
        <f t="shared" ca="1" si="30"/>
        <v>1300</v>
      </c>
      <c r="AK20" s="128">
        <f t="shared" ca="1" si="31"/>
        <v>1</v>
      </c>
      <c r="AL20" s="128">
        <f t="shared" ca="1" si="32"/>
        <v>1</v>
      </c>
      <c r="AN20" s="180">
        <f t="shared" ca="1" si="33"/>
        <v>11</v>
      </c>
      <c r="AO20" s="180">
        <f t="shared" si="34"/>
        <v>75.599999999999994</v>
      </c>
      <c r="AP20" s="180">
        <f t="shared" ca="1" si="35"/>
        <v>21</v>
      </c>
      <c r="AQ20" s="180">
        <f t="shared" ca="1" si="36"/>
        <v>20</v>
      </c>
      <c r="AU20" s="180">
        <f t="shared" ca="1" si="37"/>
        <v>1</v>
      </c>
      <c r="AW20" s="180"/>
      <c r="AX20" s="182"/>
      <c r="AY20" s="182"/>
      <c r="AZ20" s="182"/>
      <c r="BA20" s="128">
        <f t="shared" si="38"/>
        <v>0</v>
      </c>
      <c r="BB20" s="118">
        <f t="shared" ca="1" si="39"/>
        <v>160.00299999999999</v>
      </c>
      <c r="BL20" s="118">
        <v>1</v>
      </c>
      <c r="BM20" s="118">
        <v>1</v>
      </c>
      <c r="BN20" s="118">
        <v>0</v>
      </c>
      <c r="BO20" s="183">
        <v>43155.48128472222</v>
      </c>
      <c r="BQ20" s="118">
        <v>1</v>
      </c>
      <c r="BR20" s="118">
        <v>1</v>
      </c>
      <c r="BS20" s="118">
        <v>1</v>
      </c>
      <c r="BT20" s="183">
        <v>43155.544374999998</v>
      </c>
      <c r="BV20" s="118">
        <v>1</v>
      </c>
      <c r="BW20" s="118">
        <v>1</v>
      </c>
      <c r="BX20" s="118">
        <v>1</v>
      </c>
      <c r="BY20" s="183">
        <v>43155.612754629627</v>
      </c>
      <c r="BZ20" s="183">
        <f t="shared" ca="1" si="40"/>
        <v>43155.612754629627</v>
      </c>
      <c r="CA20" s="244">
        <v>0.61344907407407401</v>
      </c>
    </row>
    <row r="21" spans="1:79" ht="19.5" customHeight="1" x14ac:dyDescent="0.2">
      <c r="A21" s="167" t="s">
        <v>25</v>
      </c>
      <c r="B21" s="168" t="s">
        <v>310</v>
      </c>
      <c r="C21" s="168" t="s">
        <v>259</v>
      </c>
      <c r="D21" s="169" t="s">
        <v>222</v>
      </c>
      <c r="E21" s="169">
        <v>96.05</v>
      </c>
      <c r="F21" s="169">
        <f>IF(LEFT(D21,1)="M",VLOOKUP(IF($E$7="Bwt (kg)",E21,E21/2.2046),Lists!$B$16:$D$24,IF(ISERROR(FIND("J",D21)),3,2)),VLOOKUP(IF($E$7="Bwt (kg)",E21,E21/2.2046),Lists!$B$26:$D$33,IF(ISERROR(FIND("J",D21)),3,2)))</f>
        <v>105</v>
      </c>
      <c r="G21" s="169">
        <v>31</v>
      </c>
      <c r="H21" s="170">
        <f>IF(AND(VALUE(E21)&gt;0,OR(LEFT(D21,1)="M",LEFT(D21,1)="F")),IF(LEFT(D21,1)="M",Wilks_Men(IF(RIGHT($F$7,4)="(lb)",E21/2.2046,E21)),Wilks_Women(IF(RIGHT($F$7,4)="(lb)",E21/2.2046,E21))),0)</f>
        <v>0.61900001764297485</v>
      </c>
      <c r="I21" s="241">
        <v>34821</v>
      </c>
      <c r="J21" s="128">
        <f ca="1">IF(I21,VLOOKUP(INT((NOW()-I21)/365.25),DATA!$A$2:$B$53,2,TRUE),0)</f>
        <v>1.01</v>
      </c>
      <c r="K21" s="169">
        <v>15</v>
      </c>
      <c r="L21" s="243">
        <v>145</v>
      </c>
      <c r="M21" s="243">
        <v>155</v>
      </c>
      <c r="N21" s="243">
        <v>170</v>
      </c>
      <c r="O21" s="173">
        <f t="shared" si="21"/>
        <v>170</v>
      </c>
      <c r="P21" s="174" t="s">
        <v>292</v>
      </c>
      <c r="Q21" s="243">
        <v>120</v>
      </c>
      <c r="R21" s="243">
        <v>130</v>
      </c>
      <c r="S21" s="243">
        <v>140</v>
      </c>
      <c r="T21" s="173">
        <f t="shared" si="22"/>
        <v>140</v>
      </c>
      <c r="U21" s="173">
        <f t="shared" si="23"/>
        <v>310</v>
      </c>
      <c r="V21" s="243">
        <v>190</v>
      </c>
      <c r="W21" s="248">
        <v>210</v>
      </c>
      <c r="X21" s="243">
        <v>230</v>
      </c>
      <c r="Y21" s="176">
        <f t="shared" si="24"/>
        <v>230</v>
      </c>
      <c r="Z21" s="173">
        <f t="shared" ca="1" si="25"/>
        <v>540</v>
      </c>
      <c r="AA21" s="282">
        <f t="shared" ca="1" si="26"/>
        <v>334.26000952720642</v>
      </c>
      <c r="AB21" s="177">
        <f t="shared" ca="1" si="27"/>
        <v>337.6026096224785</v>
      </c>
      <c r="AC21" s="167">
        <f ca="1">OFFSET(Setup!$F$1,MATCH(D21,INDIRECT("Setup!B1:B100"),0)-1,0)</f>
        <v>2</v>
      </c>
      <c r="AD21" s="178" t="str">
        <f t="shared" ca="1" si="28"/>
        <v>14-M-BL-PL</v>
      </c>
      <c r="AE21" s="169" t="s">
        <v>109</v>
      </c>
      <c r="AH21" s="179">
        <f ca="1">AU21*(IF(OR(D21="",E21=""),0,MATCH(D21,INDIRECT("Setup!B1:B100"),0)*100000000+IF(AC21=1,(MATCH(F21,Lists!$I$16:$I$32,0)),0)*1000000+IF(Z21=0,0,IF(AC21=1,AN21*1000,IF(AC21=2,AA21,AB21))+IF(AC21=1,AP21+AQ21/1000,0))))</f>
        <v>1200000334.2600095</v>
      </c>
      <c r="AI21" s="128">
        <f t="shared" ca="1" si="29"/>
        <v>24</v>
      </c>
      <c r="AJ21" s="128">
        <f t="shared" ca="1" si="30"/>
        <v>1200</v>
      </c>
      <c r="AK21" s="128">
        <f t="shared" ca="1" si="31"/>
        <v>11</v>
      </c>
      <c r="AL21" s="128">
        <f t="shared" ca="1" si="32"/>
        <v>14</v>
      </c>
      <c r="AN21" s="180">
        <f t="shared" ca="1" si="33"/>
        <v>19</v>
      </c>
      <c r="AO21" s="180">
        <f t="shared" si="34"/>
        <v>96.05</v>
      </c>
      <c r="AP21" s="180">
        <f t="shared" ca="1" si="35"/>
        <v>7</v>
      </c>
      <c r="AQ21" s="180">
        <f t="shared" ca="1" si="36"/>
        <v>32</v>
      </c>
      <c r="AU21" s="180">
        <f t="shared" ca="1" si="37"/>
        <v>1</v>
      </c>
      <c r="AW21" s="180"/>
      <c r="AX21" s="182"/>
      <c r="AY21" s="182"/>
      <c r="AZ21" s="182"/>
      <c r="BA21" s="128">
        <f t="shared" si="38"/>
        <v>1</v>
      </c>
      <c r="BB21" s="118">
        <f t="shared" ca="1" si="39"/>
        <v>145.00309999999999</v>
      </c>
      <c r="BL21" s="118">
        <v>1</v>
      </c>
      <c r="BM21" s="118">
        <v>1</v>
      </c>
      <c r="BN21" s="118">
        <v>1</v>
      </c>
      <c r="BO21" s="183">
        <v>43155.513287037036</v>
      </c>
      <c r="BQ21" s="118">
        <v>1</v>
      </c>
      <c r="BR21" s="118">
        <v>1</v>
      </c>
      <c r="BS21" s="118">
        <v>1</v>
      </c>
      <c r="BT21" s="183">
        <v>43155.580416666664</v>
      </c>
      <c r="BV21" s="118">
        <v>1</v>
      </c>
      <c r="BW21" s="118">
        <v>1</v>
      </c>
      <c r="BX21" s="118">
        <v>1</v>
      </c>
      <c r="BY21" s="183">
        <v>43155.637476851851</v>
      </c>
      <c r="BZ21" s="183">
        <f t="shared" ca="1" si="40"/>
        <v>43155.637476851851</v>
      </c>
      <c r="CA21" s="244">
        <v>0.63817129629629632</v>
      </c>
    </row>
    <row r="22" spans="1:79" ht="19.5" customHeight="1" x14ac:dyDescent="0.2">
      <c r="A22" s="167" t="s">
        <v>25</v>
      </c>
      <c r="B22" s="168" t="s">
        <v>300</v>
      </c>
      <c r="C22" s="168" t="s">
        <v>183</v>
      </c>
      <c r="D22" s="169" t="s">
        <v>222</v>
      </c>
      <c r="E22" s="169">
        <v>75.599999999999994</v>
      </c>
      <c r="F22" s="169">
        <f>IF(LEFT(D22,1)="M",VLOOKUP(IF($E$7="Bwt (kg)",E22,E22/2.2046),Lists!$B$16:$D$24,IF(ISERROR(FIND("J",D22)),3,2)),VLOOKUP(IF($E$7="Bwt (kg)",E22,E22/2.2046),Lists!$B$26:$D$33,IF(ISERROR(FIND("J",D22)),3,2)))</f>
        <v>83</v>
      </c>
      <c r="G22" s="169">
        <v>7</v>
      </c>
      <c r="H22" s="170">
        <f>IF(AND(VALUE(E22)&gt;0,OR(LEFT(D22,1)="M",LEFT(D22,1)="F")),IF(LEFT(D22,1)="M",Wilks_Men(IF(RIGHT($F$7,4)="(lb)",E22/2.2046,E22)),Wilks_Women(IF(RIGHT($F$7,4)="(lb)",E22/2.2046,E22))),0)</f>
        <v>0.70859998464584351</v>
      </c>
      <c r="I22" s="241">
        <v>31369</v>
      </c>
      <c r="J22" s="128">
        <f ca="1">IF(I22,VLOOKUP(INT((NOW()-I22)/365.25),DATA!$A$2:$B$53,2,TRUE),0)</f>
        <v>1</v>
      </c>
      <c r="K22" s="169">
        <v>13</v>
      </c>
      <c r="L22" s="243">
        <v>147.5</v>
      </c>
      <c r="M22" s="243">
        <v>157.5</v>
      </c>
      <c r="N22" s="243">
        <v>162.5</v>
      </c>
      <c r="O22" s="173">
        <f t="shared" si="21"/>
        <v>162.5</v>
      </c>
      <c r="P22" s="174" t="s">
        <v>270</v>
      </c>
      <c r="Q22" s="243">
        <v>95</v>
      </c>
      <c r="R22" s="243">
        <v>100</v>
      </c>
      <c r="S22" s="243">
        <v>105</v>
      </c>
      <c r="T22" s="173">
        <f t="shared" si="22"/>
        <v>105</v>
      </c>
      <c r="U22" s="173">
        <f t="shared" si="23"/>
        <v>267.5</v>
      </c>
      <c r="V22" s="243">
        <v>195</v>
      </c>
      <c r="W22" s="249">
        <v>-210</v>
      </c>
      <c r="X22" s="243">
        <v>210</v>
      </c>
      <c r="Y22" s="176">
        <f t="shared" si="24"/>
        <v>210</v>
      </c>
      <c r="Z22" s="173">
        <f t="shared" ca="1" si="25"/>
        <v>477.5</v>
      </c>
      <c r="AA22" s="282">
        <f t="shared" ca="1" si="26"/>
        <v>338.35649266839027</v>
      </c>
      <c r="AB22" s="177">
        <f t="shared" ca="1" si="27"/>
        <v>338.35649266839027</v>
      </c>
      <c r="AC22" s="167">
        <f ca="1">OFFSET(Setup!$F$1,MATCH(D22,INDIRECT("Setup!B1:B100"),0)-1,0)</f>
        <v>2</v>
      </c>
      <c r="AD22" s="178" t="str">
        <f t="shared" ca="1" si="28"/>
        <v>13-M-BL-PL</v>
      </c>
      <c r="AE22" s="169" t="s">
        <v>109</v>
      </c>
      <c r="AH22" s="179">
        <f ca="1">AU22*(IF(OR(D22="",E22=""),0,MATCH(D22,INDIRECT("Setup!B1:B100"),0)*100000000+IF(AC22=1,(MATCH(F22,Lists!$I$16:$I$32,0)),0)*1000000+IF(Z22=0,0,IF(AC22=1,AN22*1000,IF(AC22=2,AA22,AB22))+IF(AC22=1,AP22+AQ22/1000,0))))</f>
        <v>1200000338.3564928</v>
      </c>
      <c r="AI22" s="128">
        <f t="shared" ca="1" si="29"/>
        <v>23</v>
      </c>
      <c r="AJ22" s="128">
        <f t="shared" ca="1" si="30"/>
        <v>1200</v>
      </c>
      <c r="AK22" s="128">
        <f t="shared" ca="1" si="31"/>
        <v>11</v>
      </c>
      <c r="AL22" s="128">
        <f t="shared" ca="1" si="32"/>
        <v>13</v>
      </c>
      <c r="AN22" s="180">
        <f t="shared" ca="1" si="33"/>
        <v>13</v>
      </c>
      <c r="AO22" s="180">
        <f t="shared" si="34"/>
        <v>75.599999999999994</v>
      </c>
      <c r="AP22" s="180">
        <f t="shared" ca="1" si="35"/>
        <v>21</v>
      </c>
      <c r="AQ22" s="180">
        <f t="shared" ca="1" si="36"/>
        <v>30</v>
      </c>
      <c r="AU22" s="180">
        <f t="shared" ca="1" si="37"/>
        <v>1</v>
      </c>
      <c r="AW22" s="180"/>
      <c r="AX22" s="182"/>
      <c r="AY22" s="182"/>
      <c r="AZ22" s="182"/>
      <c r="BA22" s="128">
        <f t="shared" si="38"/>
        <v>1</v>
      </c>
      <c r="BB22" s="118">
        <f t="shared" ca="1" si="39"/>
        <v>147.50069999999999</v>
      </c>
      <c r="BL22" s="118">
        <v>1</v>
      </c>
      <c r="BM22" s="118">
        <v>1</v>
      </c>
      <c r="BN22" s="118">
        <v>1</v>
      </c>
      <c r="BO22" s="183">
        <v>43155.511805555558</v>
      </c>
      <c r="BQ22" s="118">
        <v>1</v>
      </c>
      <c r="BR22" s="118">
        <v>1</v>
      </c>
      <c r="BS22" s="118">
        <v>1</v>
      </c>
      <c r="BT22" s="183">
        <v>43155.574895833335</v>
      </c>
      <c r="BV22" s="118">
        <v>1</v>
      </c>
      <c r="BW22" s="118">
        <v>-1</v>
      </c>
      <c r="BX22" s="118">
        <v>1</v>
      </c>
      <c r="BY22" s="183">
        <v>43155.632650462961</v>
      </c>
      <c r="BZ22" s="183">
        <f t="shared" ca="1" si="40"/>
        <v>43155.632650462961</v>
      </c>
      <c r="CA22" s="244">
        <v>0.63334490740740745</v>
      </c>
    </row>
    <row r="23" spans="1:79" ht="19.5" customHeight="1" x14ac:dyDescent="0.2">
      <c r="A23" s="167" t="s">
        <v>25</v>
      </c>
      <c r="B23" s="168" t="s">
        <v>311</v>
      </c>
      <c r="C23" s="168" t="s">
        <v>183</v>
      </c>
      <c r="D23" s="169" t="s">
        <v>222</v>
      </c>
      <c r="E23" s="169">
        <v>81.7</v>
      </c>
      <c r="F23" s="169">
        <f>IF(LEFT(D23,1)="M",VLOOKUP(IF($E$7="Bwt (kg)",E23,E23/2.2046),Lists!$B$16:$D$24,IF(ISERROR(FIND("J",D23)),3,2)),VLOOKUP(IF($E$7="Bwt (kg)",E23,E23/2.2046),Lists!$B$26:$D$33,IF(ISERROR(FIND("J",D23)),3,2)))</f>
        <v>83</v>
      </c>
      <c r="G23" s="169">
        <v>32</v>
      </c>
      <c r="H23" s="170">
        <f>IF(AND(VALUE(E23)&gt;0,OR(LEFT(D23,1)="M",LEFT(D23,1)="F")),IF(LEFT(D23,1)="M",Wilks_Men(IF(RIGHT($F$7,4)="(lb)",E23/2.2046,E23)),Wilks_Women(IF(RIGHT($F$7,4)="(lb)",E23/2.2046,E23))),0)</f>
        <v>0.67390000820159912</v>
      </c>
      <c r="I23" s="241">
        <v>29977</v>
      </c>
      <c r="J23" s="128">
        <f ca="1">IF(I23,VLOOKUP(INT((NOW()-I23)/365.25),DATA!$A$2:$B$53,2,TRUE),0)</f>
        <v>1</v>
      </c>
      <c r="K23" s="169">
        <v>16</v>
      </c>
      <c r="L23" s="243">
        <v>150</v>
      </c>
      <c r="M23" s="246">
        <v>-160</v>
      </c>
      <c r="N23" s="246">
        <v>-160</v>
      </c>
      <c r="O23" s="173">
        <f t="shared" si="21"/>
        <v>150</v>
      </c>
      <c r="P23" s="247" t="s">
        <v>312</v>
      </c>
      <c r="Q23" s="243">
        <v>100</v>
      </c>
      <c r="R23" s="243">
        <v>110</v>
      </c>
      <c r="S23" s="246">
        <v>-115</v>
      </c>
      <c r="T23" s="173">
        <f t="shared" si="22"/>
        <v>110</v>
      </c>
      <c r="U23" s="173">
        <f t="shared" si="23"/>
        <v>260</v>
      </c>
      <c r="V23" s="243">
        <v>230</v>
      </c>
      <c r="W23" s="248">
        <v>245</v>
      </c>
      <c r="X23" s="243">
        <v>255</v>
      </c>
      <c r="Y23" s="176">
        <f t="shared" si="24"/>
        <v>255</v>
      </c>
      <c r="Z23" s="173">
        <f t="shared" ca="1" si="25"/>
        <v>515</v>
      </c>
      <c r="AA23" s="282">
        <f t="shared" ca="1" si="26"/>
        <v>347.05850422382355</v>
      </c>
      <c r="AB23" s="177">
        <f t="shared" ca="1" si="27"/>
        <v>347.05850422382355</v>
      </c>
      <c r="AC23" s="167">
        <f ca="1">OFFSET(Setup!$F$1,MATCH(D23,INDIRECT("Setup!B1:B100"),0)-1,0)</f>
        <v>2</v>
      </c>
      <c r="AD23" s="178" t="str">
        <f t="shared" ca="1" si="28"/>
        <v>10-M-BL-PL</v>
      </c>
      <c r="AE23" s="169" t="s">
        <v>109</v>
      </c>
      <c r="AH23" s="179">
        <f ca="1">AU23*(IF(OR(D23="",E23=""),0,MATCH(D23,INDIRECT("Setup!B1:B100"),0)*100000000+IF(AC23=1,(MATCH(F23,Lists!$I$16:$I$32,0)),0)*1000000+IF(Z23=0,0,IF(AC23=1,AN23*1000,IF(AC23=2,AA23,AB23))+IF(AC23=1,AP23+AQ23/1000,0))))</f>
        <v>1200000347.0585041</v>
      </c>
      <c r="AI23" s="128">
        <f t="shared" ca="1" si="29"/>
        <v>20</v>
      </c>
      <c r="AJ23" s="128">
        <f t="shared" ca="1" si="30"/>
        <v>1200</v>
      </c>
      <c r="AK23" s="128">
        <f t="shared" ca="1" si="31"/>
        <v>11</v>
      </c>
      <c r="AL23" s="128">
        <f t="shared" ca="1" si="32"/>
        <v>10</v>
      </c>
      <c r="AN23" s="180">
        <f t="shared" ca="1" si="33"/>
        <v>16</v>
      </c>
      <c r="AO23" s="180">
        <f t="shared" si="34"/>
        <v>81.7</v>
      </c>
      <c r="AP23" s="180">
        <f t="shared" ca="1" si="35"/>
        <v>15</v>
      </c>
      <c r="AQ23" s="180">
        <f t="shared" ca="1" si="36"/>
        <v>33</v>
      </c>
      <c r="AU23" s="180">
        <f t="shared" ca="1" si="37"/>
        <v>1</v>
      </c>
      <c r="AW23" s="180"/>
      <c r="AX23" s="182"/>
      <c r="AY23" s="182"/>
      <c r="AZ23" s="182"/>
      <c r="BA23" s="128">
        <f t="shared" si="38"/>
        <v>1</v>
      </c>
      <c r="BB23" s="118">
        <f t="shared" ca="1" si="39"/>
        <v>150.00319999999999</v>
      </c>
      <c r="BL23" s="118">
        <v>1</v>
      </c>
      <c r="BM23" s="118">
        <v>-1</v>
      </c>
      <c r="BN23" s="118">
        <v>-1</v>
      </c>
      <c r="BO23" s="183">
        <v>43155.491574074076</v>
      </c>
      <c r="BQ23" s="118">
        <v>1</v>
      </c>
      <c r="BR23" s="118">
        <v>1</v>
      </c>
      <c r="BS23" s="118">
        <v>-1</v>
      </c>
      <c r="BT23" s="183">
        <v>43155.564432870371</v>
      </c>
      <c r="BV23" s="118">
        <v>1</v>
      </c>
      <c r="BW23" s="118">
        <v>1</v>
      </c>
      <c r="BX23" s="118">
        <v>1</v>
      </c>
      <c r="BY23" s="183">
        <v>43155.638206018521</v>
      </c>
      <c r="BZ23" s="183">
        <f t="shared" ca="1" si="40"/>
        <v>43155.638206018521</v>
      </c>
      <c r="CA23" s="244">
        <v>0.63890046296296299</v>
      </c>
    </row>
    <row r="24" spans="1:79" ht="19.5" customHeight="1" x14ac:dyDescent="0.2">
      <c r="A24" s="167" t="s">
        <v>25</v>
      </c>
      <c r="B24" s="168" t="s">
        <v>294</v>
      </c>
      <c r="C24" s="168" t="s">
        <v>183</v>
      </c>
      <c r="D24" s="169" t="s">
        <v>222</v>
      </c>
      <c r="E24" s="169">
        <v>73.95</v>
      </c>
      <c r="F24" s="169">
        <f>IF(LEFT(D24,1)="M",VLOOKUP(IF($E$7="Bwt (kg)",E24,E24/2.2046),Lists!$B$16:$D$24,IF(ISERROR(FIND("J",D24)),3,2)),VLOOKUP(IF($E$7="Bwt (kg)",E24,E24/2.2046),Lists!$B$26:$D$33,IF(ISERROR(FIND("J",D24)),3,2)))</f>
        <v>74</v>
      </c>
      <c r="G24" s="169">
        <v>2</v>
      </c>
      <c r="H24" s="170">
        <f>IF(AND(VALUE(E24)&gt;0,OR(LEFT(D24,1)="M",LEFT(D24,1)="F")),IF(LEFT(D24,1)="M",Wilks_Men(IF(RIGHT($F$7,4)="(lb)",E24/2.2046,E24)),Wilks_Women(IF(RIGHT($F$7,4)="(lb)",E24/2.2046,E24))),0)</f>
        <v>0.71969997882843018</v>
      </c>
      <c r="I24" s="241">
        <v>26930</v>
      </c>
      <c r="J24" s="128">
        <f ca="1">IF(I24,VLOOKUP(INT((NOW()-I24)/365.25),DATA!$A$2:$B$53,2,TRUE),0)</f>
        <v>1.0429999999999999</v>
      </c>
      <c r="K24" s="169">
        <v>12</v>
      </c>
      <c r="L24" s="246">
        <v>-160</v>
      </c>
      <c r="M24" s="243">
        <v>160</v>
      </c>
      <c r="N24" s="246">
        <v>-165</v>
      </c>
      <c r="O24" s="173">
        <f t="shared" si="21"/>
        <v>160</v>
      </c>
      <c r="P24" s="174" t="s">
        <v>295</v>
      </c>
      <c r="Q24" s="243">
        <v>105</v>
      </c>
      <c r="R24" s="246">
        <v>-112.5</v>
      </c>
      <c r="S24" s="246">
        <v>-112.5</v>
      </c>
      <c r="T24" s="173">
        <f t="shared" si="22"/>
        <v>105</v>
      </c>
      <c r="U24" s="173">
        <f t="shared" si="23"/>
        <v>265</v>
      </c>
      <c r="V24" s="243">
        <v>200</v>
      </c>
      <c r="W24" s="248">
        <v>220</v>
      </c>
      <c r="X24" s="246">
        <v>-227.5</v>
      </c>
      <c r="Y24" s="176">
        <f t="shared" si="24"/>
        <v>220</v>
      </c>
      <c r="Z24" s="173">
        <f t="shared" ca="1" si="25"/>
        <v>485</v>
      </c>
      <c r="AA24" s="282">
        <f t="shared" ca="1" si="26"/>
        <v>349.05448973178864</v>
      </c>
      <c r="AB24" s="177">
        <f t="shared" ca="1" si="27"/>
        <v>364.0638327902555</v>
      </c>
      <c r="AC24" s="167">
        <f ca="1">OFFSET(Setup!$F$1,MATCH(D24,INDIRECT("Setup!B1:B100"),0)-1,0)</f>
        <v>2</v>
      </c>
      <c r="AD24" s="178" t="str">
        <f t="shared" ca="1" si="28"/>
        <v>9-M-BL-PL</v>
      </c>
      <c r="AE24" s="169" t="s">
        <v>109</v>
      </c>
      <c r="AH24" s="179">
        <f ca="1">AU24*(IF(OR(D24="",E24=""),0,MATCH(D24,INDIRECT("Setup!B1:B100"),0)*100000000+IF(AC24=1,(MATCH(F24,Lists!$I$16:$I$32,0)),0)*1000000+IF(Z24=0,0,IF(AC24=1,AN24*1000,IF(AC24=2,AA24,AB24))+IF(AC24=1,AP24+AQ24/1000,0))))</f>
        <v>1200000349.0544896</v>
      </c>
      <c r="AI24" s="128">
        <f t="shared" ca="1" si="29"/>
        <v>19</v>
      </c>
      <c r="AJ24" s="128">
        <f t="shared" ca="1" si="30"/>
        <v>1200</v>
      </c>
      <c r="AK24" s="128">
        <f t="shared" ca="1" si="31"/>
        <v>11</v>
      </c>
      <c r="AL24" s="128">
        <f t="shared" ca="1" si="32"/>
        <v>9</v>
      </c>
      <c r="AN24" s="180">
        <f t="shared" ca="1" si="33"/>
        <v>14</v>
      </c>
      <c r="AO24" s="180">
        <f t="shared" si="34"/>
        <v>73.95</v>
      </c>
      <c r="AP24" s="180">
        <f t="shared" ca="1" si="35"/>
        <v>23</v>
      </c>
      <c r="AQ24" s="180">
        <f t="shared" ca="1" si="36"/>
        <v>26</v>
      </c>
      <c r="AU24" s="180">
        <f t="shared" ca="1" si="37"/>
        <v>1</v>
      </c>
      <c r="AW24" s="180"/>
      <c r="AX24" s="182"/>
      <c r="AY24" s="182"/>
      <c r="AZ24" s="182"/>
      <c r="BA24" s="128">
        <f t="shared" si="38"/>
        <v>1</v>
      </c>
      <c r="BB24" s="118">
        <f t="shared" ca="1" si="39"/>
        <v>160.00020000000001</v>
      </c>
      <c r="BL24" s="118">
        <v>-1</v>
      </c>
      <c r="BM24" s="118">
        <v>1</v>
      </c>
      <c r="BN24" s="118">
        <v>-1</v>
      </c>
      <c r="BO24" s="183">
        <v>43155.502256944441</v>
      </c>
      <c r="BQ24" s="118">
        <v>1</v>
      </c>
      <c r="BR24" s="118">
        <v>-1</v>
      </c>
      <c r="BS24" s="118">
        <v>-1</v>
      </c>
      <c r="BT24" s="183">
        <v>43155.553981481484</v>
      </c>
      <c r="BV24" s="118">
        <v>1</v>
      </c>
      <c r="BW24" s="118">
        <v>1</v>
      </c>
      <c r="BX24" s="118">
        <v>-1</v>
      </c>
      <c r="BY24" s="183">
        <v>43155.62641203704</v>
      </c>
      <c r="BZ24" s="183">
        <f t="shared" ca="1" si="40"/>
        <v>43155.62641203704</v>
      </c>
      <c r="CA24" s="244">
        <v>0.63596064814814812</v>
      </c>
    </row>
    <row r="25" spans="1:79" ht="19.5" customHeight="1" x14ac:dyDescent="0.2">
      <c r="A25" s="167" t="s">
        <v>25</v>
      </c>
      <c r="B25" s="168" t="s">
        <v>257</v>
      </c>
      <c r="C25" s="168" t="s">
        <v>183</v>
      </c>
      <c r="D25" s="169" t="s">
        <v>222</v>
      </c>
      <c r="E25" s="169">
        <v>88.65</v>
      </c>
      <c r="F25" s="169">
        <f>IF(LEFT(D25,1)="M",VLOOKUP(IF($E$7="Bwt (kg)",E25,E25/2.2046),Lists!$B$16:$D$24,IF(ISERROR(FIND("J",D25)),3,2)),VLOOKUP(IF($E$7="Bwt (kg)",E25,E25/2.2046),Lists!$B$26:$D$33,IF(ISERROR(FIND("J",D25)),3,2)))</f>
        <v>93</v>
      </c>
      <c r="G25" s="169">
        <v>20</v>
      </c>
      <c r="H25" s="170">
        <f>IF(AND(VALUE(E25)&gt;0,OR(LEFT(D25,1)="M",LEFT(D25,1)="F")),IF(LEFT(D25,1)="M",Wilks_Men(IF(RIGHT($F$7,4)="(lb)",E25/2.2046,E25)),Wilks_Women(IF(RIGHT($F$7,4)="(lb)",E25/2.2046,E25))),0)</f>
        <v>0.64340001344680786</v>
      </c>
      <c r="I25" s="241">
        <v>30208</v>
      </c>
      <c r="J25" s="128">
        <f ca="1">IF(I25,VLOOKUP(INT((NOW()-I25)/365.25),DATA!$A$2:$B$53,2,TRUE),0)</f>
        <v>1</v>
      </c>
      <c r="K25" s="169">
        <v>14</v>
      </c>
      <c r="L25" s="243">
        <v>160</v>
      </c>
      <c r="M25" s="243">
        <v>170</v>
      </c>
      <c r="N25" s="243">
        <v>180</v>
      </c>
      <c r="O25" s="173">
        <f t="shared" si="21"/>
        <v>180</v>
      </c>
      <c r="P25" s="174" t="s">
        <v>304</v>
      </c>
      <c r="Q25" s="243">
        <v>120</v>
      </c>
      <c r="R25" s="243">
        <v>127.5</v>
      </c>
      <c r="S25" s="243">
        <v>135</v>
      </c>
      <c r="T25" s="173">
        <f t="shared" si="22"/>
        <v>135</v>
      </c>
      <c r="U25" s="173">
        <f t="shared" si="23"/>
        <v>315</v>
      </c>
      <c r="V25" s="243">
        <v>185</v>
      </c>
      <c r="W25" s="248">
        <v>215</v>
      </c>
      <c r="X25" s="246">
        <v>-230</v>
      </c>
      <c r="Y25" s="176">
        <f t="shared" si="24"/>
        <v>215</v>
      </c>
      <c r="Z25" s="173">
        <f t="shared" ca="1" si="25"/>
        <v>530</v>
      </c>
      <c r="AA25" s="282">
        <f t="shared" ca="1" si="26"/>
        <v>341.00200712680817</v>
      </c>
      <c r="AB25" s="177">
        <f t="shared" ca="1" si="27"/>
        <v>341.00200712680817</v>
      </c>
      <c r="AC25" s="167">
        <f ca="1">OFFSET(Setup!$F$1,MATCH(D25,INDIRECT("Setup!B1:B100"),0)-1,0)</f>
        <v>2</v>
      </c>
      <c r="AD25" s="178" t="str">
        <f t="shared" ca="1" si="28"/>
        <v>12-M-BL-PL</v>
      </c>
      <c r="AE25" s="169" t="s">
        <v>109</v>
      </c>
      <c r="AH25" s="179">
        <f ca="1">AU25*(IF(OR(D25="",E25=""),0,MATCH(D25,INDIRECT("Setup!B1:B100"),0)*100000000+IF(AC25=1,(MATCH(F25,Lists!$I$16:$I$32,0)),0)*1000000+IF(Z25=0,0,IF(AC25=1,AN25*1000,IF(AC25=2,AA25,AB25))+IF(AC25=1,AP25+AQ25/1000,0))))</f>
        <v>1200000341.002007</v>
      </c>
      <c r="AI25" s="128">
        <f t="shared" ca="1" si="29"/>
        <v>22</v>
      </c>
      <c r="AJ25" s="128">
        <f t="shared" ca="1" si="30"/>
        <v>1200</v>
      </c>
      <c r="AK25" s="128">
        <f t="shared" ca="1" si="31"/>
        <v>11</v>
      </c>
      <c r="AL25" s="128">
        <f t="shared" ca="1" si="32"/>
        <v>12</v>
      </c>
      <c r="AN25" s="180">
        <f t="shared" ca="1" si="33"/>
        <v>18</v>
      </c>
      <c r="AO25" s="180">
        <f t="shared" si="34"/>
        <v>88.65</v>
      </c>
      <c r="AP25" s="180">
        <f t="shared" ca="1" si="35"/>
        <v>11</v>
      </c>
      <c r="AQ25" s="180">
        <f t="shared" ca="1" si="36"/>
        <v>25</v>
      </c>
      <c r="AU25" s="180">
        <f t="shared" ca="1" si="37"/>
        <v>1</v>
      </c>
      <c r="AW25" s="180"/>
      <c r="AX25" s="182"/>
      <c r="AY25" s="182"/>
      <c r="AZ25" s="182"/>
      <c r="BA25" s="128">
        <f t="shared" si="38"/>
        <v>1</v>
      </c>
      <c r="BB25" s="118">
        <f t="shared" ca="1" si="39"/>
        <v>160.00200000000001</v>
      </c>
      <c r="BL25" s="118">
        <v>1</v>
      </c>
      <c r="BM25" s="118">
        <v>1</v>
      </c>
      <c r="BN25" s="118">
        <v>1</v>
      </c>
      <c r="BO25" s="183">
        <v>43155.514918981484</v>
      </c>
      <c r="BQ25" s="118">
        <v>1</v>
      </c>
      <c r="BR25" s="118">
        <v>1</v>
      </c>
      <c r="BS25" s="118">
        <v>1</v>
      </c>
      <c r="BT25" s="183">
        <v>43155.579675925925</v>
      </c>
      <c r="BV25" s="118">
        <v>1</v>
      </c>
      <c r="BW25" s="118">
        <v>1</v>
      </c>
      <c r="BX25" s="118">
        <v>-1</v>
      </c>
      <c r="BY25" s="183">
        <v>43155.625810185185</v>
      </c>
      <c r="BZ25" s="183">
        <f t="shared" ca="1" si="40"/>
        <v>43155.625810185185</v>
      </c>
      <c r="CA25" s="244">
        <v>0.63761574074074068</v>
      </c>
    </row>
    <row r="26" spans="1:79" ht="19.5" customHeight="1" x14ac:dyDescent="0.2">
      <c r="A26" s="167" t="s">
        <v>25</v>
      </c>
      <c r="B26" s="168" t="s">
        <v>302</v>
      </c>
      <c r="C26" s="168" t="s">
        <v>183</v>
      </c>
      <c r="D26" s="169" t="s">
        <v>222</v>
      </c>
      <c r="E26" s="169">
        <v>73</v>
      </c>
      <c r="F26" s="169">
        <f>IF(LEFT(D26,1)="M",VLOOKUP(IF($E$7="Bwt (kg)",E26,E26/2.2046),Lists!$B$16:$D$24,IF(ISERROR(FIND("J",D26)),3,2)),VLOOKUP(IF($E$7="Bwt (kg)",E26,E26/2.2046),Lists!$B$26:$D$33,IF(ISERROR(FIND("J",D26)),3,2)))</f>
        <v>74</v>
      </c>
      <c r="G26" s="169">
        <v>17</v>
      </c>
      <c r="H26" s="170">
        <f>IF(AND(VALUE(E26)&gt;0,OR(LEFT(D26,1)="M",LEFT(D26,1)="F")),IF(LEFT(D26,1)="M",Wilks_Men(IF(RIGHT($F$7,4)="(lb)",E26/2.2046,E26)),Wilks_Women(IF(RIGHT($F$7,4)="(lb)",E26/2.2046,E26))),0)</f>
        <v>0.72640001773834229</v>
      </c>
      <c r="I26" s="241">
        <v>34123</v>
      </c>
      <c r="J26" s="128">
        <f ca="1">IF(I26,VLOOKUP(INT((NOW()-I26)/365.25),DATA!$A$2:$B$53,2,TRUE),0)</f>
        <v>1</v>
      </c>
      <c r="K26" s="169">
        <v>14</v>
      </c>
      <c r="L26" s="243">
        <v>170</v>
      </c>
      <c r="M26" s="246">
        <v>-180</v>
      </c>
      <c r="N26" s="243">
        <v>180</v>
      </c>
      <c r="O26" s="173">
        <f t="shared" si="21"/>
        <v>180</v>
      </c>
      <c r="P26" s="174" t="s">
        <v>299</v>
      </c>
      <c r="Q26" s="243">
        <v>117.5</v>
      </c>
      <c r="R26" s="243">
        <v>125</v>
      </c>
      <c r="S26" s="246">
        <v>-132.5</v>
      </c>
      <c r="T26" s="173">
        <f t="shared" si="22"/>
        <v>125</v>
      </c>
      <c r="U26" s="173">
        <f t="shared" si="23"/>
        <v>305</v>
      </c>
      <c r="V26" s="243">
        <v>215</v>
      </c>
      <c r="W26" s="248">
        <v>222.5</v>
      </c>
      <c r="X26" s="246">
        <v>-227.5</v>
      </c>
      <c r="Y26" s="176">
        <f t="shared" si="24"/>
        <v>222.5</v>
      </c>
      <c r="Z26" s="173">
        <f t="shared" ca="1" si="25"/>
        <v>527.5</v>
      </c>
      <c r="AA26" s="282">
        <f t="shared" ca="1" si="26"/>
        <v>383.17600935697556</v>
      </c>
      <c r="AB26" s="177">
        <f t="shared" ca="1" si="27"/>
        <v>383.17600935697556</v>
      </c>
      <c r="AC26" s="167">
        <f ca="1">OFFSET(Setup!$F$1,MATCH(D26,INDIRECT("Setup!B1:B100"),0)-1,0)</f>
        <v>2</v>
      </c>
      <c r="AD26" s="178" t="str">
        <f t="shared" ca="1" si="28"/>
        <v>5-M-BL-PL</v>
      </c>
      <c r="AE26" s="169" t="s">
        <v>109</v>
      </c>
      <c r="AH26" s="179">
        <f ca="1">AU26*(IF(OR(D26="",E26=""),0,MATCH(D26,INDIRECT("Setup!B1:B100"),0)*100000000+IF(AC26=1,(MATCH(F26,Lists!$I$16:$I$32,0)),0)*1000000+IF(Z26=0,0,IF(AC26=1,AN26*1000,IF(AC26=2,AA26,AB26))+IF(AC26=1,AP26+AQ26/1000,0))))</f>
        <v>1200000383.1760094</v>
      </c>
      <c r="AI26" s="128">
        <f t="shared" ca="1" si="29"/>
        <v>15</v>
      </c>
      <c r="AJ26" s="128">
        <f t="shared" ca="1" si="30"/>
        <v>1200</v>
      </c>
      <c r="AK26" s="128">
        <f t="shared" ca="1" si="31"/>
        <v>11</v>
      </c>
      <c r="AL26" s="128">
        <f t="shared" ca="1" si="32"/>
        <v>5</v>
      </c>
      <c r="AN26" s="180">
        <f t="shared" ca="1" si="33"/>
        <v>17</v>
      </c>
      <c r="AO26" s="180">
        <f t="shared" si="34"/>
        <v>73</v>
      </c>
      <c r="AP26" s="180">
        <f t="shared" ca="1" si="35"/>
        <v>26</v>
      </c>
      <c r="AQ26" s="180">
        <f t="shared" ca="1" si="36"/>
        <v>28</v>
      </c>
      <c r="AU26" s="180">
        <f t="shared" ca="1" si="37"/>
        <v>1</v>
      </c>
      <c r="AW26" s="180"/>
      <c r="AX26" s="182"/>
      <c r="AY26" s="182"/>
      <c r="AZ26" s="182"/>
      <c r="BA26" s="128">
        <f t="shared" si="38"/>
        <v>1</v>
      </c>
      <c r="BB26" s="118">
        <f t="shared" ca="1" si="39"/>
        <v>170.0017</v>
      </c>
      <c r="BL26" s="118">
        <v>1</v>
      </c>
      <c r="BM26" s="118">
        <v>-1</v>
      </c>
      <c r="BN26" s="118">
        <v>1</v>
      </c>
      <c r="BO26" s="183">
        <v>43155.51421296296</v>
      </c>
      <c r="BQ26" s="118">
        <v>1</v>
      </c>
      <c r="BR26" s="118">
        <v>1</v>
      </c>
      <c r="BS26" s="118">
        <v>-1</v>
      </c>
      <c r="BT26" s="183">
        <v>43155.567708333336</v>
      </c>
      <c r="BV26" s="118">
        <v>1</v>
      </c>
      <c r="BW26" s="118">
        <v>1</v>
      </c>
      <c r="BX26" s="118">
        <v>-1</v>
      </c>
      <c r="BY26" s="183">
        <v>43155.627662037034</v>
      </c>
      <c r="BZ26" s="183">
        <f t="shared" ca="1" si="40"/>
        <v>43155.627662037034</v>
      </c>
      <c r="CA26" s="244">
        <v>0.63655092592592599</v>
      </c>
    </row>
    <row r="27" spans="1:79" ht="19.5" customHeight="1" x14ac:dyDescent="0.2">
      <c r="A27" s="167" t="s">
        <v>25</v>
      </c>
      <c r="B27" s="168" t="s">
        <v>308</v>
      </c>
      <c r="C27" s="168" t="s">
        <v>183</v>
      </c>
      <c r="D27" s="169" t="s">
        <v>222</v>
      </c>
      <c r="E27" s="169">
        <v>73.2</v>
      </c>
      <c r="F27" s="169">
        <f>IF(LEFT(D27,1)="M",VLOOKUP(IF($E$7="Bwt (kg)",E27,E27/2.2046),Lists!$B$16:$D$24,IF(ISERROR(FIND("J",D27)),3,2)),VLOOKUP(IF($E$7="Bwt (kg)",E27,E27/2.2046),Lists!$B$26:$D$33,IF(ISERROR(FIND("J",D27)),3,2)))</f>
        <v>74</v>
      </c>
      <c r="G27" s="169">
        <v>28</v>
      </c>
      <c r="H27" s="170">
        <f>IF(AND(VALUE(E27)&gt;0,OR(LEFT(D27,1)="M",LEFT(D27,1)="F")),IF(LEFT(D27,1)="M",Wilks_Men(IF(RIGHT($F$7,4)="(lb)",E27/2.2046,E27)),Wilks_Women(IF(RIGHT($F$7,4)="(lb)",E27/2.2046,E27))),0)</f>
        <v>0.7249000072479248</v>
      </c>
      <c r="I27" s="241">
        <v>35370</v>
      </c>
      <c r="J27" s="128">
        <f ca="1">IF(I27,VLOOKUP(INT((NOW()-I27)/365.25),DATA!$A$2:$B$53,2,TRUE),0)</f>
        <v>1.02</v>
      </c>
      <c r="K27" s="169">
        <v>13</v>
      </c>
      <c r="L27" s="243">
        <v>175</v>
      </c>
      <c r="M27" s="246">
        <v>-182.5</v>
      </c>
      <c r="N27" s="246">
        <v>-182.5</v>
      </c>
      <c r="O27" s="173">
        <f t="shared" si="21"/>
        <v>175</v>
      </c>
      <c r="P27" s="174" t="s">
        <v>309</v>
      </c>
      <c r="Q27" s="243">
        <v>110</v>
      </c>
      <c r="R27" s="243">
        <v>117.5</v>
      </c>
      <c r="S27" s="246">
        <v>-125</v>
      </c>
      <c r="T27" s="173">
        <f t="shared" si="22"/>
        <v>117.5</v>
      </c>
      <c r="U27" s="173">
        <f t="shared" si="23"/>
        <v>292.5</v>
      </c>
      <c r="V27" s="243">
        <v>200</v>
      </c>
      <c r="W27" s="248">
        <v>210</v>
      </c>
      <c r="X27" s="246">
        <v>-215</v>
      </c>
      <c r="Y27" s="176">
        <f t="shared" si="24"/>
        <v>210</v>
      </c>
      <c r="Z27" s="173">
        <f t="shared" ca="1" si="25"/>
        <v>502.5</v>
      </c>
      <c r="AA27" s="282">
        <f t="shared" ca="1" si="26"/>
        <v>364.26225364208221</v>
      </c>
      <c r="AB27" s="177">
        <f t="shared" ca="1" si="27"/>
        <v>371.54749871492385</v>
      </c>
      <c r="AC27" s="167">
        <f ca="1">OFFSET(Setup!$F$1,MATCH(D27,INDIRECT("Setup!B1:B100"),0)-1,0)</f>
        <v>2</v>
      </c>
      <c r="AD27" s="178" t="str">
        <f t="shared" ca="1" si="28"/>
        <v>7-M-BL-PL</v>
      </c>
      <c r="AE27" s="169" t="s">
        <v>109</v>
      </c>
      <c r="AH27" s="179">
        <f ca="1">AU27*(IF(OR(D27="",E27=""),0,MATCH(D27,INDIRECT("Setup!B1:B100"),0)*100000000+IF(AC27=1,(MATCH(F27,Lists!$I$16:$I$32,0)),0)*1000000+IF(Z27=0,0,IF(AC27=1,AN27*1000,IF(AC27=2,AA27,AB27))+IF(AC27=1,AP27+AQ27/1000,0))))</f>
        <v>1200000364.2622538</v>
      </c>
      <c r="AI27" s="128">
        <f t="shared" ca="1" si="29"/>
        <v>17</v>
      </c>
      <c r="AJ27" s="128">
        <f t="shared" ca="1" si="30"/>
        <v>1200</v>
      </c>
      <c r="AK27" s="128">
        <f t="shared" ca="1" si="31"/>
        <v>11</v>
      </c>
      <c r="AL27" s="128">
        <f t="shared" ca="1" si="32"/>
        <v>7</v>
      </c>
      <c r="AN27" s="180">
        <f t="shared" ca="1" si="33"/>
        <v>15</v>
      </c>
      <c r="AO27" s="180">
        <f t="shared" si="34"/>
        <v>73.2</v>
      </c>
      <c r="AP27" s="180">
        <f t="shared" ca="1" si="35"/>
        <v>24</v>
      </c>
      <c r="AQ27" s="180">
        <f t="shared" ca="1" si="36"/>
        <v>24</v>
      </c>
      <c r="AU27" s="180">
        <f t="shared" ca="1" si="37"/>
        <v>1</v>
      </c>
      <c r="AW27" s="180"/>
      <c r="AX27" s="182"/>
      <c r="AY27" s="182"/>
      <c r="AZ27" s="182"/>
      <c r="BA27" s="128">
        <f t="shared" si="38"/>
        <v>1</v>
      </c>
      <c r="BB27" s="118">
        <f t="shared" ca="1" si="39"/>
        <v>175.00280000000001</v>
      </c>
      <c r="BL27" s="118">
        <v>1</v>
      </c>
      <c r="BM27" s="118">
        <v>-1</v>
      </c>
      <c r="BN27" s="118">
        <v>-1</v>
      </c>
      <c r="BO27" s="183">
        <v>43155.494710648149</v>
      </c>
      <c r="BQ27" s="118">
        <v>1</v>
      </c>
      <c r="BR27" s="118">
        <v>1</v>
      </c>
      <c r="BS27" s="118">
        <v>-1</v>
      </c>
      <c r="BT27" s="183">
        <v>43155.566168981481</v>
      </c>
      <c r="BV27" s="118">
        <v>1</v>
      </c>
      <c r="BW27" s="118">
        <v>1</v>
      </c>
      <c r="BX27" s="118">
        <v>-1</v>
      </c>
      <c r="BY27" s="183">
        <v>43155.624548611115</v>
      </c>
      <c r="BZ27" s="183">
        <f t="shared" ca="1" si="40"/>
        <v>43155.624548611115</v>
      </c>
      <c r="CA27" s="244">
        <v>0.63391203703703702</v>
      </c>
    </row>
    <row r="28" spans="1:79" ht="19.5" customHeight="1" x14ac:dyDescent="0.2">
      <c r="A28" s="167" t="s">
        <v>25</v>
      </c>
      <c r="B28" s="168" t="s">
        <v>298</v>
      </c>
      <c r="C28" s="168" t="s">
        <v>213</v>
      </c>
      <c r="D28" s="169" t="s">
        <v>222</v>
      </c>
      <c r="E28" s="169">
        <v>92.5</v>
      </c>
      <c r="F28" s="169">
        <f>IF(LEFT(D28,1)="M",VLOOKUP(IF($E$7="Bwt (kg)",E28,E28/2.2046),Lists!$B$16:$D$24,IF(ISERROR(FIND("J",D28)),3,2)),VLOOKUP(IF($E$7="Bwt (kg)",E28,E28/2.2046),Lists!$B$26:$D$33,IF(ISERROR(FIND("J",D28)),3,2)))</f>
        <v>93</v>
      </c>
      <c r="G28" s="169">
        <v>5</v>
      </c>
      <c r="H28" s="170">
        <f>IF(AND(VALUE(E28)&gt;0,OR(LEFT(D28,1)="M",LEFT(D28,1)="F")),IF(LEFT(D28,1)="M",Wilks_Men(IF(RIGHT($F$7,4)="(lb)",E28/2.2046,E28)),Wilks_Women(IF(RIGHT($F$7,4)="(lb)",E28/2.2046,E28))),0)</f>
        <v>0.62980002164840698</v>
      </c>
      <c r="I28" s="241">
        <v>34095</v>
      </c>
      <c r="J28" s="128">
        <f ca="1">IF(I28,VLOOKUP(INT((NOW()-I28)/365.25),DATA!$A$2:$B$53,2,TRUE),0)</f>
        <v>1</v>
      </c>
      <c r="K28" s="169">
        <v>13</v>
      </c>
      <c r="L28" s="243">
        <v>180</v>
      </c>
      <c r="M28" s="243">
        <v>190</v>
      </c>
      <c r="N28" s="243">
        <v>200</v>
      </c>
      <c r="O28" s="173">
        <f t="shared" si="21"/>
        <v>200</v>
      </c>
      <c r="P28" s="174" t="s">
        <v>299</v>
      </c>
      <c r="Q28" s="246">
        <v>-115</v>
      </c>
      <c r="R28" s="243">
        <v>120</v>
      </c>
      <c r="S28" s="246">
        <v>-125</v>
      </c>
      <c r="T28" s="173">
        <f t="shared" si="22"/>
        <v>120</v>
      </c>
      <c r="U28" s="173">
        <f t="shared" si="23"/>
        <v>320</v>
      </c>
      <c r="V28" s="243">
        <v>220</v>
      </c>
      <c r="W28" s="248">
        <v>225</v>
      </c>
      <c r="X28" s="243">
        <v>230</v>
      </c>
      <c r="Y28" s="176">
        <f t="shared" si="24"/>
        <v>230</v>
      </c>
      <c r="Z28" s="173">
        <f t="shared" ca="1" si="25"/>
        <v>550</v>
      </c>
      <c r="AA28" s="282">
        <f t="shared" ca="1" si="26"/>
        <v>346.39001190662384</v>
      </c>
      <c r="AB28" s="177">
        <f t="shared" ca="1" si="27"/>
        <v>346.39001190662384</v>
      </c>
      <c r="AC28" s="167">
        <f ca="1">OFFSET(Setup!$F$1,MATCH(D28,INDIRECT("Setup!B1:B100"),0)-1,0)</f>
        <v>2</v>
      </c>
      <c r="AD28" s="178" t="str">
        <f t="shared" ca="1" si="28"/>
        <v>11-M-BL-PL</v>
      </c>
      <c r="AE28" s="169" t="s">
        <v>109</v>
      </c>
      <c r="AH28" s="179">
        <f ca="1">AU28*(IF(OR(D28="",E28=""),0,MATCH(D28,INDIRECT("Setup!B1:B100"),0)*100000000+IF(AC28=1,(MATCH(F28,Lists!$I$16:$I$32,0)),0)*1000000+IF(Z28=0,0,IF(AC28=1,AN28*1000,IF(AC28=2,AA28,AB28))+IF(AC28=1,AP28+AQ28/1000,0))))</f>
        <v>1200000346.3900118</v>
      </c>
      <c r="AI28" s="128">
        <f t="shared" ca="1" si="29"/>
        <v>21</v>
      </c>
      <c r="AJ28" s="128">
        <f t="shared" ca="1" si="30"/>
        <v>1200</v>
      </c>
      <c r="AK28" s="128">
        <f t="shared" ca="1" si="31"/>
        <v>11</v>
      </c>
      <c r="AL28" s="128">
        <f t="shared" ca="1" si="32"/>
        <v>11</v>
      </c>
      <c r="AN28" s="180">
        <f t="shared" ca="1" si="33"/>
        <v>21</v>
      </c>
      <c r="AO28" s="180">
        <f t="shared" si="34"/>
        <v>92.5</v>
      </c>
      <c r="AP28" s="180">
        <f t="shared" ca="1" si="35"/>
        <v>8</v>
      </c>
      <c r="AQ28" s="180">
        <f t="shared" ca="1" si="36"/>
        <v>31</v>
      </c>
      <c r="AU28" s="180">
        <f t="shared" ca="1" si="37"/>
        <v>1</v>
      </c>
      <c r="AW28" s="180"/>
      <c r="AX28" s="182"/>
      <c r="AY28" s="182"/>
      <c r="AZ28" s="182"/>
      <c r="BA28" s="128">
        <f t="shared" si="38"/>
        <v>1</v>
      </c>
      <c r="BB28" s="118">
        <f t="shared" ca="1" si="39"/>
        <v>180.00049999999999</v>
      </c>
      <c r="BL28" s="118">
        <v>1</v>
      </c>
      <c r="BM28" s="118">
        <v>1</v>
      </c>
      <c r="BN28" s="118">
        <v>1</v>
      </c>
      <c r="BO28" s="183">
        <v>43155.516226851854</v>
      </c>
      <c r="BQ28" s="118">
        <v>-1</v>
      </c>
      <c r="BR28" s="118">
        <v>1</v>
      </c>
      <c r="BS28" s="118">
        <v>-1</v>
      </c>
      <c r="BT28" s="183">
        <v>43155.566782407404</v>
      </c>
      <c r="BV28" s="118">
        <v>1</v>
      </c>
      <c r="BW28" s="118">
        <v>1</v>
      </c>
      <c r="BX28" s="118">
        <v>1</v>
      </c>
      <c r="BY28" s="183">
        <v>43155.636458333334</v>
      </c>
      <c r="BZ28" s="183">
        <f t="shared" ca="1" si="40"/>
        <v>43155.636458333334</v>
      </c>
      <c r="CA28" s="244">
        <v>0.63715277777777779</v>
      </c>
    </row>
    <row r="29" spans="1:79" ht="19.5" customHeight="1" x14ac:dyDescent="0.2">
      <c r="A29" s="167" t="s">
        <v>25</v>
      </c>
      <c r="B29" s="168" t="s">
        <v>255</v>
      </c>
      <c r="C29" s="168" t="s">
        <v>183</v>
      </c>
      <c r="D29" s="169" t="s">
        <v>222</v>
      </c>
      <c r="E29" s="169">
        <v>73.2</v>
      </c>
      <c r="F29" s="169">
        <f>IF(LEFT(D29,1)="M",VLOOKUP(IF($E$7="Bwt (kg)",E29,E29/2.2046),Lists!$B$16:$D$24,IF(ISERROR(FIND("J",D29)),3,2)),VLOOKUP(IF($E$7="Bwt (kg)",E29,E29/2.2046),Lists!$B$26:$D$33,IF(ISERROR(FIND("J",D29)),3,2)))</f>
        <v>74</v>
      </c>
      <c r="G29" s="169">
        <v>26</v>
      </c>
      <c r="H29" s="170">
        <f>IF(AND(VALUE(E29)&gt;0,OR(LEFT(D29,1)="M",LEFT(D29,1)="F")),IF(LEFT(D29,1)="M",Wilks_Men(IF(RIGHT($F$7,4)="(lb)",E29/2.2046,E29)),Wilks_Women(IF(RIGHT($F$7,4)="(lb)",E29/2.2046,E29))),0)</f>
        <v>0.7249000072479248</v>
      </c>
      <c r="I29" s="241">
        <v>32008</v>
      </c>
      <c r="J29" s="128">
        <f ca="1">IF(I29,VLOOKUP(INT((NOW()-I29)/365.25),DATA!$A$2:$B$53,2,TRUE),0)</f>
        <v>1</v>
      </c>
      <c r="K29" s="169">
        <v>13</v>
      </c>
      <c r="L29" s="243">
        <v>185</v>
      </c>
      <c r="M29" s="243">
        <v>195</v>
      </c>
      <c r="N29" s="243">
        <v>200</v>
      </c>
      <c r="O29" s="173">
        <f t="shared" si="21"/>
        <v>200</v>
      </c>
      <c r="P29" s="174" t="s">
        <v>270</v>
      </c>
      <c r="Q29" s="243">
        <v>122.5</v>
      </c>
      <c r="R29" s="246">
        <v>-127.5</v>
      </c>
      <c r="S29" s="243">
        <v>127.5</v>
      </c>
      <c r="T29" s="173">
        <f t="shared" si="22"/>
        <v>127.5</v>
      </c>
      <c r="U29" s="173">
        <f t="shared" si="23"/>
        <v>327.5</v>
      </c>
      <c r="V29" s="243">
        <v>205</v>
      </c>
      <c r="W29" s="248">
        <v>220</v>
      </c>
      <c r="X29" s="246">
        <v>-225</v>
      </c>
      <c r="Y29" s="176">
        <f t="shared" si="24"/>
        <v>220</v>
      </c>
      <c r="Z29" s="173">
        <f t="shared" ca="1" si="25"/>
        <v>547.5</v>
      </c>
      <c r="AA29" s="282">
        <f t="shared" ca="1" si="26"/>
        <v>396.88275396823883</v>
      </c>
      <c r="AB29" s="177">
        <f t="shared" ca="1" si="27"/>
        <v>396.88275396823883</v>
      </c>
      <c r="AC29" s="167">
        <f ca="1">OFFSET(Setup!$F$1,MATCH(D29,INDIRECT("Setup!B1:B100"),0)-1,0)</f>
        <v>2</v>
      </c>
      <c r="AD29" s="178" t="str">
        <f t="shared" ca="1" si="28"/>
        <v>4-M-BL-PL</v>
      </c>
      <c r="AE29" s="169" t="s">
        <v>109</v>
      </c>
      <c r="AH29" s="179">
        <f ca="1">AU29*(IF(OR(D29="",E29=""),0,MATCH(D29,INDIRECT("Setup!B1:B100"),0)*100000000+IF(AC29=1,(MATCH(F29,Lists!$I$16:$I$32,0)),0)*1000000+IF(Z29=0,0,IF(AC29=1,AN29*1000,IF(AC29=2,AA29,AB29))+IF(AC29=1,AP29+AQ29/1000,0))))</f>
        <v>1200000396.8827538</v>
      </c>
      <c r="AI29" s="128">
        <f t="shared" ca="1" si="29"/>
        <v>14</v>
      </c>
      <c r="AJ29" s="128">
        <f t="shared" ca="1" si="30"/>
        <v>1200</v>
      </c>
      <c r="AK29" s="128">
        <f t="shared" ca="1" si="31"/>
        <v>11</v>
      </c>
      <c r="AL29" s="128">
        <f t="shared" ca="1" si="32"/>
        <v>4</v>
      </c>
      <c r="AN29" s="180">
        <f t="shared" ca="1" si="33"/>
        <v>20</v>
      </c>
      <c r="AO29" s="180">
        <f t="shared" si="34"/>
        <v>73.2</v>
      </c>
      <c r="AP29" s="180">
        <f t="shared" ca="1" si="35"/>
        <v>24</v>
      </c>
      <c r="AQ29" s="180">
        <f t="shared" ca="1" si="36"/>
        <v>27</v>
      </c>
      <c r="AU29" s="180">
        <f t="shared" ca="1" si="37"/>
        <v>1</v>
      </c>
      <c r="AW29" s="180"/>
      <c r="AX29" s="182"/>
      <c r="AY29" s="182"/>
      <c r="AZ29" s="182"/>
      <c r="BA29" s="128">
        <f t="shared" si="38"/>
        <v>1</v>
      </c>
      <c r="BB29" s="118">
        <f t="shared" ca="1" si="39"/>
        <v>185.0026</v>
      </c>
      <c r="BL29" s="118">
        <v>1</v>
      </c>
      <c r="BM29" s="118">
        <v>1</v>
      </c>
      <c r="BN29" s="118">
        <v>1</v>
      </c>
      <c r="BO29" s="183">
        <v>43155.516712962963</v>
      </c>
      <c r="BQ29" s="118">
        <v>1</v>
      </c>
      <c r="BR29" s="118">
        <v>-1</v>
      </c>
      <c r="BS29" s="118">
        <v>1</v>
      </c>
      <c r="BT29" s="183">
        <v>43155.578333333331</v>
      </c>
      <c r="BV29" s="118">
        <v>1</v>
      </c>
      <c r="BW29" s="118">
        <v>1</v>
      </c>
      <c r="BX29" s="118">
        <v>-1</v>
      </c>
      <c r="BY29" s="183">
        <v>43155.627002314817</v>
      </c>
      <c r="BZ29" s="183">
        <f t="shared" ca="1" si="40"/>
        <v>43155.627002314817</v>
      </c>
      <c r="CA29" s="244">
        <v>0.63490740740740736</v>
      </c>
    </row>
    <row r="30" spans="1:79" ht="19.5" customHeight="1" x14ac:dyDescent="0.2">
      <c r="A30" s="167" t="s">
        <v>25</v>
      </c>
      <c r="B30" s="168" t="s">
        <v>303</v>
      </c>
      <c r="C30" s="168" t="s">
        <v>183</v>
      </c>
      <c r="D30" s="169" t="s">
        <v>222</v>
      </c>
      <c r="E30" s="169">
        <v>115.15</v>
      </c>
      <c r="F30" s="169">
        <f>IF(LEFT(D30,1)="M",VLOOKUP(IF($E$7="Bwt (kg)",E30,E30/2.2046),Lists!$B$16:$D$24,IF(ISERROR(FIND("J",D30)),3,2)),VLOOKUP(IF($E$7="Bwt (kg)",E30,E30/2.2046),Lists!$B$26:$D$33,IF(ISERROR(FIND("J",D30)),3,2)))</f>
        <v>120</v>
      </c>
      <c r="G30" s="169">
        <v>18</v>
      </c>
      <c r="H30" s="170">
        <f>IF(AND(VALUE(E30)&gt;0,OR(LEFT(D30,1)="M",LEFT(D30,1)="F")),IF(LEFT(D30,1)="M",Wilks_Men(IF(RIGHT($F$7,4)="(lb)",E30/2.2046,E30)),Wilks_Women(IF(RIGHT($F$7,4)="(lb)",E30/2.2046,E30))),0)</f>
        <v>0.58079999685287476</v>
      </c>
      <c r="I30" s="241">
        <v>33760</v>
      </c>
      <c r="J30" s="128">
        <f ca="1">IF(I30,VLOOKUP(INT((NOW()-I30)/365.25),DATA!$A$2:$B$53,2,TRUE),0)</f>
        <v>1</v>
      </c>
      <c r="K30" s="169">
        <v>21</v>
      </c>
      <c r="L30" s="243">
        <v>190</v>
      </c>
      <c r="M30" s="243">
        <v>197.5</v>
      </c>
      <c r="N30" s="243">
        <v>210</v>
      </c>
      <c r="O30" s="173">
        <f t="shared" si="21"/>
        <v>210</v>
      </c>
      <c r="P30" s="174" t="s">
        <v>297</v>
      </c>
      <c r="Q30" s="243">
        <v>155</v>
      </c>
      <c r="R30" s="243">
        <v>162.5</v>
      </c>
      <c r="S30" s="246">
        <v>-170</v>
      </c>
      <c r="T30" s="173">
        <f t="shared" si="22"/>
        <v>162.5</v>
      </c>
      <c r="U30" s="173">
        <f t="shared" si="23"/>
        <v>372.5</v>
      </c>
      <c r="V30" s="243">
        <v>240</v>
      </c>
      <c r="W30" s="248">
        <v>255</v>
      </c>
      <c r="X30" s="243">
        <v>265</v>
      </c>
      <c r="Y30" s="176">
        <f t="shared" si="24"/>
        <v>265</v>
      </c>
      <c r="Z30" s="173">
        <f t="shared" ca="1" si="25"/>
        <v>637.5</v>
      </c>
      <c r="AA30" s="282">
        <f t="shared" ca="1" si="26"/>
        <v>370.25999799370766</v>
      </c>
      <c r="AB30" s="177">
        <f t="shared" ca="1" si="27"/>
        <v>370.25999799370766</v>
      </c>
      <c r="AC30" s="167">
        <f ca="1">OFFSET(Setup!$F$1,MATCH(D30,INDIRECT("Setup!B1:B100"),0)-1,0)</f>
        <v>2</v>
      </c>
      <c r="AD30" s="178" t="str">
        <f t="shared" ca="1" si="28"/>
        <v>6-M-BL-PL</v>
      </c>
      <c r="AE30" s="169" t="s">
        <v>109</v>
      </c>
      <c r="AH30" s="179">
        <f ca="1">AU30*(IF(OR(D30="",E30=""),0,MATCH(D30,INDIRECT("Setup!B1:B100"),0)*100000000+IF(AC30=1,(MATCH(F30,Lists!$I$16:$I$32,0)),0)*1000000+IF(Z30=0,0,IF(AC30=1,AN30*1000,IF(AC30=2,AA30,AB30))+IF(AC30=1,AP30+AQ30/1000,0))))</f>
        <v>1200000370.2599981</v>
      </c>
      <c r="AI30" s="128">
        <f t="shared" ca="1" si="29"/>
        <v>16</v>
      </c>
      <c r="AJ30" s="128">
        <f t="shared" ca="1" si="30"/>
        <v>1200</v>
      </c>
      <c r="AK30" s="128">
        <f t="shared" ca="1" si="31"/>
        <v>11</v>
      </c>
      <c r="AL30" s="128">
        <f t="shared" ca="1" si="32"/>
        <v>6</v>
      </c>
      <c r="AN30" s="180">
        <f t="shared" ca="1" si="33"/>
        <v>23</v>
      </c>
      <c r="AO30" s="180">
        <f t="shared" si="34"/>
        <v>115.15</v>
      </c>
      <c r="AP30" s="180">
        <f t="shared" ca="1" si="35"/>
        <v>4</v>
      </c>
      <c r="AQ30" s="180">
        <f t="shared" ca="1" si="36"/>
        <v>34</v>
      </c>
      <c r="AU30" s="180">
        <f t="shared" ca="1" si="37"/>
        <v>1</v>
      </c>
      <c r="AW30" s="180"/>
      <c r="AX30" s="182"/>
      <c r="AY30" s="182"/>
      <c r="AZ30" s="182"/>
      <c r="BA30" s="128">
        <f t="shared" si="38"/>
        <v>1</v>
      </c>
      <c r="BB30" s="118">
        <f t="shared" ca="1" si="39"/>
        <v>190.0018</v>
      </c>
      <c r="BL30" s="118">
        <v>1</v>
      </c>
      <c r="BM30" s="118">
        <v>1</v>
      </c>
      <c r="BN30" s="118">
        <v>1</v>
      </c>
      <c r="BO30" s="183">
        <v>43155.517592592594</v>
      </c>
      <c r="BQ30" s="118">
        <v>1</v>
      </c>
      <c r="BR30" s="118">
        <v>1</v>
      </c>
      <c r="BS30" s="118">
        <v>-1</v>
      </c>
      <c r="BT30" s="183">
        <v>43155.572337962964</v>
      </c>
      <c r="BV30" s="118">
        <v>1</v>
      </c>
      <c r="BW30" s="118">
        <v>1</v>
      </c>
      <c r="BX30" s="118">
        <v>1</v>
      </c>
      <c r="BY30" s="183">
        <v>43155.639513888891</v>
      </c>
      <c r="BZ30" s="183">
        <f t="shared" ca="1" si="40"/>
        <v>43155.639513888891</v>
      </c>
      <c r="CA30" s="244">
        <v>0.64020833333333338</v>
      </c>
    </row>
    <row r="31" spans="1:79" ht="19.5" customHeight="1" x14ac:dyDescent="0.2">
      <c r="A31" s="167" t="s">
        <v>25</v>
      </c>
      <c r="B31" s="168" t="s">
        <v>305</v>
      </c>
      <c r="C31" s="168" t="s">
        <v>213</v>
      </c>
      <c r="D31" s="169" t="s">
        <v>222</v>
      </c>
      <c r="E31" s="169">
        <v>118.6</v>
      </c>
      <c r="F31" s="169">
        <f>IF(LEFT(D31,1)="M",VLOOKUP(IF($E$7="Bwt (kg)",E31,E31/2.2046),Lists!$B$16:$D$24,IF(ISERROR(FIND("J",D31)),3,2)),VLOOKUP(IF($E$7="Bwt (kg)",E31,E31/2.2046),Lists!$B$26:$D$33,IF(ISERROR(FIND("J",D31)),3,2)))</f>
        <v>120</v>
      </c>
      <c r="G31" s="169">
        <v>23</v>
      </c>
      <c r="H31" s="170">
        <f>IF(AND(VALUE(E31)&gt;0,OR(LEFT(D31,1)="M",LEFT(D31,1)="F")),IF(LEFT(D31,1)="M",Wilks_Men(IF(RIGHT($F$7,4)="(lb)",E31/2.2046,E31)),Wilks_Women(IF(RIGHT($F$7,4)="(lb)",E31/2.2046,E31))),0)</f>
        <v>0.57649999856948853</v>
      </c>
      <c r="I31" s="241">
        <v>30711</v>
      </c>
      <c r="J31" s="128">
        <f ca="1">IF(I31,VLOOKUP(INT((NOW()-I31)/365.25),DATA!$A$2:$B$53,2,TRUE),0)</f>
        <v>1</v>
      </c>
      <c r="K31" s="169">
        <v>17</v>
      </c>
      <c r="L31" s="246">
        <v>-210</v>
      </c>
      <c r="M31" s="243">
        <v>210</v>
      </c>
      <c r="N31" s="243">
        <v>220</v>
      </c>
      <c r="O31" s="173">
        <f t="shared" si="21"/>
        <v>220</v>
      </c>
      <c r="P31" s="174" t="s">
        <v>304</v>
      </c>
      <c r="Q31" s="243">
        <v>150</v>
      </c>
      <c r="R31" s="243">
        <v>160</v>
      </c>
      <c r="S31" s="243">
        <v>165</v>
      </c>
      <c r="T31" s="173">
        <f t="shared" si="22"/>
        <v>165</v>
      </c>
      <c r="U31" s="173">
        <f t="shared" si="23"/>
        <v>385</v>
      </c>
      <c r="V31" s="243">
        <v>240</v>
      </c>
      <c r="W31" s="249">
        <v>-260</v>
      </c>
      <c r="X31" s="246">
        <v>-260</v>
      </c>
      <c r="Y31" s="176">
        <f t="shared" si="24"/>
        <v>240</v>
      </c>
      <c r="Z31" s="173">
        <f t="shared" ca="1" si="25"/>
        <v>625</v>
      </c>
      <c r="AA31" s="282">
        <f t="shared" ca="1" si="26"/>
        <v>360.31249910593033</v>
      </c>
      <c r="AB31" s="177">
        <f t="shared" ca="1" si="27"/>
        <v>360.31249910593033</v>
      </c>
      <c r="AC31" s="167">
        <f ca="1">OFFSET(Setup!$F$1,MATCH(D31,INDIRECT("Setup!B1:B100"),0)-1,0)</f>
        <v>2</v>
      </c>
      <c r="AD31" s="178" t="str">
        <f t="shared" ca="1" si="28"/>
        <v>8-M-BL-PL</v>
      </c>
      <c r="AE31" s="169" t="s">
        <v>109</v>
      </c>
      <c r="AH31" s="179">
        <f ca="1">AU31*(IF(OR(D31="",E31=""),0,MATCH(D31,INDIRECT("Setup!B1:B100"),0)*100000000+IF(AC31=1,(MATCH(F31,Lists!$I$16:$I$32,0)),0)*1000000+IF(Z31=0,0,IF(AC31=1,AN31*1000,IF(AC31=2,AA31,AB31))+IF(AC31=1,AP31+AQ31/1000,0))))</f>
        <v>1200000360.312499</v>
      </c>
      <c r="AI31" s="128">
        <f t="shared" ca="1" si="29"/>
        <v>18</v>
      </c>
      <c r="AJ31" s="128">
        <f t="shared" ca="1" si="30"/>
        <v>1200</v>
      </c>
      <c r="AK31" s="128">
        <f t="shared" ca="1" si="31"/>
        <v>11</v>
      </c>
      <c r="AL31" s="128">
        <f t="shared" ca="1" si="32"/>
        <v>8</v>
      </c>
      <c r="AN31" s="180">
        <f t="shared" ca="1" si="33"/>
        <v>22</v>
      </c>
      <c r="AO31" s="180">
        <f t="shared" si="34"/>
        <v>118.6</v>
      </c>
      <c r="AP31" s="180">
        <f t="shared" ca="1" si="35"/>
        <v>3</v>
      </c>
      <c r="AQ31" s="180">
        <f t="shared" ca="1" si="36"/>
        <v>22</v>
      </c>
      <c r="AU31" s="180">
        <f t="shared" ca="1" si="37"/>
        <v>1</v>
      </c>
      <c r="AW31" s="180"/>
      <c r="AX31" s="182"/>
      <c r="AY31" s="182"/>
      <c r="AZ31" s="182"/>
      <c r="BA31" s="128">
        <f t="shared" si="38"/>
        <v>1</v>
      </c>
      <c r="BB31" s="118">
        <f t="shared" ca="1" si="39"/>
        <v>210.00229999999999</v>
      </c>
      <c r="BL31" s="118">
        <v>-1</v>
      </c>
      <c r="BM31" s="118">
        <v>1</v>
      </c>
      <c r="BN31" s="118">
        <v>1</v>
      </c>
      <c r="BO31" s="183">
        <v>43155.51829861111</v>
      </c>
      <c r="BQ31" s="118">
        <v>1</v>
      </c>
      <c r="BR31" s="118">
        <v>1</v>
      </c>
      <c r="BS31" s="118">
        <v>1</v>
      </c>
      <c r="BT31" s="183">
        <v>43155.582037037035</v>
      </c>
      <c r="BV31" s="118">
        <v>1</v>
      </c>
      <c r="BW31" s="118">
        <v>-1</v>
      </c>
      <c r="BX31" s="118">
        <v>-1</v>
      </c>
      <c r="BY31" s="183">
        <v>43155.620381944442</v>
      </c>
      <c r="BZ31" s="183">
        <f t="shared" ca="1" si="40"/>
        <v>43155.620381944442</v>
      </c>
      <c r="CA31" s="244">
        <v>0.63957175925925924</v>
      </c>
    </row>
    <row r="32" spans="1:79" ht="19.5" customHeight="1" x14ac:dyDescent="0.2">
      <c r="A32" s="167" t="s">
        <v>25</v>
      </c>
      <c r="B32" s="168" t="s">
        <v>306</v>
      </c>
      <c r="C32" s="168" t="s">
        <v>213</v>
      </c>
      <c r="D32" s="169" t="s">
        <v>222</v>
      </c>
      <c r="E32" s="169">
        <v>104.85</v>
      </c>
      <c r="F32" s="169">
        <f>IF(LEFT(D32,1)="M",VLOOKUP(IF($E$7="Bwt (kg)",E32,E32/2.2046),Lists!$B$16:$D$24,IF(ISERROR(FIND("J",D32)),3,2)),VLOOKUP(IF($E$7="Bwt (kg)",E32,E32/2.2046),Lists!$B$26:$D$33,IF(ISERROR(FIND("J",D32)),3,2)))</f>
        <v>105</v>
      </c>
      <c r="G32" s="169">
        <v>24</v>
      </c>
      <c r="H32" s="170">
        <f>IF(AND(VALUE(E32)&gt;0,OR(LEFT(D32,1)="M",LEFT(D32,1)="F")),IF(LEFT(D32,1)="M",Wilks_Men(IF(RIGHT($F$7,4)="(lb)",E32/2.2046,E32)),Wilks_Women(IF(RIGHT($F$7,4)="(lb)",E32/2.2046,E32))),0)</f>
        <v>0.59789997339248657</v>
      </c>
      <c r="I32" s="241">
        <v>32597</v>
      </c>
      <c r="J32" s="128">
        <f ca="1">IF(I32,VLOOKUP(INT((NOW()-I32)/365.25),DATA!$A$2:$B$53,2,TRUE),0)</f>
        <v>1</v>
      </c>
      <c r="K32" s="169">
        <v>15</v>
      </c>
      <c r="L32" s="243">
        <v>220</v>
      </c>
      <c r="M32" s="243">
        <v>232.5</v>
      </c>
      <c r="N32" s="246">
        <v>-242.5</v>
      </c>
      <c r="O32" s="173">
        <f t="shared" si="21"/>
        <v>232.5</v>
      </c>
      <c r="P32" s="174" t="s">
        <v>307</v>
      </c>
      <c r="Q32" s="243">
        <v>155</v>
      </c>
      <c r="R32" s="243">
        <v>162.5</v>
      </c>
      <c r="S32" s="243">
        <v>167.5</v>
      </c>
      <c r="T32" s="173">
        <f t="shared" si="22"/>
        <v>167.5</v>
      </c>
      <c r="U32" s="173">
        <f t="shared" si="23"/>
        <v>400</v>
      </c>
      <c r="V32" s="243">
        <v>240</v>
      </c>
      <c r="W32" s="248">
        <v>260</v>
      </c>
      <c r="X32" s="243">
        <v>272.5</v>
      </c>
      <c r="Y32" s="176">
        <f t="shared" si="24"/>
        <v>272.5</v>
      </c>
      <c r="Z32" s="173">
        <f t="shared" ca="1" si="25"/>
        <v>672.5</v>
      </c>
      <c r="AA32" s="282">
        <f t="shared" ca="1" si="26"/>
        <v>402.08773210644722</v>
      </c>
      <c r="AB32" s="177">
        <f t="shared" ca="1" si="27"/>
        <v>402.08773210644722</v>
      </c>
      <c r="AC32" s="167">
        <f ca="1">OFFSET(Setup!$F$1,MATCH(D32,INDIRECT("Setup!B1:B100"),0)-1,0)</f>
        <v>2</v>
      </c>
      <c r="AD32" s="178" t="str">
        <f t="shared" ca="1" si="28"/>
        <v>2-M-BL-PL</v>
      </c>
      <c r="AE32" s="169" t="s">
        <v>109</v>
      </c>
      <c r="AH32" s="179">
        <f ca="1">AU32*(IF(OR(D32="",E32=""),0,MATCH(D32,INDIRECT("Setup!B1:B100"),0)*100000000+IF(AC32=1,(MATCH(F32,Lists!$I$16:$I$32,0)),0)*1000000+IF(Z32=0,0,IF(AC32=1,AN32*1000,IF(AC32=2,AA32,AB32))+IF(AC32=1,AP32+AQ32/1000,0))))</f>
        <v>1200000402.0877321</v>
      </c>
      <c r="AI32" s="128">
        <f t="shared" ca="1" si="29"/>
        <v>12</v>
      </c>
      <c r="AJ32" s="128">
        <f t="shared" ca="1" si="30"/>
        <v>1200</v>
      </c>
      <c r="AK32" s="128">
        <f t="shared" ca="1" si="31"/>
        <v>11</v>
      </c>
      <c r="AL32" s="128">
        <f t="shared" ca="1" si="32"/>
        <v>2</v>
      </c>
      <c r="AN32" s="180">
        <f t="shared" ca="1" si="33"/>
        <v>24</v>
      </c>
      <c r="AO32" s="180">
        <f t="shared" si="34"/>
        <v>104.85</v>
      </c>
      <c r="AP32" s="180">
        <f t="shared" ca="1" si="35"/>
        <v>5</v>
      </c>
      <c r="AQ32" s="180">
        <f t="shared" ca="1" si="36"/>
        <v>35</v>
      </c>
      <c r="AU32" s="180">
        <f t="shared" ca="1" si="37"/>
        <v>1</v>
      </c>
      <c r="AW32" s="180"/>
      <c r="AX32" s="182"/>
      <c r="AY32" s="182"/>
      <c r="AZ32" s="182"/>
      <c r="BA32" s="128">
        <f t="shared" si="38"/>
        <v>1</v>
      </c>
      <c r="BB32" s="118">
        <f t="shared" ca="1" si="39"/>
        <v>220.00239999999999</v>
      </c>
      <c r="BL32" s="118">
        <v>1</v>
      </c>
      <c r="BM32" s="118">
        <v>1</v>
      </c>
      <c r="BN32" s="118">
        <v>-1</v>
      </c>
      <c r="BO32" s="183">
        <v>43155.508553240739</v>
      </c>
      <c r="BQ32" s="118">
        <v>1</v>
      </c>
      <c r="BR32" s="118">
        <v>1</v>
      </c>
      <c r="BS32" s="118">
        <v>1</v>
      </c>
      <c r="BT32" s="183">
        <v>43155.582743055558</v>
      </c>
      <c r="BV32" s="118">
        <v>1</v>
      </c>
      <c r="BW32" s="118">
        <v>1</v>
      </c>
      <c r="BX32" s="118">
        <v>1</v>
      </c>
      <c r="BY32" s="183">
        <v>43155.640092592592</v>
      </c>
      <c r="BZ32" s="183">
        <f t="shared" ca="1" si="40"/>
        <v>43155.640092592592</v>
      </c>
      <c r="CA32" s="244">
        <v>0.6407870370370371</v>
      </c>
    </row>
    <row r="33" spans="1:79" ht="19.5" customHeight="1" x14ac:dyDescent="0.2">
      <c r="A33" s="167" t="s">
        <v>25</v>
      </c>
      <c r="B33" s="168" t="s">
        <v>296</v>
      </c>
      <c r="C33" s="168" t="s">
        <v>183</v>
      </c>
      <c r="D33" s="169" t="s">
        <v>222</v>
      </c>
      <c r="E33" s="169">
        <v>127.25</v>
      </c>
      <c r="F33" s="169" t="str">
        <f>IF(LEFT(D33,1)="M",VLOOKUP(IF($E$7="Bwt (kg)",E33,E33/2.2046),Lists!$B$16:$D$24,IF(ISERROR(FIND("J",D33)),3,2)),VLOOKUP(IF($E$7="Bwt (kg)",E33,E33/2.2046),Lists!$B$26:$D$33,IF(ISERROR(FIND("J",D33)),3,2)))</f>
        <v>120+</v>
      </c>
      <c r="G33" s="169">
        <v>3</v>
      </c>
      <c r="H33" s="170">
        <f>IF(AND(VALUE(E33)&gt;0,OR(LEFT(D33,1)="M",LEFT(D33,1)="F")),IF(LEFT(D33,1)="M",Wilks_Men(IF(RIGHT($F$7,4)="(lb)",E33/2.2046,E33)),Wilks_Women(IF(RIGHT($F$7,4)="(lb)",E33/2.2046,E33))),0)</f>
        <v>0.56779998540878296</v>
      </c>
      <c r="I33" s="241">
        <v>32451</v>
      </c>
      <c r="J33" s="128">
        <f ca="1">IF(I33,VLOOKUP(INT((NOW()-I33)/365.25),DATA!$A$2:$B$53,2,TRUE),0)</f>
        <v>1</v>
      </c>
      <c r="K33" s="169">
        <v>20</v>
      </c>
      <c r="L33" s="243">
        <v>230</v>
      </c>
      <c r="M33" s="243">
        <v>240</v>
      </c>
      <c r="N33" s="243">
        <v>250</v>
      </c>
      <c r="O33" s="173">
        <f t="shared" si="21"/>
        <v>250</v>
      </c>
      <c r="P33" s="174" t="s">
        <v>297</v>
      </c>
      <c r="Q33" s="243">
        <v>150</v>
      </c>
      <c r="R33" s="243">
        <v>157.5</v>
      </c>
      <c r="S33" s="243">
        <v>165</v>
      </c>
      <c r="T33" s="173">
        <f t="shared" si="22"/>
        <v>165</v>
      </c>
      <c r="U33" s="173">
        <f t="shared" si="23"/>
        <v>415</v>
      </c>
      <c r="V33" s="243">
        <v>260</v>
      </c>
      <c r="W33" s="248">
        <v>285</v>
      </c>
      <c r="X33" s="246">
        <v>-300</v>
      </c>
      <c r="Y33" s="176">
        <f t="shared" si="24"/>
        <v>285</v>
      </c>
      <c r="Z33" s="173">
        <f t="shared" ca="1" si="25"/>
        <v>700</v>
      </c>
      <c r="AA33" s="282">
        <f t="shared" ca="1" si="26"/>
        <v>397.45998978614807</v>
      </c>
      <c r="AB33" s="177">
        <f t="shared" ca="1" si="27"/>
        <v>397.45998978614807</v>
      </c>
      <c r="AC33" s="167">
        <f ca="1">OFFSET(Setup!$F$1,MATCH(D33,INDIRECT("Setup!B1:B100"),0)-1,0)</f>
        <v>2</v>
      </c>
      <c r="AD33" s="178" t="str">
        <f t="shared" ca="1" si="28"/>
        <v>3-M-BL-PL</v>
      </c>
      <c r="AE33" s="169" t="s">
        <v>109</v>
      </c>
      <c r="AH33" s="179">
        <f ca="1">AU33*(IF(OR(D33="",E33=""),0,MATCH(D33,INDIRECT("Setup!B1:B100"),0)*100000000+IF(AC33=1,(MATCH(F33,Lists!$I$16:$I$32,0)),0)*1000000+IF(Z33=0,0,IF(AC33=1,AN33*1000,IF(AC33=2,AA33,AB33))+IF(AC33=1,AP33+AQ33/1000,0))))</f>
        <v>1200000397.4599898</v>
      </c>
      <c r="AI33" s="128">
        <f t="shared" ca="1" si="29"/>
        <v>13</v>
      </c>
      <c r="AJ33" s="128">
        <f t="shared" ca="1" si="30"/>
        <v>1200</v>
      </c>
      <c r="AK33" s="128">
        <f t="shared" ca="1" si="31"/>
        <v>11</v>
      </c>
      <c r="AL33" s="128">
        <f t="shared" ca="1" si="32"/>
        <v>3</v>
      </c>
      <c r="AN33" s="180">
        <f t="shared" ca="1" si="33"/>
        <v>25</v>
      </c>
      <c r="AO33" s="180">
        <f t="shared" si="34"/>
        <v>127.25</v>
      </c>
      <c r="AP33" s="180">
        <f t="shared" ca="1" si="35"/>
        <v>2</v>
      </c>
      <c r="AQ33" s="180">
        <f t="shared" ca="1" si="36"/>
        <v>29</v>
      </c>
      <c r="AU33" s="180">
        <f t="shared" ca="1" si="37"/>
        <v>1</v>
      </c>
      <c r="AW33" s="180"/>
      <c r="AX33" s="182"/>
      <c r="AY33" s="182"/>
      <c r="AZ33" s="182"/>
      <c r="BA33" s="128">
        <f t="shared" si="38"/>
        <v>1</v>
      </c>
      <c r="BB33" s="118">
        <f t="shared" ca="1" si="39"/>
        <v>230.00030000000001</v>
      </c>
      <c r="BL33" s="118">
        <v>1</v>
      </c>
      <c r="BM33" s="118">
        <v>1</v>
      </c>
      <c r="BN33" s="118">
        <v>1</v>
      </c>
      <c r="BO33" s="183">
        <v>43155.52003472222</v>
      </c>
      <c r="BQ33" s="118">
        <v>1</v>
      </c>
      <c r="BR33" s="118">
        <v>1</v>
      </c>
      <c r="BS33" s="118">
        <v>1</v>
      </c>
      <c r="BT33" s="183">
        <v>43155.581331018519</v>
      </c>
      <c r="BV33" s="118">
        <v>1</v>
      </c>
      <c r="BW33" s="118">
        <v>1</v>
      </c>
      <c r="BX33" s="118">
        <v>-1</v>
      </c>
      <c r="BY33" s="183">
        <v>43155.631516203706</v>
      </c>
      <c r="BZ33" s="183">
        <f t="shared" ca="1" si="40"/>
        <v>43155.631516203706</v>
      </c>
      <c r="CA33" s="244">
        <v>0.64187499999999997</v>
      </c>
    </row>
    <row r="34" spans="1:79" ht="19.5" customHeight="1" x14ac:dyDescent="0.2">
      <c r="A34" s="167" t="s">
        <v>25</v>
      </c>
      <c r="B34" s="168" t="s">
        <v>301</v>
      </c>
      <c r="C34" s="168" t="s">
        <v>259</v>
      </c>
      <c r="D34" s="169" t="s">
        <v>222</v>
      </c>
      <c r="E34" s="169">
        <v>142.69999999999999</v>
      </c>
      <c r="F34" s="169" t="str">
        <f>IF(LEFT(D34,1)="M",VLOOKUP(IF($E$7="Bwt (kg)",E34,E34/2.2046),Lists!$B$16:$D$24,IF(ISERROR(FIND("J",D34)),3,2)),VLOOKUP(IF($E$7="Bwt (kg)",E34,E34/2.2046),Lists!$B$26:$D$33,IF(ISERROR(FIND("J",D34)),3,2)))</f>
        <v>120+</v>
      </c>
      <c r="G34" s="169">
        <v>12</v>
      </c>
      <c r="H34" s="170">
        <f>IF(AND(VALUE(E34)&gt;0,OR(LEFT(D34,1)="M",LEFT(D34,1)="F")),IF(LEFT(D34,1)="M",Wilks_Men(IF(RIGHT($F$7,4)="(lb)",E34/2.2046,E34)),Wilks_Women(IF(RIGHT($F$7,4)="(lb)",E34/2.2046,E34))),0)</f>
        <v>0.55720001459121704</v>
      </c>
      <c r="I34" s="241">
        <v>32743</v>
      </c>
      <c r="J34" s="128">
        <f ca="1">IF(I34,VLOOKUP(INT((NOW()-I34)/365.25),DATA!$A$2:$B$53,2,TRUE),0)</f>
        <v>1</v>
      </c>
      <c r="K34" s="169">
        <v>15</v>
      </c>
      <c r="L34" s="243">
        <v>280</v>
      </c>
      <c r="M34" s="243">
        <v>285</v>
      </c>
      <c r="N34" s="245"/>
      <c r="O34" s="173">
        <f t="shared" si="21"/>
        <v>285</v>
      </c>
      <c r="P34" s="174" t="s">
        <v>292</v>
      </c>
      <c r="Q34" s="243">
        <v>180</v>
      </c>
      <c r="R34" s="243">
        <v>185</v>
      </c>
      <c r="S34" s="246">
        <v>-190</v>
      </c>
      <c r="T34" s="173">
        <f t="shared" si="22"/>
        <v>185</v>
      </c>
      <c r="U34" s="173">
        <f t="shared" si="23"/>
        <v>470</v>
      </c>
      <c r="V34" s="243">
        <v>280</v>
      </c>
      <c r="W34" s="175"/>
      <c r="X34" s="245"/>
      <c r="Y34" s="176">
        <f t="shared" si="24"/>
        <v>280</v>
      </c>
      <c r="Z34" s="173">
        <f t="shared" ca="1" si="25"/>
        <v>750</v>
      </c>
      <c r="AA34" s="282">
        <f t="shared" ca="1" si="26"/>
        <v>417.90001094341278</v>
      </c>
      <c r="AB34" s="177">
        <f t="shared" ca="1" si="27"/>
        <v>417.90001094341278</v>
      </c>
      <c r="AC34" s="167">
        <f ca="1">OFFSET(Setup!$F$1,MATCH(D34,INDIRECT("Setup!B1:B100"),0)-1,0)</f>
        <v>2</v>
      </c>
      <c r="AD34" s="178" t="str">
        <f t="shared" ca="1" si="28"/>
        <v>1-M-BL-PL</v>
      </c>
      <c r="AE34" s="169" t="s">
        <v>109</v>
      </c>
      <c r="AH34" s="179">
        <f ca="1">AU34*(IF(OR(D34="",E34=""),0,MATCH(D34,INDIRECT("Setup!B1:B100"),0)*100000000+IF(AC34=1,(MATCH(F34,Lists!$I$16:$I$32,0)),0)*1000000+IF(Z34=0,0,IF(AC34=1,AN34*1000,IF(AC34=2,AA34,AB34))+IF(AC34=1,AP34+AQ34/1000,0))))</f>
        <v>1200000417.9000111</v>
      </c>
      <c r="AI34" s="128">
        <f t="shared" ca="1" si="29"/>
        <v>11</v>
      </c>
      <c r="AJ34" s="128">
        <f t="shared" ca="1" si="30"/>
        <v>1200</v>
      </c>
      <c r="AK34" s="128">
        <f t="shared" ca="1" si="31"/>
        <v>11</v>
      </c>
      <c r="AL34" s="128">
        <f t="shared" ca="1" si="32"/>
        <v>1</v>
      </c>
      <c r="AN34" s="180">
        <f t="shared" ca="1" si="33"/>
        <v>26</v>
      </c>
      <c r="AO34" s="180">
        <f t="shared" si="34"/>
        <v>142.69999999999999</v>
      </c>
      <c r="AP34" s="180">
        <f t="shared" ca="1" si="35"/>
        <v>1</v>
      </c>
      <c r="AQ34" s="180">
        <f t="shared" ca="1" si="36"/>
        <v>23</v>
      </c>
      <c r="AU34" s="180">
        <f t="shared" ca="1" si="37"/>
        <v>1</v>
      </c>
      <c r="AW34" s="180"/>
      <c r="AX34" s="182"/>
      <c r="AY34" s="182"/>
      <c r="AZ34" s="182"/>
      <c r="BA34" s="128">
        <f t="shared" si="38"/>
        <v>1</v>
      </c>
      <c r="BB34" s="118">
        <f t="shared" ca="1" si="39"/>
        <v>280.00119999999998</v>
      </c>
      <c r="BL34" s="118">
        <v>1</v>
      </c>
      <c r="BM34" s="118">
        <v>1</v>
      </c>
      <c r="BN34" s="118">
        <v>0</v>
      </c>
      <c r="BO34" s="183">
        <v>43155.51021990741</v>
      </c>
      <c r="BQ34" s="118">
        <v>1</v>
      </c>
      <c r="BR34" s="118">
        <v>1</v>
      </c>
      <c r="BS34" s="118">
        <v>-1</v>
      </c>
      <c r="BT34" s="183">
        <v>43155.573865740742</v>
      </c>
      <c r="BV34" s="118">
        <v>1</v>
      </c>
      <c r="BW34" s="118">
        <v>0</v>
      </c>
      <c r="BX34" s="118">
        <v>0</v>
      </c>
      <c r="BY34" s="183">
        <v>43155.622743055559</v>
      </c>
      <c r="BZ34" s="183">
        <f t="shared" ca="1" si="40"/>
        <v>43155.622743055559</v>
      </c>
      <c r="CA34" s="244">
        <v>0.64197916666666666</v>
      </c>
    </row>
    <row r="35" spans="1:79" ht="19.5" customHeight="1" x14ac:dyDescent="0.2">
      <c r="A35" s="167" t="s">
        <v>23</v>
      </c>
      <c r="B35" s="168" t="s">
        <v>273</v>
      </c>
      <c r="C35" s="168" t="s">
        <v>259</v>
      </c>
      <c r="D35" s="169" t="s">
        <v>223</v>
      </c>
      <c r="E35" s="169">
        <v>62.35</v>
      </c>
      <c r="F35" s="169">
        <f>IF(LEFT(D35,1)="M",VLOOKUP(IF($E$7="Bwt (kg)",E35,E35/2.2046),Lists!$B$16:$D$24,IF(ISERROR(FIND("J",D35)),3,2)),VLOOKUP(IF($E$7="Bwt (kg)",E35,E35/2.2046),Lists!$B$26:$D$33,IF(ISERROR(FIND("J",D35)),3,2)))</f>
        <v>63</v>
      </c>
      <c r="G35" s="169">
        <v>34</v>
      </c>
      <c r="H35" s="170">
        <f>IF(AND(VALUE(E35)&gt;0,OR(LEFT(D35,1)="M",LEFT(D35,1)="F")),IF(LEFT(D35,1)="M",Wilks_Men(IF(RIGHT($F$7,4)="(lb)",E35/2.2046,E35)),Wilks_Women(IF(RIGHT($F$7,4)="(lb)",E35/2.2046,E35))),0)</f>
        <v>1.0823999643325806</v>
      </c>
      <c r="I35" s="241">
        <v>25080</v>
      </c>
      <c r="J35" s="128">
        <f ca="1">IF(I35,VLOOKUP(INT((NOW()-I35)/365.25),DATA!$A$2:$B$53,2,TRUE),0)</f>
        <v>1.113</v>
      </c>
      <c r="K35" s="169"/>
      <c r="L35" s="172"/>
      <c r="M35" s="172"/>
      <c r="N35" s="172"/>
      <c r="O35" s="173" t="str">
        <f t="shared" si="21"/>
        <v/>
      </c>
      <c r="P35" s="174" t="s">
        <v>274</v>
      </c>
      <c r="Q35" s="243">
        <v>47.5</v>
      </c>
      <c r="R35" s="243">
        <v>50</v>
      </c>
      <c r="S35" s="246">
        <v>-52.5</v>
      </c>
      <c r="T35" s="173">
        <f t="shared" si="22"/>
        <v>50</v>
      </c>
      <c r="U35" s="173" t="str">
        <f t="shared" si="23"/>
        <v/>
      </c>
      <c r="V35" s="167"/>
      <c r="W35" s="175"/>
      <c r="X35" s="167"/>
      <c r="Y35" s="176" t="str">
        <f t="shared" si="24"/>
        <v/>
      </c>
      <c r="Z35" s="173" t="str">
        <f t="shared" ca="1" si="25"/>
        <v/>
      </c>
      <c r="AA35" s="282">
        <f t="shared" si="26"/>
        <v>54.119998216629028</v>
      </c>
      <c r="AB35" s="177">
        <f t="shared" ca="1" si="27"/>
        <v>60.235558015108111</v>
      </c>
      <c r="AC35" s="167">
        <f ca="1">OFFSET(Setup!$F$1,MATCH(D35,INDIRECT("Setup!B1:B100"),0)-1,0)</f>
        <v>2</v>
      </c>
      <c r="AD35" s="178" t="str">
        <f t="shared" ca="1" si="28"/>
        <v/>
      </c>
      <c r="AE35" s="169" t="s">
        <v>117</v>
      </c>
      <c r="AH35" s="179">
        <f ca="1">AU35*(IF(OR(D35="",E35=""),0,MATCH(D35,INDIRECT("Setup!B1:B100"),0)*100000000+IF(AC35=1,(MATCH(F35,Lists!$I$16:$I$32,0)),0)*1000000+IF(Z35=0,0,IF(AC35=1,AN35*1000,IF(AC35=2,AA35,AB35))+IF(AC35=1,AP35+AQ35/1000,0))))</f>
        <v>0</v>
      </c>
      <c r="AI35" s="128">
        <f t="shared" ca="1" si="29"/>
        <v>27</v>
      </c>
      <c r="AJ35" s="128">
        <f t="shared" ca="1" si="30"/>
        <v>0</v>
      </c>
      <c r="AK35" s="128">
        <f t="shared" ca="1" si="31"/>
        <v>27</v>
      </c>
      <c r="AL35" s="128">
        <f t="shared" ca="1" si="32"/>
        <v>1</v>
      </c>
      <c r="AN35" s="180" t="e">
        <f t="shared" ca="1" si="33"/>
        <v>#VALUE!</v>
      </c>
      <c r="AO35" s="180">
        <f t="shared" si="34"/>
        <v>62.35</v>
      </c>
      <c r="AP35" s="180">
        <f t="shared" ca="1" si="35"/>
        <v>32</v>
      </c>
      <c r="AQ35" s="180">
        <f t="shared" ca="1" si="36"/>
        <v>1</v>
      </c>
      <c r="AU35" s="180">
        <f t="shared" ca="1" si="37"/>
        <v>0</v>
      </c>
      <c r="AW35" s="180"/>
      <c r="AX35" s="182"/>
      <c r="AY35" s="182"/>
      <c r="AZ35" s="182"/>
      <c r="BA35" s="128">
        <f t="shared" si="38"/>
        <v>7</v>
      </c>
      <c r="BB35" s="118" t="str">
        <f t="shared" ca="1" si="39"/>
        <v/>
      </c>
      <c r="BL35" s="118">
        <v>0</v>
      </c>
      <c r="BM35" s="118">
        <v>0</v>
      </c>
      <c r="BN35" s="118">
        <v>0</v>
      </c>
      <c r="BQ35" s="118">
        <v>1</v>
      </c>
      <c r="BR35" s="118">
        <v>1</v>
      </c>
      <c r="BS35" s="118">
        <v>-1</v>
      </c>
      <c r="BT35" s="183">
        <v>43155.448483796295</v>
      </c>
      <c r="BV35" s="118">
        <v>0</v>
      </c>
      <c r="BW35" s="118">
        <v>0</v>
      </c>
      <c r="BX35" s="118">
        <v>0</v>
      </c>
      <c r="BY35" s="183">
        <f t="shared" ref="BY35:BY42" si="41">IF(BX35=1,3,IF(BW35=1,2,IF(BV35=1,1,0)))</f>
        <v>0</v>
      </c>
      <c r="BZ35" s="183">
        <f t="shared" ca="1" si="40"/>
        <v>0</v>
      </c>
      <c r="CA35" s="244">
        <v>0.45596064814814818</v>
      </c>
    </row>
    <row r="36" spans="1:79" ht="19.5" customHeight="1" x14ac:dyDescent="0.2">
      <c r="A36" s="167" t="s">
        <v>23</v>
      </c>
      <c r="B36" s="168" t="s">
        <v>254</v>
      </c>
      <c r="C36" s="168" t="s">
        <v>183</v>
      </c>
      <c r="D36" s="169" t="s">
        <v>223</v>
      </c>
      <c r="E36" s="169">
        <v>85.4</v>
      </c>
      <c r="F36" s="169" t="str">
        <f>IF(LEFT(D36,1)="M",VLOOKUP(IF($E$7="Bwt (kg)",E36,E36/2.2046),Lists!$B$16:$D$24,IF(ISERROR(FIND("J",D36)),3,2)),VLOOKUP(IF($E$7="Bwt (kg)",E36,E36/2.2046),Lists!$B$26:$D$33,IF(ISERROR(FIND("J",D36)),3,2)))</f>
        <v>84+</v>
      </c>
      <c r="G36" s="169">
        <v>16</v>
      </c>
      <c r="H36" s="170">
        <f>IF(AND(VALUE(E36)&gt;0,OR(LEFT(D36,1)="M",LEFT(D36,1)="F")),IF(LEFT(D36,1)="M",Wilks_Men(IF(RIGHT($F$7,4)="(lb)",E36/2.2046,E36)),Wilks_Women(IF(RIGHT($F$7,4)="(lb)",E36/2.2046,E36))),0)</f>
        <v>0.88459998369216919</v>
      </c>
      <c r="I36" s="241">
        <v>31780</v>
      </c>
      <c r="J36" s="128">
        <f ca="1">IF(I36,VLOOKUP(INT((NOW()-I36)/365.25),DATA!$A$2:$B$53,2,TRUE),0)</f>
        <v>1</v>
      </c>
      <c r="K36" s="169"/>
      <c r="L36" s="172"/>
      <c r="M36" s="172"/>
      <c r="N36" s="172"/>
      <c r="O36" s="173" t="str">
        <f t="shared" si="21"/>
        <v/>
      </c>
      <c r="P36" s="174" t="s">
        <v>270</v>
      </c>
      <c r="Q36" s="243">
        <v>60</v>
      </c>
      <c r="R36" s="243">
        <v>65</v>
      </c>
      <c r="S36" s="246">
        <v>-70</v>
      </c>
      <c r="T36" s="173">
        <f t="shared" si="22"/>
        <v>65</v>
      </c>
      <c r="U36" s="173" t="str">
        <f t="shared" si="23"/>
        <v/>
      </c>
      <c r="V36" s="167"/>
      <c r="W36" s="175"/>
      <c r="X36" s="167"/>
      <c r="Y36" s="176" t="str">
        <f t="shared" si="24"/>
        <v/>
      </c>
      <c r="Z36" s="173" t="str">
        <f t="shared" ca="1" si="25"/>
        <v/>
      </c>
      <c r="AA36" s="282">
        <f t="shared" si="26"/>
        <v>57.498998939990997</v>
      </c>
      <c r="AB36" s="177">
        <f t="shared" ca="1" si="27"/>
        <v>57.498998939990997</v>
      </c>
      <c r="AC36" s="167">
        <f ca="1">OFFSET(Setup!$F$1,MATCH(D36,INDIRECT("Setup!B1:B100"),0)-1,0)</f>
        <v>2</v>
      </c>
      <c r="AD36" s="178" t="str">
        <f t="shared" ca="1" si="28"/>
        <v/>
      </c>
      <c r="AE36" s="169" t="s">
        <v>117</v>
      </c>
      <c r="AH36" s="179">
        <f ca="1">AU36*(IF(OR(D36="",E36=""),0,MATCH(D36,INDIRECT("Setup!B1:B100"),0)*100000000+IF(AC36=1,(MATCH(F36,Lists!$I$16:$I$32,0)),0)*1000000+IF(Z36=0,0,IF(AC36=1,AN36*1000,IF(AC36=2,AA36,AB36))+IF(AC36=1,AP36+AQ36/1000,0))))</f>
        <v>0</v>
      </c>
      <c r="AI36" s="128">
        <f t="shared" ca="1" si="29"/>
        <v>27</v>
      </c>
      <c r="AJ36" s="128">
        <f t="shared" ca="1" si="30"/>
        <v>0</v>
      </c>
      <c r="AK36" s="128">
        <f t="shared" ca="1" si="31"/>
        <v>27</v>
      </c>
      <c r="AL36" s="128">
        <f t="shared" ca="1" si="32"/>
        <v>1</v>
      </c>
      <c r="AN36" s="180" t="e">
        <f t="shared" ca="1" si="33"/>
        <v>#VALUE!</v>
      </c>
      <c r="AO36" s="180">
        <f t="shared" si="34"/>
        <v>85.4</v>
      </c>
      <c r="AP36" s="180">
        <f t="shared" ca="1" si="35"/>
        <v>13</v>
      </c>
      <c r="AQ36" s="180">
        <f t="shared" ca="1" si="36"/>
        <v>1</v>
      </c>
      <c r="AU36" s="180">
        <f t="shared" ca="1" si="37"/>
        <v>0</v>
      </c>
      <c r="AW36" s="180"/>
      <c r="AX36" s="182"/>
      <c r="AY36" s="182"/>
      <c r="AZ36" s="182"/>
      <c r="BA36" s="128">
        <f t="shared" si="38"/>
        <v>7</v>
      </c>
      <c r="BB36" s="118" t="str">
        <f t="shared" ca="1" si="39"/>
        <v/>
      </c>
      <c r="BL36" s="118">
        <v>0</v>
      </c>
      <c r="BM36" s="118">
        <v>0</v>
      </c>
      <c r="BN36" s="118">
        <v>0</v>
      </c>
      <c r="BQ36" s="118">
        <v>1</v>
      </c>
      <c r="BR36" s="118">
        <v>1</v>
      </c>
      <c r="BS36" s="118">
        <v>-1</v>
      </c>
      <c r="BT36" s="183">
        <v>43155.449305555558</v>
      </c>
      <c r="BV36" s="118">
        <v>0</v>
      </c>
      <c r="BW36" s="118">
        <v>0</v>
      </c>
      <c r="BX36" s="118">
        <v>0</v>
      </c>
      <c r="BY36" s="183">
        <f t="shared" si="41"/>
        <v>0</v>
      </c>
      <c r="BZ36" s="183">
        <f t="shared" ca="1" si="40"/>
        <v>0</v>
      </c>
      <c r="CA36" s="244">
        <v>0.45681712962962967</v>
      </c>
    </row>
    <row r="37" spans="1:79" ht="19.5" customHeight="1" x14ac:dyDescent="0.2">
      <c r="A37" s="167" t="s">
        <v>23</v>
      </c>
      <c r="B37" s="168" t="s">
        <v>268</v>
      </c>
      <c r="C37" s="168" t="s">
        <v>183</v>
      </c>
      <c r="D37" s="169" t="s">
        <v>223</v>
      </c>
      <c r="E37" s="169">
        <v>63.3</v>
      </c>
      <c r="F37" s="169">
        <f>IF(LEFT(D37,1)="M",VLOOKUP(IF($E$7="Bwt (kg)",E37,E37/2.2046),Lists!$B$16:$D$24,IF(ISERROR(FIND("J",D37)),3,2)),VLOOKUP(IF($E$7="Bwt (kg)",E37,E37/2.2046),Lists!$B$26:$D$33,IF(ISERROR(FIND("J",D37)),3,2)))</f>
        <v>72</v>
      </c>
      <c r="G37" s="169">
        <v>13</v>
      </c>
      <c r="H37" s="170">
        <f>IF(AND(VALUE(E37)&gt;0,OR(LEFT(D37,1)="M",LEFT(D37,1)="F")),IF(LEFT(D37,1)="M",Wilks_Men(IF(RIGHT($F$7,4)="(lb)",E37/2.2046,E37)),Wilks_Women(IF(RIGHT($F$7,4)="(lb)",E37/2.2046,E37))),0)</f>
        <v>1.070099949836731</v>
      </c>
      <c r="I37" s="241">
        <v>31989</v>
      </c>
      <c r="J37" s="128">
        <f ca="1">IF(I37,VLOOKUP(INT((NOW()-I37)/365.25),DATA!$A$2:$B$53,2,TRUE),0)</f>
        <v>1</v>
      </c>
      <c r="K37" s="169"/>
      <c r="L37" s="172"/>
      <c r="M37" s="172"/>
      <c r="N37" s="172"/>
      <c r="O37" s="173" t="str">
        <f t="shared" si="21"/>
        <v/>
      </c>
      <c r="P37" s="174" t="s">
        <v>269</v>
      </c>
      <c r="Q37" s="243">
        <v>80</v>
      </c>
      <c r="R37" s="243">
        <v>87.5</v>
      </c>
      <c r="S37" s="243">
        <v>92.5</v>
      </c>
      <c r="T37" s="173">
        <f t="shared" si="22"/>
        <v>92.5</v>
      </c>
      <c r="U37" s="173" t="str">
        <f t="shared" si="23"/>
        <v/>
      </c>
      <c r="V37" s="167"/>
      <c r="W37" s="175"/>
      <c r="X37" s="167"/>
      <c r="Y37" s="176" t="str">
        <f t="shared" si="24"/>
        <v/>
      </c>
      <c r="Z37" s="173" t="str">
        <f t="shared" ca="1" si="25"/>
        <v/>
      </c>
      <c r="AA37" s="282">
        <f t="shared" si="26"/>
        <v>98.984245359897614</v>
      </c>
      <c r="AB37" s="177">
        <f t="shared" ca="1" si="27"/>
        <v>98.984245359897614</v>
      </c>
      <c r="AC37" s="167">
        <f ca="1">OFFSET(Setup!$F$1,MATCH(D37,INDIRECT("Setup!B1:B100"),0)-1,0)</f>
        <v>2</v>
      </c>
      <c r="AD37" s="178" t="str">
        <f t="shared" ca="1" si="28"/>
        <v/>
      </c>
      <c r="AE37" s="169" t="s">
        <v>117</v>
      </c>
      <c r="AH37" s="179">
        <f ca="1">AU37*(IF(OR(D37="",E37=""),0,MATCH(D37,INDIRECT("Setup!B1:B100"),0)*100000000+IF(AC37=1,(MATCH(F37,Lists!$I$16:$I$32,0)),0)*1000000+IF(Z37=0,0,IF(AC37=1,AN37*1000,IF(AC37=2,AA37,AB37))+IF(AC37=1,AP37+AQ37/1000,0))))</f>
        <v>0</v>
      </c>
      <c r="AI37" s="128">
        <f t="shared" ca="1" si="29"/>
        <v>27</v>
      </c>
      <c r="AJ37" s="128">
        <f t="shared" ca="1" si="30"/>
        <v>0</v>
      </c>
      <c r="AK37" s="128">
        <f t="shared" ca="1" si="31"/>
        <v>27</v>
      </c>
      <c r="AL37" s="128">
        <f t="shared" ca="1" si="32"/>
        <v>1</v>
      </c>
      <c r="AN37" s="180" t="e">
        <f t="shared" ca="1" si="33"/>
        <v>#VALUE!</v>
      </c>
      <c r="AO37" s="180">
        <f t="shared" si="34"/>
        <v>63.3</v>
      </c>
      <c r="AP37" s="180">
        <f t="shared" ca="1" si="35"/>
        <v>29</v>
      </c>
      <c r="AQ37" s="180">
        <f t="shared" ca="1" si="36"/>
        <v>1</v>
      </c>
      <c r="AU37" s="180">
        <f t="shared" ca="1" si="37"/>
        <v>0</v>
      </c>
      <c r="AW37" s="180"/>
      <c r="AX37" s="182"/>
      <c r="AY37" s="182"/>
      <c r="AZ37" s="182"/>
      <c r="BA37" s="128">
        <f t="shared" si="38"/>
        <v>7</v>
      </c>
      <c r="BB37" s="118" t="str">
        <f t="shared" ca="1" si="39"/>
        <v/>
      </c>
      <c r="BL37" s="118">
        <v>0</v>
      </c>
      <c r="BM37" s="118">
        <v>0</v>
      </c>
      <c r="BN37" s="118">
        <v>0</v>
      </c>
      <c r="BQ37" s="118">
        <v>1</v>
      </c>
      <c r="BR37" s="118">
        <v>1</v>
      </c>
      <c r="BS37" s="118">
        <v>1</v>
      </c>
      <c r="BT37" s="183">
        <v>43155.458854166667</v>
      </c>
      <c r="BV37" s="118">
        <v>0</v>
      </c>
      <c r="BW37" s="118">
        <v>0</v>
      </c>
      <c r="BX37" s="118">
        <v>0</v>
      </c>
      <c r="BY37" s="183">
        <f t="shared" si="41"/>
        <v>0</v>
      </c>
      <c r="BZ37" s="183">
        <f t="shared" ca="1" si="40"/>
        <v>0</v>
      </c>
      <c r="CA37" s="244">
        <v>0.45954861111111112</v>
      </c>
    </row>
    <row r="38" spans="1:79" ht="19.5" customHeight="1" x14ac:dyDescent="0.2">
      <c r="A38" s="167" t="s">
        <v>23</v>
      </c>
      <c r="B38" s="168" t="s">
        <v>264</v>
      </c>
      <c r="C38" s="168" t="s">
        <v>183</v>
      </c>
      <c r="D38" s="169" t="s">
        <v>223</v>
      </c>
      <c r="E38" s="169">
        <v>78.849999999999994</v>
      </c>
      <c r="F38" s="169">
        <f>IF(LEFT(D38,1)="M",VLOOKUP(IF($E$7="Bwt (kg)",E38,E38/2.2046),Lists!$B$16:$D$24,IF(ISERROR(FIND("J",D38)),3,2)),VLOOKUP(IF($E$7="Bwt (kg)",E38,E38/2.2046),Lists!$B$26:$D$33,IF(ISERROR(FIND("J",D38)),3,2)))</f>
        <v>84</v>
      </c>
      <c r="G38" s="169">
        <v>8</v>
      </c>
      <c r="H38" s="170">
        <f>IF(AND(VALUE(E38)&gt;0,OR(LEFT(D38,1)="M",LEFT(D38,1)="F")),IF(LEFT(D38,1)="M",Wilks_Men(IF(RIGHT($F$7,4)="(lb)",E38/2.2046,E38)),Wilks_Women(IF(RIGHT($F$7,4)="(lb)",E38/2.2046,E38))),0)</f>
        <v>0.92250001430511475</v>
      </c>
      <c r="I38" s="241">
        <v>34974</v>
      </c>
      <c r="J38" s="128">
        <f ca="1">IF(I38,VLOOKUP(INT((NOW()-I38)/365.25),DATA!$A$2:$B$53,2,TRUE),0)</f>
        <v>1.01</v>
      </c>
      <c r="K38" s="169"/>
      <c r="L38" s="172"/>
      <c r="M38" s="172"/>
      <c r="N38" s="172"/>
      <c r="O38" s="173" t="str">
        <f t="shared" si="21"/>
        <v/>
      </c>
      <c r="P38" s="174" t="s">
        <v>265</v>
      </c>
      <c r="Q38" s="243">
        <v>85</v>
      </c>
      <c r="R38" s="243">
        <v>90</v>
      </c>
      <c r="S38" s="243">
        <v>92.5</v>
      </c>
      <c r="T38" s="173">
        <f t="shared" si="22"/>
        <v>92.5</v>
      </c>
      <c r="U38" s="173" t="str">
        <f t="shared" si="23"/>
        <v/>
      </c>
      <c r="V38" s="167"/>
      <c r="W38" s="175"/>
      <c r="X38" s="167"/>
      <c r="Y38" s="176" t="str">
        <f t="shared" si="24"/>
        <v/>
      </c>
      <c r="Z38" s="173" t="str">
        <f t="shared" ca="1" si="25"/>
        <v/>
      </c>
      <c r="AA38" s="282">
        <f t="shared" si="26"/>
        <v>85.331251323223114</v>
      </c>
      <c r="AB38" s="177">
        <f t="shared" ca="1" si="27"/>
        <v>86.184563836455339</v>
      </c>
      <c r="AC38" s="167">
        <f ca="1">OFFSET(Setup!$F$1,MATCH(D38,INDIRECT("Setup!B1:B100"),0)-1,0)</f>
        <v>2</v>
      </c>
      <c r="AD38" s="178" t="str">
        <f t="shared" ca="1" si="28"/>
        <v/>
      </c>
      <c r="AE38" s="169" t="s">
        <v>117</v>
      </c>
      <c r="AH38" s="179">
        <f ca="1">AU38*(IF(OR(D38="",E38=""),0,MATCH(D38,INDIRECT("Setup!B1:B100"),0)*100000000+IF(AC38=1,(MATCH(F38,Lists!$I$16:$I$32,0)),0)*1000000+IF(Z38=0,0,IF(AC38=1,AN38*1000,IF(AC38=2,AA38,AB38))+IF(AC38=1,AP38+AQ38/1000,0))))</f>
        <v>0</v>
      </c>
      <c r="AI38" s="128">
        <f t="shared" ca="1" si="29"/>
        <v>27</v>
      </c>
      <c r="AJ38" s="128">
        <f t="shared" ca="1" si="30"/>
        <v>0</v>
      </c>
      <c r="AK38" s="128">
        <f t="shared" ca="1" si="31"/>
        <v>27</v>
      </c>
      <c r="AL38" s="128">
        <f t="shared" ca="1" si="32"/>
        <v>1</v>
      </c>
      <c r="AN38" s="180" t="e">
        <f t="shared" ca="1" si="33"/>
        <v>#VALUE!</v>
      </c>
      <c r="AO38" s="180">
        <f t="shared" si="34"/>
        <v>78.849999999999994</v>
      </c>
      <c r="AP38" s="180">
        <f t="shared" ca="1" si="35"/>
        <v>20</v>
      </c>
      <c r="AQ38" s="180">
        <f t="shared" ca="1" si="36"/>
        <v>1</v>
      </c>
      <c r="AU38" s="180">
        <f t="shared" ca="1" si="37"/>
        <v>0</v>
      </c>
      <c r="AW38" s="180"/>
      <c r="AX38" s="182"/>
      <c r="AY38" s="182"/>
      <c r="AZ38" s="182"/>
      <c r="BA38" s="128">
        <f t="shared" si="38"/>
        <v>7</v>
      </c>
      <c r="BB38" s="118" t="str">
        <f t="shared" ca="1" si="39"/>
        <v/>
      </c>
      <c r="BL38" s="118">
        <v>0</v>
      </c>
      <c r="BM38" s="118">
        <v>0</v>
      </c>
      <c r="BN38" s="118">
        <v>0</v>
      </c>
      <c r="BQ38" s="118">
        <v>1</v>
      </c>
      <c r="BR38" s="118">
        <v>1</v>
      </c>
      <c r="BS38" s="118">
        <v>1</v>
      </c>
      <c r="BT38" s="183">
        <v>43155.457256944443</v>
      </c>
      <c r="BV38" s="118">
        <v>0</v>
      </c>
      <c r="BW38" s="118">
        <v>0</v>
      </c>
      <c r="BX38" s="118">
        <v>0</v>
      </c>
      <c r="BY38" s="183">
        <f t="shared" si="41"/>
        <v>0</v>
      </c>
      <c r="BZ38" s="183">
        <f t="shared" ca="1" si="40"/>
        <v>0</v>
      </c>
      <c r="CA38" s="244">
        <v>0.45795138888888887</v>
      </c>
    </row>
    <row r="39" spans="1:79" ht="19.5" customHeight="1" x14ac:dyDescent="0.2">
      <c r="A39" s="167" t="s">
        <v>23</v>
      </c>
      <c r="B39" s="168" t="s">
        <v>266</v>
      </c>
      <c r="C39" s="168" t="s">
        <v>261</v>
      </c>
      <c r="D39" s="169" t="s">
        <v>223</v>
      </c>
      <c r="E39" s="169">
        <v>79.150000000000006</v>
      </c>
      <c r="F39" s="169">
        <f>IF(LEFT(D39,1)="M",VLOOKUP(IF($E$7="Bwt (kg)",E39,E39/2.2046),Lists!$B$16:$D$24,IF(ISERROR(FIND("J",D39)),3,2)),VLOOKUP(IF($E$7="Bwt (kg)",E39,E39/2.2046),Lists!$B$26:$D$33,IF(ISERROR(FIND("J",D39)),3,2)))</f>
        <v>84</v>
      </c>
      <c r="G39" s="169">
        <v>9</v>
      </c>
      <c r="H39" s="170">
        <f>IF(AND(VALUE(E39)&gt;0,OR(LEFT(D39,1)="M",LEFT(D39,1)="F")),IF(LEFT(D39,1)="M",Wilks_Men(IF(RIGHT($F$7,4)="(lb)",E39/2.2046,E39)),Wilks_Women(IF(RIGHT($F$7,4)="(lb)",E39/2.2046,E39))),0)</f>
        <v>0.92049998044967651</v>
      </c>
      <c r="I39" s="241">
        <v>33618</v>
      </c>
      <c r="J39" s="128">
        <f ca="1">IF(I39,VLOOKUP(INT((NOW()-I39)/365.25),DATA!$A$2:$B$53,2,TRUE),0)</f>
        <v>1</v>
      </c>
      <c r="K39" s="169"/>
      <c r="L39" s="172"/>
      <c r="M39" s="172"/>
      <c r="N39" s="172"/>
      <c r="O39" s="173" t="str">
        <f t="shared" si="21"/>
        <v/>
      </c>
      <c r="P39" s="174" t="s">
        <v>267</v>
      </c>
      <c r="Q39" s="243">
        <v>85</v>
      </c>
      <c r="R39" s="243">
        <v>90</v>
      </c>
      <c r="S39" s="246">
        <v>-92.5</v>
      </c>
      <c r="T39" s="173">
        <f t="shared" si="22"/>
        <v>90</v>
      </c>
      <c r="U39" s="173" t="str">
        <f t="shared" si="23"/>
        <v/>
      </c>
      <c r="V39" s="167"/>
      <c r="W39" s="175"/>
      <c r="X39" s="167"/>
      <c r="Y39" s="176" t="str">
        <f t="shared" si="24"/>
        <v/>
      </c>
      <c r="Z39" s="173" t="str">
        <f t="shared" ca="1" si="25"/>
        <v/>
      </c>
      <c r="AA39" s="282">
        <f t="shared" si="26"/>
        <v>82.844998240470886</v>
      </c>
      <c r="AB39" s="177">
        <f t="shared" ca="1" si="27"/>
        <v>82.844998240470886</v>
      </c>
      <c r="AC39" s="167">
        <f ca="1">OFFSET(Setup!$F$1,MATCH(D39,INDIRECT("Setup!B1:B100"),0)-1,0)</f>
        <v>2</v>
      </c>
      <c r="AD39" s="178" t="str">
        <f t="shared" ca="1" si="28"/>
        <v/>
      </c>
      <c r="AE39" s="169" t="s">
        <v>117</v>
      </c>
      <c r="AH39" s="179">
        <f ca="1">AU39*(IF(OR(D39="",E39=""),0,MATCH(D39,INDIRECT("Setup!B1:B100"),0)*100000000+IF(AC39=1,(MATCH(F39,Lists!$I$16:$I$32,0)),0)*1000000+IF(Z39=0,0,IF(AC39=1,AN39*1000,IF(AC39=2,AA39,AB39))+IF(AC39=1,AP39+AQ39/1000,0))))</f>
        <v>0</v>
      </c>
      <c r="AI39" s="128">
        <f t="shared" ca="1" si="29"/>
        <v>27</v>
      </c>
      <c r="AJ39" s="128">
        <f t="shared" ca="1" si="30"/>
        <v>0</v>
      </c>
      <c r="AK39" s="128">
        <f t="shared" ca="1" si="31"/>
        <v>27</v>
      </c>
      <c r="AL39" s="128">
        <f t="shared" ca="1" si="32"/>
        <v>1</v>
      </c>
      <c r="AN39" s="180" t="e">
        <f t="shared" ca="1" si="33"/>
        <v>#VALUE!</v>
      </c>
      <c r="AO39" s="180">
        <f t="shared" si="34"/>
        <v>79.150000000000006</v>
      </c>
      <c r="AP39" s="180">
        <f t="shared" ca="1" si="35"/>
        <v>19</v>
      </c>
      <c r="AQ39" s="180">
        <f t="shared" ca="1" si="36"/>
        <v>1</v>
      </c>
      <c r="AU39" s="180">
        <f t="shared" ca="1" si="37"/>
        <v>0</v>
      </c>
      <c r="AW39" s="180"/>
      <c r="AX39" s="182"/>
      <c r="AY39" s="182"/>
      <c r="AZ39" s="182"/>
      <c r="BA39" s="128">
        <f t="shared" si="38"/>
        <v>7</v>
      </c>
      <c r="BB39" s="118" t="str">
        <f t="shared" ca="1" si="39"/>
        <v/>
      </c>
      <c r="BL39" s="118">
        <v>0</v>
      </c>
      <c r="BM39" s="118">
        <v>0</v>
      </c>
      <c r="BN39" s="118">
        <v>0</v>
      </c>
      <c r="BQ39" s="118">
        <v>1</v>
      </c>
      <c r="BR39" s="118">
        <v>1</v>
      </c>
      <c r="BS39" s="118">
        <v>-1</v>
      </c>
      <c r="BT39" s="183">
        <v>43155.451701388891</v>
      </c>
      <c r="BV39" s="118">
        <v>0</v>
      </c>
      <c r="BW39" s="118">
        <v>0</v>
      </c>
      <c r="BX39" s="118">
        <v>0</v>
      </c>
      <c r="BY39" s="183">
        <f t="shared" si="41"/>
        <v>0</v>
      </c>
      <c r="BZ39" s="183">
        <f t="shared" ca="1" si="40"/>
        <v>0</v>
      </c>
      <c r="CA39" s="244">
        <v>0.45868055555555554</v>
      </c>
    </row>
    <row r="40" spans="1:79" ht="19.5" customHeight="1" x14ac:dyDescent="0.2">
      <c r="A40" s="167" t="s">
        <v>23</v>
      </c>
      <c r="B40" s="168" t="s">
        <v>271</v>
      </c>
      <c r="C40" s="168" t="s">
        <v>183</v>
      </c>
      <c r="D40" s="169" t="s">
        <v>223</v>
      </c>
      <c r="E40" s="169">
        <v>83.85</v>
      </c>
      <c r="F40" s="169">
        <f>IF(LEFT(D40,1)="M",VLOOKUP(IF($E$7="Bwt (kg)",E40,E40/2.2046),Lists!$B$16:$D$24,IF(ISERROR(FIND("J",D40)),3,2)),VLOOKUP(IF($E$7="Bwt (kg)",E40,E40/2.2046),Lists!$B$26:$D$33,IF(ISERROR(FIND("J",D40)),3,2)))</f>
        <v>84</v>
      </c>
      <c r="G40" s="169">
        <v>27</v>
      </c>
      <c r="H40" s="170">
        <f>IF(AND(VALUE(E40)&gt;0,OR(LEFT(D40,1)="M",LEFT(D40,1)="F")),IF(LEFT(D40,1)="M",Wilks_Men(IF(RIGHT($F$7,4)="(lb)",E40/2.2046,E40)),Wilks_Women(IF(RIGHT($F$7,4)="(lb)",E40/2.2046,E40))),0)</f>
        <v>0.89249998331069946</v>
      </c>
      <c r="I40" s="241">
        <v>29773</v>
      </c>
      <c r="J40" s="128">
        <f ca="1">IF(I40,VLOOKUP(INT((NOW()-I40)/365.25),DATA!$A$2:$B$53,2,TRUE),0)</f>
        <v>1</v>
      </c>
      <c r="K40" s="169"/>
      <c r="L40" s="172"/>
      <c r="M40" s="172"/>
      <c r="N40" s="172"/>
      <c r="O40" s="173" t="str">
        <f t="shared" si="21"/>
        <v/>
      </c>
      <c r="P40" s="174" t="s">
        <v>272</v>
      </c>
      <c r="Q40" s="243">
        <v>85</v>
      </c>
      <c r="R40" s="243">
        <v>90</v>
      </c>
      <c r="S40" s="243">
        <v>95</v>
      </c>
      <c r="T40" s="173">
        <f t="shared" si="22"/>
        <v>95</v>
      </c>
      <c r="U40" s="173" t="str">
        <f t="shared" si="23"/>
        <v/>
      </c>
      <c r="V40" s="167"/>
      <c r="W40" s="175"/>
      <c r="X40" s="167"/>
      <c r="Y40" s="176" t="str">
        <f t="shared" si="24"/>
        <v/>
      </c>
      <c r="Z40" s="173" t="str">
        <f t="shared" ca="1" si="25"/>
        <v/>
      </c>
      <c r="AA40" s="282">
        <f t="shared" si="26"/>
        <v>84.787498414516449</v>
      </c>
      <c r="AB40" s="177">
        <f t="shared" ca="1" si="27"/>
        <v>84.787498414516449</v>
      </c>
      <c r="AC40" s="167">
        <f ca="1">OFFSET(Setup!$F$1,MATCH(D40,INDIRECT("Setup!B1:B100"),0)-1,0)</f>
        <v>2</v>
      </c>
      <c r="AD40" s="178" t="str">
        <f t="shared" ca="1" si="28"/>
        <v/>
      </c>
      <c r="AE40" s="169" t="s">
        <v>117</v>
      </c>
      <c r="AH40" s="179">
        <f ca="1">AU40*(IF(OR(D40="",E40=""),0,MATCH(D40,INDIRECT("Setup!B1:B100"),0)*100000000+IF(AC40=1,(MATCH(F40,Lists!$I$16:$I$32,0)),0)*1000000+IF(Z40=0,0,IF(AC40=1,AN40*1000,IF(AC40=2,AA40,AB40))+IF(AC40=1,AP40+AQ40/1000,0))))</f>
        <v>0</v>
      </c>
      <c r="AI40" s="128">
        <f t="shared" ca="1" si="29"/>
        <v>27</v>
      </c>
      <c r="AJ40" s="128">
        <f t="shared" ca="1" si="30"/>
        <v>0</v>
      </c>
      <c r="AK40" s="128">
        <f t="shared" ca="1" si="31"/>
        <v>27</v>
      </c>
      <c r="AL40" s="128">
        <f t="shared" ca="1" si="32"/>
        <v>1</v>
      </c>
      <c r="AN40" s="180" t="e">
        <f t="shared" ca="1" si="33"/>
        <v>#VALUE!</v>
      </c>
      <c r="AO40" s="180">
        <f t="shared" si="34"/>
        <v>83.85</v>
      </c>
      <c r="AP40" s="180">
        <f t="shared" ca="1" si="35"/>
        <v>14</v>
      </c>
      <c r="AQ40" s="180">
        <f t="shared" ca="1" si="36"/>
        <v>1</v>
      </c>
      <c r="AU40" s="180">
        <f t="shared" ca="1" si="37"/>
        <v>0</v>
      </c>
      <c r="AW40" s="180"/>
      <c r="AX40" s="182"/>
      <c r="AY40" s="182"/>
      <c r="AZ40" s="182"/>
      <c r="BA40" s="128">
        <f t="shared" si="38"/>
        <v>7</v>
      </c>
      <c r="BB40" s="118" t="str">
        <f t="shared" ca="1" si="39"/>
        <v/>
      </c>
      <c r="BL40" s="118">
        <v>0</v>
      </c>
      <c r="BM40" s="118">
        <v>0</v>
      </c>
      <c r="BN40" s="118">
        <v>0</v>
      </c>
      <c r="BQ40" s="118">
        <v>1</v>
      </c>
      <c r="BR40" s="118">
        <v>1</v>
      </c>
      <c r="BS40" s="118">
        <v>1</v>
      </c>
      <c r="BT40" s="183">
        <v>43155.459664351853</v>
      </c>
      <c r="BV40" s="118">
        <v>0</v>
      </c>
      <c r="BW40" s="118">
        <v>0</v>
      </c>
      <c r="BX40" s="118">
        <v>0</v>
      </c>
      <c r="BY40" s="183">
        <f t="shared" si="41"/>
        <v>0</v>
      </c>
      <c r="BZ40" s="183">
        <f t="shared" ca="1" si="40"/>
        <v>0</v>
      </c>
      <c r="CA40" s="244">
        <v>0.46035879629629628</v>
      </c>
    </row>
    <row r="41" spans="1:79" ht="19.5" customHeight="1" x14ac:dyDescent="0.2">
      <c r="A41" s="167" t="s">
        <v>23</v>
      </c>
      <c r="B41" s="168" t="s">
        <v>277</v>
      </c>
      <c r="C41" s="168" t="s">
        <v>183</v>
      </c>
      <c r="D41" s="169" t="s">
        <v>222</v>
      </c>
      <c r="E41" s="169">
        <v>79.7</v>
      </c>
      <c r="F41" s="169">
        <f>IF(LEFT(D41,1)="M",VLOOKUP(IF($E$7="Bwt (kg)",E41,E41/2.2046),Lists!$B$16:$D$24,IF(ISERROR(FIND("J",D41)),3,2)),VLOOKUP(IF($E$7="Bwt (kg)",E41,E41/2.2046),Lists!$B$26:$D$33,IF(ISERROR(FIND("J",D41)),3,2)))</f>
        <v>83</v>
      </c>
      <c r="G41" s="169">
        <v>29</v>
      </c>
      <c r="H41" s="170">
        <f>IF(AND(VALUE(E41)&gt;0,OR(LEFT(D41,1)="M",LEFT(D41,1)="F")),IF(LEFT(D41,1)="M",Wilks_Men(IF(RIGHT($F$7,4)="(lb)",E41/2.2046,E41)),Wilks_Women(IF(RIGHT($F$7,4)="(lb)",E41/2.2046,E41))),0)</f>
        <v>0.6843000054359436</v>
      </c>
      <c r="I41" s="241">
        <v>30579</v>
      </c>
      <c r="J41" s="128">
        <f ca="1">IF(I41,VLOOKUP(INT((NOW()-I41)/365.25),DATA!$A$2:$B$53,2,TRUE),0)</f>
        <v>1</v>
      </c>
      <c r="K41" s="169"/>
      <c r="L41" s="172"/>
      <c r="M41" s="172"/>
      <c r="N41" s="172"/>
      <c r="O41" s="173" t="str">
        <f t="shared" si="21"/>
        <v/>
      </c>
      <c r="P41" s="174" t="s">
        <v>278</v>
      </c>
      <c r="Q41" s="243">
        <v>115</v>
      </c>
      <c r="R41" s="243">
        <v>120</v>
      </c>
      <c r="S41" s="243">
        <v>125</v>
      </c>
      <c r="T41" s="173">
        <f t="shared" si="22"/>
        <v>125</v>
      </c>
      <c r="U41" s="173" t="str">
        <f t="shared" si="23"/>
        <v/>
      </c>
      <c r="V41" s="167"/>
      <c r="W41" s="175"/>
      <c r="X41" s="167"/>
      <c r="Y41" s="176" t="str">
        <f t="shared" si="24"/>
        <v/>
      </c>
      <c r="Z41" s="173" t="str">
        <f t="shared" ca="1" si="25"/>
        <v/>
      </c>
      <c r="AA41" s="282">
        <f t="shared" si="26"/>
        <v>85.53750067949295</v>
      </c>
      <c r="AB41" s="177">
        <f t="shared" ca="1" si="27"/>
        <v>85.53750067949295</v>
      </c>
      <c r="AC41" s="167">
        <f ca="1">OFFSET(Setup!$F$1,MATCH(D41,INDIRECT("Setup!B1:B100"),0)-1,0)</f>
        <v>2</v>
      </c>
      <c r="AD41" s="178" t="str">
        <f t="shared" ca="1" si="28"/>
        <v/>
      </c>
      <c r="AE41" s="169" t="s">
        <v>117</v>
      </c>
      <c r="AH41" s="179">
        <f ca="1">AU41*(IF(OR(D41="",E41=""),0,MATCH(D41,INDIRECT("Setup!B1:B100"),0)*100000000+IF(AC41=1,(MATCH(F41,Lists!$I$16:$I$32,0)),0)*1000000+IF(Z41=0,0,IF(AC41=1,AN41*1000,IF(AC41=2,AA41,AB41))+IF(AC41=1,AP41+AQ41/1000,0))))</f>
        <v>0</v>
      </c>
      <c r="AI41" s="128">
        <f t="shared" ca="1" si="29"/>
        <v>27</v>
      </c>
      <c r="AJ41" s="128">
        <f t="shared" ca="1" si="30"/>
        <v>0</v>
      </c>
      <c r="AK41" s="128">
        <f t="shared" ca="1" si="31"/>
        <v>27</v>
      </c>
      <c r="AL41" s="128">
        <f t="shared" ca="1" si="32"/>
        <v>1</v>
      </c>
      <c r="AN41" s="180" t="e">
        <f t="shared" ca="1" si="33"/>
        <v>#VALUE!</v>
      </c>
      <c r="AO41" s="180">
        <f t="shared" si="34"/>
        <v>79.7</v>
      </c>
      <c r="AP41" s="180">
        <f t="shared" ca="1" si="35"/>
        <v>18</v>
      </c>
      <c r="AQ41" s="180">
        <f t="shared" ca="1" si="36"/>
        <v>1</v>
      </c>
      <c r="AU41" s="180">
        <f t="shared" ca="1" si="37"/>
        <v>0</v>
      </c>
      <c r="AW41" s="180"/>
      <c r="AX41" s="182"/>
      <c r="AY41" s="182"/>
      <c r="AZ41" s="182"/>
      <c r="BA41" s="128">
        <f t="shared" si="38"/>
        <v>7</v>
      </c>
      <c r="BB41" s="118" t="str">
        <f t="shared" ca="1" si="39"/>
        <v/>
      </c>
      <c r="BL41" s="118">
        <v>0</v>
      </c>
      <c r="BM41" s="118">
        <v>0</v>
      </c>
      <c r="BN41" s="118">
        <v>0</v>
      </c>
      <c r="BQ41" s="118">
        <v>1</v>
      </c>
      <c r="BR41" s="118">
        <v>1</v>
      </c>
      <c r="BS41" s="118">
        <v>1</v>
      </c>
      <c r="BT41" s="183">
        <v>43155.460509259261</v>
      </c>
      <c r="BV41" s="118">
        <v>0</v>
      </c>
      <c r="BW41" s="118">
        <v>0</v>
      </c>
      <c r="BX41" s="118">
        <v>0</v>
      </c>
      <c r="BY41" s="183">
        <f t="shared" si="41"/>
        <v>0</v>
      </c>
      <c r="BZ41" s="183">
        <f t="shared" ca="1" si="40"/>
        <v>0</v>
      </c>
      <c r="CA41" s="244">
        <v>0.46120370370370373</v>
      </c>
    </row>
    <row r="42" spans="1:79" ht="19.5" customHeight="1" x14ac:dyDescent="0.2">
      <c r="A42" s="167" t="s">
        <v>23</v>
      </c>
      <c r="B42" s="168" t="s">
        <v>275</v>
      </c>
      <c r="C42" s="168" t="s">
        <v>261</v>
      </c>
      <c r="D42" s="169" t="s">
        <v>222</v>
      </c>
      <c r="E42" s="169">
        <v>92.2</v>
      </c>
      <c r="F42" s="169">
        <f>IF(LEFT(D42,1)="M",VLOOKUP(IF($E$7="Bwt (kg)",E42,E42/2.2046),Lists!$B$16:$D$24,IF(ISERROR(FIND("J",D42)),3,2)),VLOOKUP(IF($E$7="Bwt (kg)",E42,E42/2.2046),Lists!$B$26:$D$33,IF(ISERROR(FIND("J",D42)),3,2)))</f>
        <v>93</v>
      </c>
      <c r="G42" s="169">
        <v>4</v>
      </c>
      <c r="H42" s="170">
        <f>IF(AND(VALUE(E42)&gt;0,OR(LEFT(D42,1)="M",LEFT(D42,1)="F")),IF(LEFT(D42,1)="M",Wilks_Men(IF(RIGHT($F$7,4)="(lb)",E42/2.2046,E42)),Wilks_Women(IF(RIGHT($F$7,4)="(lb)",E42/2.2046,E42))),0)</f>
        <v>0.63080000877380371</v>
      </c>
      <c r="I42" s="241">
        <v>34130</v>
      </c>
      <c r="J42" s="128">
        <f ca="1">IF(I42,VLOOKUP(INT((NOW()-I42)/365.25),DATA!$A$2:$B$53,2,TRUE),0)</f>
        <v>1</v>
      </c>
      <c r="K42" s="169"/>
      <c r="L42" s="172"/>
      <c r="M42" s="172"/>
      <c r="N42" s="172"/>
      <c r="O42" s="173" t="str">
        <f t="shared" si="21"/>
        <v/>
      </c>
      <c r="P42" s="174" t="s">
        <v>276</v>
      </c>
      <c r="Q42" s="243">
        <v>130</v>
      </c>
      <c r="R42" s="243">
        <v>135</v>
      </c>
      <c r="S42" s="243">
        <v>140</v>
      </c>
      <c r="T42" s="173">
        <f t="shared" si="22"/>
        <v>140</v>
      </c>
      <c r="U42" s="173" t="str">
        <f t="shared" si="23"/>
        <v/>
      </c>
      <c r="V42" s="167"/>
      <c r="W42" s="175"/>
      <c r="X42" s="167"/>
      <c r="Y42" s="176" t="str">
        <f t="shared" si="24"/>
        <v/>
      </c>
      <c r="Z42" s="173" t="str">
        <f t="shared" ca="1" si="25"/>
        <v/>
      </c>
      <c r="AA42" s="282">
        <f t="shared" si="26"/>
        <v>88.31200122833252</v>
      </c>
      <c r="AB42" s="177">
        <f t="shared" ca="1" si="27"/>
        <v>88.31200122833252</v>
      </c>
      <c r="AC42" s="167">
        <f ca="1">OFFSET(Setup!$F$1,MATCH(D42,INDIRECT("Setup!B1:B100"),0)-1,0)</f>
        <v>2</v>
      </c>
      <c r="AD42" s="178" t="str">
        <f t="shared" ca="1" si="28"/>
        <v/>
      </c>
      <c r="AE42" s="169" t="s">
        <v>117</v>
      </c>
      <c r="AH42" s="179">
        <f ca="1">AU42*(IF(OR(D42="",E42=""),0,MATCH(D42,INDIRECT("Setup!B1:B100"),0)*100000000+IF(AC42=1,(MATCH(F42,Lists!$I$16:$I$32,0)),0)*1000000+IF(Z42=0,0,IF(AC42=1,AN42*1000,IF(AC42=2,AA42,AB42))+IF(AC42=1,AP42+AQ42/1000,0))))</f>
        <v>0</v>
      </c>
      <c r="AI42" s="128">
        <f t="shared" ca="1" si="29"/>
        <v>27</v>
      </c>
      <c r="AJ42" s="128">
        <f t="shared" ca="1" si="30"/>
        <v>0</v>
      </c>
      <c r="AK42" s="128">
        <f t="shared" ca="1" si="31"/>
        <v>27</v>
      </c>
      <c r="AL42" s="128">
        <f t="shared" ca="1" si="32"/>
        <v>1</v>
      </c>
      <c r="AN42" s="180" t="e">
        <f t="shared" ca="1" si="33"/>
        <v>#VALUE!</v>
      </c>
      <c r="AO42" s="180">
        <f t="shared" si="34"/>
        <v>92.2</v>
      </c>
      <c r="AP42" s="180">
        <f t="shared" ca="1" si="35"/>
        <v>9</v>
      </c>
      <c r="AQ42" s="180">
        <f t="shared" ca="1" si="36"/>
        <v>1</v>
      </c>
      <c r="AU42" s="180">
        <f t="shared" ca="1" si="37"/>
        <v>0</v>
      </c>
      <c r="AW42" s="180"/>
      <c r="AX42" s="182"/>
      <c r="AY42" s="182"/>
      <c r="AZ42" s="182"/>
      <c r="BA42" s="128">
        <f t="shared" si="38"/>
        <v>7</v>
      </c>
      <c r="BB42" s="118" t="str">
        <f t="shared" ca="1" si="39"/>
        <v/>
      </c>
      <c r="BL42" s="118">
        <v>0</v>
      </c>
      <c r="BM42" s="118">
        <v>0</v>
      </c>
      <c r="BN42" s="118">
        <v>0</v>
      </c>
      <c r="BQ42" s="118">
        <v>1</v>
      </c>
      <c r="BR42" s="118">
        <v>1</v>
      </c>
      <c r="BS42" s="118">
        <v>1</v>
      </c>
      <c r="BT42" s="183">
        <v>43155.461261574077</v>
      </c>
      <c r="BV42" s="118">
        <v>0</v>
      </c>
      <c r="BW42" s="118">
        <v>0</v>
      </c>
      <c r="BX42" s="118">
        <v>0</v>
      </c>
      <c r="BY42" s="183">
        <f t="shared" si="41"/>
        <v>0</v>
      </c>
      <c r="BZ42" s="183">
        <f t="shared" ca="1" si="40"/>
        <v>0</v>
      </c>
      <c r="CA42" s="244">
        <v>0.46195601851851853</v>
      </c>
    </row>
  </sheetData>
  <sheetProtection sheet="1" objects="1" scenarios="1"/>
  <sortState ref="A9:XFD42">
    <sortCondition ref="BA9"/>
    <sortCondition ref="BB9"/>
  </sortState>
  <mergeCells count="8">
    <mergeCell ref="A1:G1"/>
    <mergeCell ref="A5:B5"/>
    <mergeCell ref="A3:B3"/>
    <mergeCell ref="A4:B4"/>
    <mergeCell ref="A2:B2"/>
    <mergeCell ref="C2:E3"/>
    <mergeCell ref="F2:G3"/>
    <mergeCell ref="C4:E4"/>
  </mergeCells>
  <phoneticPr fontId="0" type="noConversion"/>
  <conditionalFormatting sqref="L8 Q8 V8">
    <cfRule type="expression" dxfId="70" priority="238" stopIfTrue="1">
      <formula>AND(BL8=0,COLUMN(L8)=$BD$4,ROW(L8)=$AY$5)</formula>
    </cfRule>
    <cfRule type="expression" dxfId="69" priority="239" stopIfTrue="1">
      <formula>OR(AND(BL8=1,COLUMN(L8)&lt;=$BD$4,ROW(L8)=$AY$5),AND(BL8=1,COLUMN(L8)=$BD$4,ROW(L8)&lt;=$AY$5))</formula>
    </cfRule>
  </conditionalFormatting>
  <conditionalFormatting sqref="M8:N8 R8:S8 W8:X8">
    <cfRule type="expression" dxfId="68" priority="240" stopIfTrue="1">
      <formula>AND(BM8=0,COLUMN(M8)=$BD$4,ROW(M8)=$AY$5)</formula>
    </cfRule>
    <cfRule type="expression" dxfId="67" priority="241" stopIfTrue="1">
      <formula>OR(AND(BM8=1,COLUMN(M8)&lt;=$BD$4,ROW(M8)=$AY$5),AND(BM8=1,COLUMN(M8)=$BD$4,ROW(M8)&lt;=$AY$5))</formula>
    </cfRule>
    <cfRule type="expression" dxfId="66" priority="242" stopIfTrue="1">
      <formula>AND(M8="",BL8&lt;&gt;0,$CA8&lt;&gt;0,$CA8&lt;$CA$5)</formula>
    </cfRule>
  </conditionalFormatting>
  <conditionalFormatting sqref="Z8:Z42">
    <cfRule type="expression" dxfId="65" priority="228" stopIfTrue="1">
      <formula>AND(ROW(Z8)=$AY$5)</formula>
    </cfRule>
    <cfRule type="expression" dxfId="64" priority="229" stopIfTrue="1">
      <formula>AND(AC8=1)</formula>
    </cfRule>
  </conditionalFormatting>
  <conditionalFormatting sqref="AB8">
    <cfRule type="expression" dxfId="63" priority="231" stopIfTrue="1">
      <formula>AND($AC8=3)</formula>
    </cfRule>
  </conditionalFormatting>
  <conditionalFormatting sqref="A4">
    <cfRule type="expression" dxfId="62" priority="236" stopIfTrue="1">
      <formula>ISNA(A4)</formula>
    </cfRule>
  </conditionalFormatting>
  <conditionalFormatting sqref="A8">
    <cfRule type="expression" dxfId="61" priority="232" stopIfTrue="1">
      <formula>AND(A8=RIGHT($A$7,1))</formula>
    </cfRule>
  </conditionalFormatting>
  <conditionalFormatting sqref="L7:N7 Q7:S7 V7:X7">
    <cfRule type="expression" dxfId="60" priority="234" stopIfTrue="1">
      <formula>AND(COLUMN(L7)=$BD$4)</formula>
    </cfRule>
  </conditionalFormatting>
  <conditionalFormatting sqref="K8 C8:G8 O8:O42 T8:U42 Y8:Y42">
    <cfRule type="expression" dxfId="59" priority="235" stopIfTrue="1">
      <formula>AND(ROW(C8)=$AY$5)</formula>
    </cfRule>
  </conditionalFormatting>
  <conditionalFormatting sqref="B8">
    <cfRule type="cellIs" dxfId="58" priority="252" stopIfTrue="1" operator="equal">
      <formula>$A$1</formula>
    </cfRule>
    <cfRule type="expression" dxfId="57" priority="253" stopIfTrue="1">
      <formula>AND(ROW(B8)=$AG$7)</formula>
    </cfRule>
  </conditionalFormatting>
  <conditionalFormatting sqref="AD8">
    <cfRule type="expression" dxfId="56" priority="282" stopIfTrue="1">
      <formula>AND(AJ8=$AM$5)</formula>
    </cfRule>
  </conditionalFormatting>
  <conditionalFormatting sqref="L35:L42 Q35:Q42 V35:V42">
    <cfRule type="expression" dxfId="55" priority="35" stopIfTrue="1">
      <formula>AND(BL35=0,COLUMN(L35)=$BD$4,ROW(L35)=$AY$5)</formula>
    </cfRule>
    <cfRule type="expression" dxfId="54" priority="36" stopIfTrue="1">
      <formula>OR(AND(BL35=1,COLUMN(L35)&lt;=$BD$4,ROW(L35)=$AY$5),AND(BL35=1,COLUMN(L35)=$BD$4,ROW(L35)&lt;=$AY$5))</formula>
    </cfRule>
  </conditionalFormatting>
  <conditionalFormatting sqref="M35:N42 R35:S42 W35:X42">
    <cfRule type="expression" dxfId="53" priority="37" stopIfTrue="1">
      <formula>AND(BM35=0,COLUMN(M35)=$BD$4,ROW(M35)=$AY$5)</formula>
    </cfRule>
    <cfRule type="expression" dxfId="52" priority="38" stopIfTrue="1">
      <formula>OR(AND(BM35=1,COLUMN(M35)&lt;=$BD$4,ROW(M35)=$AY$5),AND(BM35=1,COLUMN(M35)=$BD$4,ROW(M35)&lt;=$AY$5))</formula>
    </cfRule>
    <cfRule type="expression" dxfId="51" priority="39" stopIfTrue="1">
      <formula>AND(M35="",BL35&lt;&gt;0,$CA35&lt;&gt;0,$CA35&lt;$CA$5)</formula>
    </cfRule>
  </conditionalFormatting>
  <conditionalFormatting sqref="AB35:AB42">
    <cfRule type="expression" dxfId="50" priority="32" stopIfTrue="1">
      <formula>AND($AC35=3)</formula>
    </cfRule>
  </conditionalFormatting>
  <conditionalFormatting sqref="A35:A42">
    <cfRule type="expression" dxfId="49" priority="33" stopIfTrue="1">
      <formula>AND(A35=RIGHT($A$7,1))</formula>
    </cfRule>
  </conditionalFormatting>
  <conditionalFormatting sqref="K35:K42 C35:G42">
    <cfRule type="expression" dxfId="48" priority="34" stopIfTrue="1">
      <formula>AND(ROW(C35)=$AY$5)</formula>
    </cfRule>
  </conditionalFormatting>
  <conditionalFormatting sqref="AD35:AD42">
    <cfRule type="expression" dxfId="47" priority="42" stopIfTrue="1">
      <formula>AND(AJ35=$AM$5)</formula>
    </cfRule>
  </conditionalFormatting>
  <conditionalFormatting sqref="B35:B42">
    <cfRule type="cellIs" dxfId="46" priority="40" stopIfTrue="1" operator="equal">
      <formula>$A$1</formula>
    </cfRule>
    <cfRule type="expression" dxfId="45" priority="41" stopIfTrue="1">
      <formula>AND(ROW(B35)=$AG$7)</formula>
    </cfRule>
  </conditionalFormatting>
  <conditionalFormatting sqref="L23:L34 Q23:Q34 V23:V34">
    <cfRule type="expression" dxfId="44" priority="21" stopIfTrue="1">
      <formula>AND(BL23=0,COLUMN(L23)=$BD$4,ROW(L23)=$AY$5)</formula>
    </cfRule>
    <cfRule type="expression" dxfId="43" priority="22" stopIfTrue="1">
      <formula>OR(AND(BL23=1,COLUMN(L23)&lt;=$BD$4,ROW(L23)=$AY$5),AND(BL23=1,COLUMN(L23)=$BD$4,ROW(L23)&lt;=$AY$5))</formula>
    </cfRule>
  </conditionalFormatting>
  <conditionalFormatting sqref="M23:N34 R23:S34 W23:X34">
    <cfRule type="expression" dxfId="42" priority="23" stopIfTrue="1">
      <formula>AND(BM23=0,COLUMN(M23)=$BD$4,ROW(M23)=$AY$5)</formula>
    </cfRule>
    <cfRule type="expression" dxfId="41" priority="24" stopIfTrue="1">
      <formula>OR(AND(BM23=1,COLUMN(M23)&lt;=$BD$4,ROW(M23)=$AY$5),AND(BM23=1,COLUMN(M23)=$BD$4,ROW(M23)&lt;=$AY$5))</formula>
    </cfRule>
    <cfRule type="expression" dxfId="40" priority="25" stopIfTrue="1">
      <formula>AND(M23="",BL23&lt;&gt;0,$CA23&lt;&gt;0,$CA23&lt;$CA$5)</formula>
    </cfRule>
  </conditionalFormatting>
  <conditionalFormatting sqref="AB23:AB34">
    <cfRule type="expression" dxfId="39" priority="18" stopIfTrue="1">
      <formula>AND($AC23=3)</formula>
    </cfRule>
  </conditionalFormatting>
  <conditionalFormatting sqref="A23:A34">
    <cfRule type="expression" dxfId="38" priority="19" stopIfTrue="1">
      <formula>AND(A23=RIGHT($A$7,1))</formula>
    </cfRule>
  </conditionalFormatting>
  <conditionalFormatting sqref="K23:K34 C23:G34">
    <cfRule type="expression" dxfId="37" priority="20" stopIfTrue="1">
      <formula>AND(ROW(C23)=$AY$5)</formula>
    </cfRule>
  </conditionalFormatting>
  <conditionalFormatting sqref="B23:B34">
    <cfRule type="cellIs" dxfId="36" priority="26" stopIfTrue="1" operator="equal">
      <formula>$A$1</formula>
    </cfRule>
    <cfRule type="expression" dxfId="35" priority="27" stopIfTrue="1">
      <formula>AND(ROW(B23)=$AG$7)</formula>
    </cfRule>
  </conditionalFormatting>
  <conditionalFormatting sqref="AD23:AD34">
    <cfRule type="expression" dxfId="34" priority="28" stopIfTrue="1">
      <formula>AND(AJ23=$AM$5)</formula>
    </cfRule>
  </conditionalFormatting>
  <conditionalFormatting sqref="L9:L22 Q9:Q22 V9:V22">
    <cfRule type="expression" dxfId="33" priority="7" stopIfTrue="1">
      <formula>AND(BL9=0,COLUMN(L9)=$BD$4,ROW(L9)=$AY$5)</formula>
    </cfRule>
    <cfRule type="expression" dxfId="32" priority="8" stopIfTrue="1">
      <formula>OR(AND(BL9=1,COLUMN(L9)&lt;=$BD$4,ROW(L9)=$AY$5),AND(BL9=1,COLUMN(L9)=$BD$4,ROW(L9)&lt;=$AY$5))</formula>
    </cfRule>
  </conditionalFormatting>
  <conditionalFormatting sqref="M9:N22 R9:S22 W9:X22">
    <cfRule type="expression" dxfId="31" priority="9" stopIfTrue="1">
      <formula>AND(BM9=0,COLUMN(M9)=$BD$4,ROW(M9)=$AY$5)</formula>
    </cfRule>
    <cfRule type="expression" dxfId="30" priority="10" stopIfTrue="1">
      <formula>OR(AND(BM9=1,COLUMN(M9)&lt;=$BD$4,ROW(M9)=$AY$5),AND(BM9=1,COLUMN(M9)=$BD$4,ROW(M9)&lt;=$AY$5))</formula>
    </cfRule>
    <cfRule type="expression" dxfId="29" priority="11" stopIfTrue="1">
      <formula>AND(M9="",BL9&lt;&gt;0,$CA9&lt;&gt;0,$CA9&lt;$CA$5)</formula>
    </cfRule>
  </conditionalFormatting>
  <conditionalFormatting sqref="AA8:AA42">
    <cfRule type="expression" dxfId="28" priority="3" stopIfTrue="1">
      <formula>AND($AC8=2)</formula>
    </cfRule>
  </conditionalFormatting>
  <conditionalFormatting sqref="AB9:AB22">
    <cfRule type="expression" dxfId="27" priority="4" stopIfTrue="1">
      <formula>AND($AC9=3)</formula>
    </cfRule>
  </conditionalFormatting>
  <conditionalFormatting sqref="A9:A22">
    <cfRule type="expression" dxfId="26" priority="5" stopIfTrue="1">
      <formula>AND(A9=RIGHT($A$7,1))</formula>
    </cfRule>
  </conditionalFormatting>
  <conditionalFormatting sqref="K9:K22 C9:G22">
    <cfRule type="expression" dxfId="25" priority="6" stopIfTrue="1">
      <formula>AND(ROW(C9)=$AY$5)</formula>
    </cfRule>
  </conditionalFormatting>
  <conditionalFormatting sqref="B9:B22">
    <cfRule type="cellIs" dxfId="24" priority="12" stopIfTrue="1" operator="equal">
      <formula>$A$1</formula>
    </cfRule>
    <cfRule type="expression" dxfId="23" priority="13" stopIfTrue="1">
      <formula>AND(ROW(B9)=$AG$7)</formula>
    </cfRule>
  </conditionalFormatting>
  <conditionalFormatting sqref="AD9:AD22">
    <cfRule type="expression" dxfId="22" priority="14" stopIfTrue="1">
      <formula>AND(AJ9=$AM$5)</formula>
    </cfRule>
  </conditionalFormatting>
  <dataValidations count="14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L8:L42 V8:V42 Q8:Q42">
      <formula1>AND(MOD(L8,IF($F$2="Lb",5,2.5))=0)</formula1>
    </dataValidation>
    <dataValidation type="list" errorStyle="information" allowBlank="1" showInputMessage="1" showErrorMessage="1" sqref="AC8:AC42">
      <formula1>"1,2,3"</formula1>
    </dataValidation>
    <dataValidation type="list" allowBlank="1" showInputMessage="1" showErrorMessage="1" sqref="D8:D42">
      <formula1>INDIRECT($AS$3)</formula1>
    </dataValidation>
    <dataValidation type="list" allowBlank="1" showInputMessage="1" showErrorMessage="1" sqref="C8:C42">
      <formula1>INDIRECT($AS$4)</formula1>
    </dataValidation>
    <dataValidation type="list" allowBlank="1" showInputMessage="1" showErrorMessage="1" sqref="AC43:AC65530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M8:N42 R8:S42 W8:X42">
      <formula1>AND(M8&gt;L8,M8&gt;=ABS(L8),MOD(M8,IF($F$2="Lb",5,2.5))=0)</formula1>
    </dataValidation>
    <dataValidation type="list" allowBlank="1" showInputMessage="1" showErrorMessage="1" sqref="A8:A65530">
      <formula1>"A,B,C,D,E,F,G,H"</formula1>
    </dataValidation>
    <dataValidation type="list" allowBlank="1" showInputMessage="1" showErrorMessage="1" sqref="D5">
      <formula1>"-,A,B,C,D,E,F,G,H"</formula1>
    </dataValidation>
    <dataValidation type="list" allowBlank="1" showInputMessage="1" showErrorMessage="1" sqref="E5">
      <formula1>"-,SQ,BP,DL"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Z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1.7109375" style="204" customWidth="1"/>
    <col min="2" max="2" width="7.7109375" style="261" customWidth="1"/>
    <col min="3" max="3" width="6.85546875" style="261" customWidth="1"/>
    <col min="4" max="4" width="23.42578125" style="261" bestFit="1" customWidth="1"/>
    <col min="5" max="5" width="24.7109375" style="261" bestFit="1" customWidth="1"/>
    <col min="6" max="6" width="8.5703125" style="261" customWidth="1"/>
    <col min="7" max="7" width="9.140625" style="204"/>
    <col min="8" max="16" width="8.7109375" style="200" customWidth="1"/>
    <col min="17" max="17" width="8.7109375" style="208" customWidth="1"/>
    <col min="18" max="18" width="8.7109375" style="200" hidden="1" customWidth="1"/>
    <col min="19" max="26" width="9.140625" style="204" hidden="1" customWidth="1"/>
    <col min="27" max="27" width="1.7109375" style="204" customWidth="1"/>
    <col min="28" max="16384" width="9.140625" style="204"/>
  </cols>
  <sheetData>
    <row r="1" spans="1:18" s="199" customFormat="1" ht="9" customHeight="1" x14ac:dyDescent="0.2">
      <c r="B1" s="259"/>
      <c r="C1" s="250"/>
      <c r="D1" s="250"/>
      <c r="E1" s="309"/>
      <c r="F1" s="250"/>
      <c r="G1" s="196"/>
      <c r="H1" s="195"/>
      <c r="I1" s="197"/>
      <c r="J1" s="197"/>
      <c r="K1" s="197"/>
      <c r="L1" s="197"/>
      <c r="M1" s="197"/>
      <c r="N1" s="197"/>
      <c r="O1" s="195"/>
      <c r="P1" s="195"/>
      <c r="Q1" s="198"/>
    </row>
    <row r="2" spans="1:18" ht="9" customHeight="1" x14ac:dyDescent="0.75">
      <c r="B2" s="401"/>
      <c r="C2" s="401"/>
      <c r="D2" s="401"/>
      <c r="E2" s="401"/>
      <c r="F2" s="401"/>
      <c r="G2" s="401"/>
      <c r="H2" s="402" t="str">
        <f ca="1">IF(Lifting!C2="","",CONCATENATE(ABS(Lifting!C2)," kg"))</f>
        <v>70 kg</v>
      </c>
      <c r="I2" s="402"/>
      <c r="J2" s="402"/>
      <c r="K2" s="196"/>
      <c r="O2" s="201"/>
      <c r="P2" s="202"/>
      <c r="Q2" s="203"/>
      <c r="R2" s="202"/>
    </row>
    <row r="3" spans="1:18" ht="15" customHeight="1" x14ac:dyDescent="0.75">
      <c r="B3" s="401"/>
      <c r="C3" s="401"/>
      <c r="D3" s="401"/>
      <c r="E3" s="401"/>
      <c r="F3" s="401"/>
      <c r="G3" s="401"/>
      <c r="H3" s="402"/>
      <c r="I3" s="402"/>
      <c r="J3" s="402"/>
      <c r="K3" s="196"/>
      <c r="O3" s="202"/>
      <c r="P3" s="202"/>
      <c r="Q3" s="203"/>
      <c r="R3" s="202"/>
    </row>
    <row r="4" spans="1:18" ht="9" customHeight="1" x14ac:dyDescent="0.75">
      <c r="B4" s="401"/>
      <c r="C4" s="401"/>
      <c r="D4" s="401"/>
      <c r="E4" s="401"/>
      <c r="F4" s="401"/>
      <c r="G4" s="401"/>
      <c r="H4" s="402"/>
      <c r="I4" s="402"/>
      <c r="J4" s="402"/>
      <c r="K4" s="196"/>
      <c r="O4" s="202"/>
      <c r="P4" s="202"/>
      <c r="Q4" s="203"/>
      <c r="R4" s="202"/>
    </row>
    <row r="5" spans="1:18" ht="15" customHeight="1" x14ac:dyDescent="0.75">
      <c r="B5" s="403"/>
      <c r="C5" s="403"/>
      <c r="D5" s="403"/>
      <c r="E5" s="403"/>
      <c r="F5" s="403"/>
      <c r="G5" s="403"/>
      <c r="H5" s="402"/>
      <c r="I5" s="402"/>
      <c r="J5" s="402"/>
      <c r="O5" s="202"/>
      <c r="P5" s="202"/>
      <c r="Q5" s="203"/>
      <c r="R5" s="202"/>
    </row>
    <row r="6" spans="1:18" ht="15" customHeight="1" x14ac:dyDescent="0.2">
      <c r="B6" s="403"/>
      <c r="C6" s="403"/>
      <c r="D6" s="403"/>
      <c r="E6" s="403"/>
      <c r="F6" s="403"/>
      <c r="G6" s="403"/>
      <c r="H6" s="404" t="str">
        <f ca="1">IF(Lifting!G4="","",CONCATENATE("Höjd: ",Lifting!G4))</f>
        <v>Höjd: 15</v>
      </c>
      <c r="I6" s="404"/>
      <c r="J6" s="404"/>
      <c r="K6" s="205"/>
      <c r="O6" s="206"/>
      <c r="P6" s="206"/>
      <c r="Q6" s="207"/>
      <c r="R6" s="199"/>
    </row>
    <row r="7" spans="1:18" ht="15" customHeight="1" x14ac:dyDescent="0.2">
      <c r="B7" s="405"/>
      <c r="C7" s="405"/>
      <c r="D7" s="405"/>
      <c r="E7" s="405"/>
      <c r="F7" s="405"/>
      <c r="G7" s="405"/>
      <c r="H7" s="404"/>
      <c r="I7" s="404"/>
      <c r="J7" s="404"/>
      <c r="R7" s="204"/>
    </row>
    <row r="8" spans="1:18" ht="3" customHeight="1" x14ac:dyDescent="0.25">
      <c r="B8" s="252"/>
      <c r="C8" s="260"/>
      <c r="D8" s="252"/>
      <c r="E8" s="310"/>
      <c r="F8" s="251"/>
      <c r="G8" s="209"/>
      <c r="H8" s="404"/>
      <c r="I8" s="404"/>
      <c r="J8" s="404"/>
      <c r="K8" s="210"/>
      <c r="L8" s="210"/>
      <c r="M8" s="210"/>
      <c r="N8" s="210"/>
      <c r="R8" s="204"/>
    </row>
    <row r="9" spans="1:18" ht="9" customHeight="1" x14ac:dyDescent="0.2">
      <c r="B9" s="251"/>
      <c r="C9" s="260"/>
      <c r="D9" s="251"/>
      <c r="E9" s="310"/>
      <c r="F9" s="251"/>
      <c r="G9" s="211"/>
      <c r="H9" s="211"/>
      <c r="I9" s="211"/>
      <c r="J9" s="211"/>
      <c r="K9" s="212"/>
      <c r="L9" s="212"/>
      <c r="M9" s="212"/>
      <c r="R9" s="204"/>
    </row>
    <row r="10" spans="1:18" ht="15.75" x14ac:dyDescent="0.25">
      <c r="B10" s="293" t="s">
        <v>188</v>
      </c>
      <c r="C10" s="294" t="s">
        <v>189</v>
      </c>
      <c r="D10" s="294" t="s">
        <v>190</v>
      </c>
      <c r="E10" s="317" t="s">
        <v>191</v>
      </c>
      <c r="F10" s="294" t="s">
        <v>192</v>
      </c>
      <c r="G10" s="295" t="s">
        <v>193</v>
      </c>
      <c r="H10" s="295" t="s">
        <v>194</v>
      </c>
      <c r="I10" s="295" t="s">
        <v>195</v>
      </c>
      <c r="J10" s="295" t="s">
        <v>196</v>
      </c>
      <c r="K10" s="295" t="s">
        <v>197</v>
      </c>
      <c r="L10" s="295" t="s">
        <v>198</v>
      </c>
      <c r="M10" s="295" t="s">
        <v>199</v>
      </c>
      <c r="N10" s="295" t="s">
        <v>200</v>
      </c>
      <c r="O10" s="296" t="s">
        <v>201</v>
      </c>
      <c r="P10" s="296" t="s">
        <v>202</v>
      </c>
      <c r="Q10" s="297" t="s">
        <v>186</v>
      </c>
      <c r="R10" s="204"/>
    </row>
    <row r="11" spans="1:18" ht="15.75" x14ac:dyDescent="0.25">
      <c r="A11" s="292">
        <v>9</v>
      </c>
      <c r="B11" s="298" t="str">
        <f ca="1">INDIRECT("Lifting!A"&amp;$A11)</f>
        <v>B</v>
      </c>
      <c r="C11" s="298">
        <f ca="1">INDIRECT("Lifting!G"&amp;$A11)</f>
        <v>10</v>
      </c>
      <c r="D11" s="298" t="str">
        <f ca="1">INDIRECT("Lifting!B"&amp;$A11)</f>
        <v>Frida Gustavsson</v>
      </c>
      <c r="E11" s="316" t="str">
        <f ca="1">OFFSET(Setup!$P$1,MATCH(INDIRECT("Lifting!C"&amp;$A11),Setup!O:O,0)-1,0)</f>
        <v>Sommarhemmets KS</v>
      </c>
      <c r="F11" s="311">
        <f ca="1">INDIRECT("Lifting!E"&amp;$A11)</f>
        <v>97.35</v>
      </c>
      <c r="G11" s="299">
        <f ca="1">IF(INDIRECT("Lifting!L"&amp;$A11)="","",ABS(INDIRECT("Lifting!L"&amp;$A11)))</f>
        <v>70</v>
      </c>
      <c r="H11" s="299">
        <f ca="1">IF(INDIRECT("Lifting!M"&amp;$A11)="","",ABS(INDIRECT("Lifting!M"&amp;$A11)))</f>
        <v>80</v>
      </c>
      <c r="I11" s="299">
        <f ca="1">IF(INDIRECT("Lifting!N"&amp;$A11)="","",ABS(INDIRECT("Lifting!N"&amp;$A11)))</f>
        <v>105</v>
      </c>
      <c r="J11" s="299">
        <f ca="1">IF(INDIRECT("Lifting!Q"&amp;$A11)="","",ABS(INDIRECT("Lifting!Q"&amp;$A11)))</f>
        <v>40</v>
      </c>
      <c r="K11" s="299">
        <f ca="1">IF(INDIRECT("Lifting!R"&amp;$A11)="","",ABS(INDIRECT("Lifting!R"&amp;$A11)))</f>
        <v>50</v>
      </c>
      <c r="L11" s="299">
        <f ca="1">IF(INDIRECT("Lifting!S"&amp;$A11)="","",ABS(INDIRECT("Lifting!S"&amp;$A11)))</f>
        <v>55</v>
      </c>
      <c r="M11" s="299">
        <f ca="1">IF(INDIRECT("Lifting!V"&amp;$A11)="","",ABS(INDIRECT("Lifting!V"&amp;$A11)))</f>
        <v>80</v>
      </c>
      <c r="N11" s="299">
        <f ca="1">IF(INDIRECT("Lifting!W"&amp;$A11)="","",ABS(INDIRECT("Lifting!W"&amp;$A11)))</f>
        <v>100</v>
      </c>
      <c r="O11" s="299">
        <f ca="1">IF(INDIRECT("Lifting!X"&amp;$A11)="","",ABS(INDIRECT("Lifting!X"&amp;$A11)))</f>
        <v>110</v>
      </c>
      <c r="P11" s="299">
        <f ca="1">IF(OR(INDIRECT("Lifting!O"&amp;$A11)&gt;0,INDIRECT("Lifting!T"&amp;$A11)&gt;0,INDIRECT("Lifting!Y"&amp;$A11)&gt;0),IF(INDIRECT("Lifting!O"&amp;$A11)="",0,INDIRECT("Lifting!O"&amp;$A11))+IF(INDIRECT("Lifting!T"&amp;$A11)="",0,INDIRECT("Lifting!T"&amp;$A11))+IF(INDIRECT("Lifting!Y"&amp;$A11)="",0,INDIRECT("Lifting!Y"&amp;$A11)),"")</f>
        <v>230</v>
      </c>
      <c r="Q11" s="300">
        <f ca="1">IF(P11="","",P11*INDIRECT("Lifting!H9"))</f>
        <v>193.08500230312347</v>
      </c>
      <c r="R11" s="204"/>
    </row>
    <row r="12" spans="1:18" ht="15" x14ac:dyDescent="0.2">
      <c r="A12" s="292">
        <v>10</v>
      </c>
      <c r="B12" s="301" t="str">
        <f t="shared" ref="B12:B22" ca="1" si="0">INDIRECT("Lifting!A"&amp;$A12)</f>
        <v>B</v>
      </c>
      <c r="C12" s="301">
        <f t="shared" ref="C12:C22" ca="1" si="1">INDIRECT("Lifting!G"&amp;$A12)</f>
        <v>33</v>
      </c>
      <c r="D12" s="301" t="str">
        <f t="shared" ref="D12:D22" ca="1" si="2">INDIRECT("Lifting!B"&amp;$A12)</f>
        <v>Cecilia Thulin</v>
      </c>
      <c r="E12" s="315" t="str">
        <f ca="1">OFFSET(Setup!$P$1,MATCH(INDIRECT("Lifting!C"&amp;$A12),Setup!O:O,0)-1,0)</f>
        <v>Göteborg KK</v>
      </c>
      <c r="F12" s="312">
        <f t="shared" ref="F12:F22" ca="1" si="3">INDIRECT("Lifting!E"&amp;$A12)</f>
        <v>80.400000000000006</v>
      </c>
      <c r="G12" s="302">
        <f t="shared" ref="G12:G22" ca="1" si="4">IF(INDIRECT("Lifting!L"&amp;$A12)="","",ABS(INDIRECT("Lifting!L"&amp;$A12)))</f>
        <v>75</v>
      </c>
      <c r="H12" s="302">
        <f t="shared" ref="H12:H22" ca="1" si="5">IF(INDIRECT("Lifting!M"&amp;$A12)="","",ABS(INDIRECT("Lifting!M"&amp;$A12)))</f>
        <v>80</v>
      </c>
      <c r="I12" s="302">
        <f t="shared" ref="I12:I22" ca="1" si="6">IF(INDIRECT("Lifting!N"&amp;$A12)="","",ABS(INDIRECT("Lifting!N"&amp;$A12)))</f>
        <v>90</v>
      </c>
      <c r="J12" s="302">
        <f t="shared" ref="J12:J22" ca="1" si="7">IF(INDIRECT("Lifting!Q"&amp;$A12)="","",ABS(INDIRECT("Lifting!Q"&amp;$A12)))</f>
        <v>40</v>
      </c>
      <c r="K12" s="302">
        <f t="shared" ref="K12:K22" ca="1" si="8">IF(INDIRECT("Lifting!R"&amp;$A12)="","",ABS(INDIRECT("Lifting!R"&amp;$A12)))</f>
        <v>45</v>
      </c>
      <c r="L12" s="302">
        <f t="shared" ref="L12:L22" ca="1" si="9">IF(INDIRECT("Lifting!S"&amp;$A12)="","",ABS(INDIRECT("Lifting!S"&amp;$A12)))</f>
        <v>50</v>
      </c>
      <c r="M12" s="302">
        <f t="shared" ref="M12:M22" ca="1" si="10">IF(INDIRECT("Lifting!V"&amp;$A12)="","",ABS(INDIRECT("Lifting!V"&amp;$A12)))</f>
        <v>100</v>
      </c>
      <c r="N12" s="302">
        <f t="shared" ref="N12:N22" ca="1" si="11">IF(INDIRECT("Lifting!W"&amp;$A12)="","",ABS(INDIRECT("Lifting!W"&amp;$A12)))</f>
        <v>112.5</v>
      </c>
      <c r="O12" s="302">
        <f t="shared" ref="O12:O22" ca="1" si="12">IF(INDIRECT("Lifting!X"&amp;$A12)="","",ABS(INDIRECT("Lifting!X"&amp;$A12)))</f>
        <v>117.5</v>
      </c>
      <c r="P12" s="302">
        <f t="shared" ref="P12:P22" ca="1" si="13">IF(OR(INDIRECT("Lifting!O"&amp;$A12)&gt;0,INDIRECT("Lifting!T"&amp;$A12)&gt;0,INDIRECT("Lifting!Y"&amp;$A12)&gt;0),IF(INDIRECT("Lifting!O"&amp;$A12)="",0,INDIRECT("Lifting!O"&amp;$A12))+IF(INDIRECT("Lifting!T"&amp;$A12)="",0,INDIRECT("Lifting!T"&amp;$A12))+IF(INDIRECT("Lifting!Y"&amp;$A12)="",0,INDIRECT("Lifting!Y"&amp;$A12)),"")</f>
        <v>242.5</v>
      </c>
      <c r="Q12" s="303">
        <f t="shared" ref="Q12:Q22" ca="1" si="14">IF(P12="","",P12*INDIRECT("Lifting!H9"))</f>
        <v>203.57875242829323</v>
      </c>
      <c r="R12" s="204"/>
    </row>
    <row r="13" spans="1:18" ht="15" x14ac:dyDescent="0.2">
      <c r="A13" s="292">
        <v>11</v>
      </c>
      <c r="B13" s="301" t="str">
        <f t="shared" ca="1" si="0"/>
        <v>B</v>
      </c>
      <c r="C13" s="301">
        <f t="shared" ca="1" si="1"/>
        <v>14</v>
      </c>
      <c r="D13" s="301" t="str">
        <f t="shared" ca="1" si="2"/>
        <v>Elsa Karlsson</v>
      </c>
      <c r="E13" s="315" t="str">
        <f ca="1">OFFSET(Setup!$P$1,MATCH(INDIRECT("Lifting!C"&amp;$A13),Setup!O:O,0)-1,0)</f>
        <v>Sommarhemmets KS</v>
      </c>
      <c r="F13" s="312">
        <f t="shared" ca="1" si="3"/>
        <v>61.3</v>
      </c>
      <c r="G13" s="302">
        <f t="shared" ca="1" si="4"/>
        <v>80</v>
      </c>
      <c r="H13" s="302">
        <f t="shared" ca="1" si="5"/>
        <v>85</v>
      </c>
      <c r="I13" s="302">
        <f t="shared" ca="1" si="6"/>
        <v>92.5</v>
      </c>
      <c r="J13" s="302">
        <f t="shared" ca="1" si="7"/>
        <v>75</v>
      </c>
      <c r="K13" s="302">
        <f t="shared" ca="1" si="8"/>
        <v>80</v>
      </c>
      <c r="L13" s="302">
        <f t="shared" ca="1" si="9"/>
        <v>82.5</v>
      </c>
      <c r="M13" s="302">
        <f t="shared" ca="1" si="10"/>
        <v>100</v>
      </c>
      <c r="N13" s="302">
        <f t="shared" ca="1" si="11"/>
        <v>105</v>
      </c>
      <c r="O13" s="302">
        <f t="shared" ca="1" si="12"/>
        <v>110</v>
      </c>
      <c r="P13" s="302">
        <f t="shared" ca="1" si="13"/>
        <v>285</v>
      </c>
      <c r="Q13" s="303">
        <f t="shared" ca="1" si="14"/>
        <v>239.25750285387039</v>
      </c>
      <c r="R13" s="204"/>
    </row>
    <row r="14" spans="1:18" ht="15" x14ac:dyDescent="0.2">
      <c r="A14" s="292">
        <v>12</v>
      </c>
      <c r="B14" s="301" t="str">
        <f t="shared" ca="1" si="0"/>
        <v>B</v>
      </c>
      <c r="C14" s="301">
        <f t="shared" ca="1" si="1"/>
        <v>19</v>
      </c>
      <c r="D14" s="301" t="str">
        <f t="shared" ca="1" si="2"/>
        <v>Filip Landström</v>
      </c>
      <c r="E14" s="315" t="str">
        <f ca="1">OFFSET(Setup!$P$1,MATCH(INDIRECT("Lifting!C"&amp;$A14),Setup!O:O,0)-1,0)</f>
        <v>Muskel AK</v>
      </c>
      <c r="F14" s="312">
        <f t="shared" ca="1" si="3"/>
        <v>86.45</v>
      </c>
      <c r="G14" s="302">
        <f t="shared" ca="1" si="4"/>
        <v>90</v>
      </c>
      <c r="H14" s="302">
        <f t="shared" ca="1" si="5"/>
        <v>100</v>
      </c>
      <c r="I14" s="302">
        <f t="shared" ca="1" si="6"/>
        <v>100</v>
      </c>
      <c r="J14" s="302">
        <f t="shared" ca="1" si="7"/>
        <v>60</v>
      </c>
      <c r="K14" s="302">
        <f t="shared" ca="1" si="8"/>
        <v>70</v>
      </c>
      <c r="L14" s="302">
        <f t="shared" ca="1" si="9"/>
        <v>75</v>
      </c>
      <c r="M14" s="302">
        <f t="shared" ca="1" si="10"/>
        <v>100</v>
      </c>
      <c r="N14" s="302">
        <f t="shared" ca="1" si="11"/>
        <v>120</v>
      </c>
      <c r="O14" s="302">
        <f t="shared" ca="1" si="12"/>
        <v>140</v>
      </c>
      <c r="P14" s="302">
        <f t="shared" ca="1" si="13"/>
        <v>315</v>
      </c>
      <c r="Q14" s="303">
        <f t="shared" ca="1" si="14"/>
        <v>264.4425031542778</v>
      </c>
      <c r="R14" s="204"/>
    </row>
    <row r="15" spans="1:18" ht="15" x14ac:dyDescent="0.2">
      <c r="A15" s="292">
        <v>13</v>
      </c>
      <c r="B15" s="301" t="str">
        <f t="shared" ca="1" si="0"/>
        <v>B</v>
      </c>
      <c r="C15" s="301">
        <f t="shared" ca="1" si="1"/>
        <v>1</v>
      </c>
      <c r="D15" s="301" t="str">
        <f t="shared" ca="1" si="2"/>
        <v>Nathalie Pahlenstam</v>
      </c>
      <c r="E15" s="315" t="str">
        <f ca="1">OFFSET(Setup!$P$1,MATCH(INDIRECT("Lifting!C"&amp;$A15),Setup!O:O,0)-1,0)</f>
        <v>Göteborg KK</v>
      </c>
      <c r="F15" s="312">
        <f t="shared" ca="1" si="3"/>
        <v>58.2</v>
      </c>
      <c r="G15" s="302">
        <f t="shared" ca="1" si="4"/>
        <v>100</v>
      </c>
      <c r="H15" s="302">
        <f t="shared" ca="1" si="5"/>
        <v>110</v>
      </c>
      <c r="I15" s="302">
        <f t="shared" ca="1" si="6"/>
        <v>112.5</v>
      </c>
      <c r="J15" s="302">
        <f t="shared" ca="1" si="7"/>
        <v>67.5</v>
      </c>
      <c r="K15" s="302">
        <f t="shared" ca="1" si="8"/>
        <v>70</v>
      </c>
      <c r="L15" s="302">
        <f t="shared" ca="1" si="9"/>
        <v>75</v>
      </c>
      <c r="M15" s="302">
        <f t="shared" ca="1" si="10"/>
        <v>130</v>
      </c>
      <c r="N15" s="302">
        <f t="shared" ca="1" si="11"/>
        <v>140</v>
      </c>
      <c r="O15" s="302">
        <f t="shared" ca="1" si="12"/>
        <v>150</v>
      </c>
      <c r="P15" s="302">
        <f t="shared" ca="1" si="13"/>
        <v>335</v>
      </c>
      <c r="Q15" s="303">
        <f t="shared" ca="1" si="14"/>
        <v>281.23250335454941</v>
      </c>
      <c r="R15" s="204"/>
    </row>
    <row r="16" spans="1:18" ht="15" x14ac:dyDescent="0.2">
      <c r="A16" s="292">
        <v>14</v>
      </c>
      <c r="B16" s="301" t="str">
        <f t="shared" ca="1" si="0"/>
        <v>B</v>
      </c>
      <c r="C16" s="301">
        <f t="shared" ca="1" si="1"/>
        <v>11</v>
      </c>
      <c r="D16" s="301" t="str">
        <f t="shared" ca="1" si="2"/>
        <v>Ronja Andersson</v>
      </c>
      <c r="E16" s="315" t="str">
        <f ca="1">OFFSET(Setup!$P$1,MATCH(INDIRECT("Lifting!C"&amp;$A16),Setup!O:O,0)-1,0)</f>
        <v>Muskel AK</v>
      </c>
      <c r="F16" s="312">
        <f t="shared" ca="1" si="3"/>
        <v>62.55</v>
      </c>
      <c r="G16" s="302">
        <f t="shared" ca="1" si="4"/>
        <v>100</v>
      </c>
      <c r="H16" s="302">
        <f t="shared" ca="1" si="5"/>
        <v>110</v>
      </c>
      <c r="I16" s="302" t="str">
        <f t="shared" ca="1" si="6"/>
        <v/>
      </c>
      <c r="J16" s="302">
        <f t="shared" ca="1" si="7"/>
        <v>60</v>
      </c>
      <c r="K16" s="302">
        <f t="shared" ca="1" si="8"/>
        <v>65</v>
      </c>
      <c r="L16" s="302">
        <f t="shared" ca="1" si="9"/>
        <v>67.5</v>
      </c>
      <c r="M16" s="302">
        <f t="shared" ca="1" si="10"/>
        <v>120</v>
      </c>
      <c r="N16" s="302">
        <f t="shared" ca="1" si="11"/>
        <v>130</v>
      </c>
      <c r="O16" s="302" t="str">
        <f t="shared" ca="1" si="12"/>
        <v/>
      </c>
      <c r="P16" s="302">
        <f t="shared" ca="1" si="13"/>
        <v>307.5</v>
      </c>
      <c r="Q16" s="303">
        <f t="shared" ca="1" si="14"/>
        <v>258.14625307917595</v>
      </c>
      <c r="R16" s="204"/>
    </row>
    <row r="17" spans="1:18" ht="15" x14ac:dyDescent="0.2">
      <c r="A17" s="292">
        <v>15</v>
      </c>
      <c r="B17" s="301" t="str">
        <f t="shared" ca="1" si="0"/>
        <v>B</v>
      </c>
      <c r="C17" s="301">
        <f t="shared" ca="1" si="1"/>
        <v>21</v>
      </c>
      <c r="D17" s="301" t="str">
        <f t="shared" ca="1" si="2"/>
        <v>Simon Andersson</v>
      </c>
      <c r="E17" s="315" t="str">
        <f ca="1">OFFSET(Setup!$P$1,MATCH(INDIRECT("Lifting!C"&amp;$A17),Setup!O:O,0)-1,0)</f>
        <v>Muskel AK</v>
      </c>
      <c r="F17" s="312">
        <f t="shared" ca="1" si="3"/>
        <v>81.7</v>
      </c>
      <c r="G17" s="302">
        <f t="shared" ca="1" si="4"/>
        <v>110</v>
      </c>
      <c r="H17" s="302">
        <f t="shared" ca="1" si="5"/>
        <v>115</v>
      </c>
      <c r="I17" s="302">
        <f t="shared" ca="1" si="6"/>
        <v>125</v>
      </c>
      <c r="J17" s="302">
        <f t="shared" ca="1" si="7"/>
        <v>100</v>
      </c>
      <c r="K17" s="302">
        <f t="shared" ca="1" si="8"/>
        <v>105</v>
      </c>
      <c r="L17" s="302">
        <f t="shared" ca="1" si="9"/>
        <v>110</v>
      </c>
      <c r="M17" s="302">
        <f t="shared" ca="1" si="10"/>
        <v>150</v>
      </c>
      <c r="N17" s="302">
        <f t="shared" ca="1" si="11"/>
        <v>180</v>
      </c>
      <c r="O17" s="302">
        <f t="shared" ca="1" si="12"/>
        <v>200</v>
      </c>
      <c r="P17" s="302">
        <f t="shared" ca="1" si="13"/>
        <v>435</v>
      </c>
      <c r="Q17" s="303">
        <f t="shared" ca="1" si="14"/>
        <v>365.18250435590744</v>
      </c>
      <c r="R17" s="204"/>
    </row>
    <row r="18" spans="1:18" ht="15" x14ac:dyDescent="0.2">
      <c r="A18" s="292">
        <v>16</v>
      </c>
      <c r="B18" s="301" t="str">
        <f t="shared" ca="1" si="0"/>
        <v>B</v>
      </c>
      <c r="C18" s="301">
        <f t="shared" ca="1" si="1"/>
        <v>22</v>
      </c>
      <c r="D18" s="301" t="str">
        <f t="shared" ca="1" si="2"/>
        <v>Emma Giaever</v>
      </c>
      <c r="E18" s="315" t="str">
        <f ca="1">OFFSET(Setup!$P$1,MATCH(INDIRECT("Lifting!C"&amp;$A18),Setup!O:O,0)-1,0)</f>
        <v>Sommarhemmets KS</v>
      </c>
      <c r="F18" s="312">
        <f t="shared" ca="1" si="3"/>
        <v>89.15</v>
      </c>
      <c r="G18" s="302">
        <f t="shared" ca="1" si="4"/>
        <v>110</v>
      </c>
      <c r="H18" s="302">
        <f t="shared" ca="1" si="5"/>
        <v>120</v>
      </c>
      <c r="I18" s="302">
        <f t="shared" ca="1" si="6"/>
        <v>127.5</v>
      </c>
      <c r="J18" s="302">
        <f t="shared" ca="1" si="7"/>
        <v>70</v>
      </c>
      <c r="K18" s="302">
        <f t="shared" ca="1" si="8"/>
        <v>80</v>
      </c>
      <c r="L18" s="302">
        <f t="shared" ca="1" si="9"/>
        <v>85</v>
      </c>
      <c r="M18" s="302">
        <f t="shared" ca="1" si="10"/>
        <v>120</v>
      </c>
      <c r="N18" s="302">
        <f t="shared" ca="1" si="11"/>
        <v>140</v>
      </c>
      <c r="O18" s="302">
        <f t="shared" ca="1" si="12"/>
        <v>150</v>
      </c>
      <c r="P18" s="302">
        <f t="shared" ca="1" si="13"/>
        <v>340</v>
      </c>
      <c r="Q18" s="303">
        <f t="shared" ca="1" si="14"/>
        <v>285.43000340461731</v>
      </c>
      <c r="R18" s="204"/>
    </row>
    <row r="19" spans="1:18" ht="15" x14ac:dyDescent="0.2">
      <c r="A19" s="292">
        <v>17</v>
      </c>
      <c r="B19" s="301" t="str">
        <f t="shared" ca="1" si="0"/>
        <v>B</v>
      </c>
      <c r="C19" s="301">
        <f t="shared" ca="1" si="1"/>
        <v>25</v>
      </c>
      <c r="D19" s="301" t="str">
        <f t="shared" ca="1" si="2"/>
        <v>Isabelle Karlsson</v>
      </c>
      <c r="E19" s="315" t="str">
        <f ca="1">OFFSET(Setup!$P$1,MATCH(INDIRECT("Lifting!C"&amp;$A19),Setup!O:O,0)-1,0)</f>
        <v>Göteborg KK</v>
      </c>
      <c r="F19" s="312">
        <f t="shared" ca="1" si="3"/>
        <v>63</v>
      </c>
      <c r="G19" s="302">
        <f t="shared" ca="1" si="4"/>
        <v>115</v>
      </c>
      <c r="H19" s="302">
        <f t="shared" ca="1" si="5"/>
        <v>120</v>
      </c>
      <c r="I19" s="302">
        <f t="shared" ca="1" si="6"/>
        <v>122.5</v>
      </c>
      <c r="J19" s="302">
        <f t="shared" ca="1" si="7"/>
        <v>65</v>
      </c>
      <c r="K19" s="302">
        <f t="shared" ca="1" si="8"/>
        <v>67.5</v>
      </c>
      <c r="L19" s="302">
        <f t="shared" ca="1" si="9"/>
        <v>70</v>
      </c>
      <c r="M19" s="302">
        <f t="shared" ca="1" si="10"/>
        <v>150</v>
      </c>
      <c r="N19" s="302">
        <f t="shared" ca="1" si="11"/>
        <v>162.5</v>
      </c>
      <c r="O19" s="302">
        <f t="shared" ca="1" si="12"/>
        <v>162.5</v>
      </c>
      <c r="P19" s="302">
        <f t="shared" ca="1" si="13"/>
        <v>350</v>
      </c>
      <c r="Q19" s="303">
        <f t="shared" ca="1" si="14"/>
        <v>293.82500350475311</v>
      </c>
      <c r="R19" s="204"/>
    </row>
    <row r="20" spans="1:18" ht="15" x14ac:dyDescent="0.2">
      <c r="A20" s="292">
        <v>18</v>
      </c>
      <c r="B20" s="301" t="str">
        <f t="shared" ca="1" si="0"/>
        <v>B</v>
      </c>
      <c r="C20" s="301">
        <f t="shared" ca="1" si="1"/>
        <v>15</v>
      </c>
      <c r="D20" s="301" t="str">
        <f t="shared" ca="1" si="2"/>
        <v>Caroline Sandberg</v>
      </c>
      <c r="E20" s="315" t="str">
        <f ca="1">OFFSET(Setup!$P$1,MATCH(INDIRECT("Lifting!C"&amp;$A20),Setup!O:O,0)-1,0)</f>
        <v>Göteborg KK</v>
      </c>
      <c r="F20" s="312">
        <f t="shared" ca="1" si="3"/>
        <v>70.55</v>
      </c>
      <c r="G20" s="302">
        <f t="shared" ca="1" si="4"/>
        <v>125</v>
      </c>
      <c r="H20" s="302">
        <f t="shared" ca="1" si="5"/>
        <v>130</v>
      </c>
      <c r="I20" s="302">
        <f t="shared" ca="1" si="6"/>
        <v>135</v>
      </c>
      <c r="J20" s="302">
        <f t="shared" ca="1" si="7"/>
        <v>67.5</v>
      </c>
      <c r="K20" s="302">
        <f t="shared" ca="1" si="8"/>
        <v>72.5</v>
      </c>
      <c r="L20" s="302">
        <f t="shared" ca="1" si="9"/>
        <v>77.5</v>
      </c>
      <c r="M20" s="302">
        <f t="shared" ca="1" si="10"/>
        <v>140</v>
      </c>
      <c r="N20" s="302">
        <f t="shared" ca="1" si="11"/>
        <v>150</v>
      </c>
      <c r="O20" s="302">
        <f t="shared" ca="1" si="12"/>
        <v>160</v>
      </c>
      <c r="P20" s="302">
        <f t="shared" ca="1" si="13"/>
        <v>352.5</v>
      </c>
      <c r="Q20" s="303">
        <f t="shared" ca="1" si="14"/>
        <v>295.92375352978706</v>
      </c>
      <c r="R20" s="204"/>
    </row>
    <row r="21" spans="1:18" ht="15" x14ac:dyDescent="0.2">
      <c r="A21" s="292">
        <v>19</v>
      </c>
      <c r="B21" s="301" t="str">
        <f t="shared" ca="1" si="0"/>
        <v>B</v>
      </c>
      <c r="C21" s="301">
        <f t="shared" ca="1" si="1"/>
        <v>6</v>
      </c>
      <c r="D21" s="301" t="str">
        <f t="shared" ca="1" si="2"/>
        <v>Johanna Wallberg</v>
      </c>
      <c r="E21" s="315" t="str">
        <f ca="1">OFFSET(Setup!$P$1,MATCH(INDIRECT("Lifting!C"&amp;$A21),Setup!O:O,0)-1,0)</f>
        <v>Göteborg KK</v>
      </c>
      <c r="F21" s="312">
        <f t="shared" ca="1" si="3"/>
        <v>72.3</v>
      </c>
      <c r="G21" s="302">
        <f t="shared" ca="1" si="4"/>
        <v>130</v>
      </c>
      <c r="H21" s="302">
        <f t="shared" ca="1" si="5"/>
        <v>145</v>
      </c>
      <c r="I21" s="302">
        <f t="shared" ca="1" si="6"/>
        <v>155</v>
      </c>
      <c r="J21" s="302">
        <f t="shared" ca="1" si="7"/>
        <v>60</v>
      </c>
      <c r="K21" s="302">
        <f t="shared" ca="1" si="8"/>
        <v>65</v>
      </c>
      <c r="L21" s="302">
        <f t="shared" ca="1" si="9"/>
        <v>70</v>
      </c>
      <c r="M21" s="302">
        <f t="shared" ca="1" si="10"/>
        <v>120</v>
      </c>
      <c r="N21" s="302">
        <f t="shared" ca="1" si="11"/>
        <v>130</v>
      </c>
      <c r="O21" s="302">
        <f t="shared" ca="1" si="12"/>
        <v>135</v>
      </c>
      <c r="P21" s="302">
        <f t="shared" ca="1" si="13"/>
        <v>340</v>
      </c>
      <c r="Q21" s="303">
        <f t="shared" ca="1" si="14"/>
        <v>285.43000340461731</v>
      </c>
      <c r="R21" s="204"/>
    </row>
    <row r="22" spans="1:18" ht="15" x14ac:dyDescent="0.2">
      <c r="A22" s="292">
        <v>20</v>
      </c>
      <c r="B22" s="301" t="str">
        <f t="shared" ca="1" si="0"/>
        <v>B</v>
      </c>
      <c r="C22" s="301">
        <f t="shared" ca="1" si="1"/>
        <v>30</v>
      </c>
      <c r="D22" s="301" t="str">
        <f t="shared" ca="1" si="2"/>
        <v>Jenny Bohlin</v>
      </c>
      <c r="E22" s="315" t="str">
        <f ca="1">OFFSET(Setup!$P$1,MATCH(INDIRECT("Lifting!C"&amp;$A22),Setup!O:O,0)-1,0)</f>
        <v>Muskel AK</v>
      </c>
      <c r="F22" s="312">
        <f t="shared" ca="1" si="3"/>
        <v>75.599999999999994</v>
      </c>
      <c r="G22" s="302">
        <f t="shared" ca="1" si="4"/>
        <v>160</v>
      </c>
      <c r="H22" s="302">
        <f t="shared" ca="1" si="5"/>
        <v>170</v>
      </c>
      <c r="I22" s="302" t="str">
        <f t="shared" ca="1" si="6"/>
        <v/>
      </c>
      <c r="J22" s="302">
        <f t="shared" ca="1" si="7"/>
        <v>60</v>
      </c>
      <c r="K22" s="302">
        <f t="shared" ca="1" si="8"/>
        <v>62.5</v>
      </c>
      <c r="L22" s="302">
        <f t="shared" ca="1" si="9"/>
        <v>65</v>
      </c>
      <c r="M22" s="302">
        <f t="shared" ca="1" si="10"/>
        <v>160</v>
      </c>
      <c r="N22" s="302">
        <f t="shared" ca="1" si="11"/>
        <v>167.5</v>
      </c>
      <c r="O22" s="302">
        <f t="shared" ca="1" si="12"/>
        <v>175</v>
      </c>
      <c r="P22" s="302">
        <f t="shared" ca="1" si="13"/>
        <v>410</v>
      </c>
      <c r="Q22" s="303">
        <f t="shared" ca="1" si="14"/>
        <v>344.19500410556793</v>
      </c>
      <c r="R22" s="204"/>
    </row>
    <row r="23" spans="1:18" ht="15" x14ac:dyDescent="0.2">
      <c r="A23" s="292">
        <v>21</v>
      </c>
      <c r="B23" s="301" t="str">
        <f t="shared" ref="B23:B36" ca="1" si="15">INDIRECT("Lifting!A"&amp;$A23)</f>
        <v>C</v>
      </c>
      <c r="C23" s="301">
        <f t="shared" ref="C23:C36" ca="1" si="16">INDIRECT("Lifting!G"&amp;$A23)</f>
        <v>31</v>
      </c>
      <c r="D23" s="301" t="str">
        <f t="shared" ref="D23:D36" ca="1" si="17">INDIRECT("Lifting!B"&amp;$A23)</f>
        <v>Philip Torgersson</v>
      </c>
      <c r="E23" s="315" t="str">
        <f ca="1">OFFSET(Setup!$P$1,MATCH(INDIRECT("Lifting!C"&amp;$A23),Setup!O:O,0)-1,0)</f>
        <v>Muskel AK</v>
      </c>
      <c r="F23" s="312">
        <f t="shared" ref="F23:F36" ca="1" si="18">INDIRECT("Lifting!E"&amp;$A23)</f>
        <v>96.05</v>
      </c>
      <c r="G23" s="302">
        <f t="shared" ref="G23:G36" ca="1" si="19">IF(INDIRECT("Lifting!L"&amp;$A23)="","",ABS(INDIRECT("Lifting!L"&amp;$A23)))</f>
        <v>145</v>
      </c>
      <c r="H23" s="302">
        <f t="shared" ref="H23:H36" ca="1" si="20">IF(INDIRECT("Lifting!M"&amp;$A23)="","",ABS(INDIRECT("Lifting!M"&amp;$A23)))</f>
        <v>155</v>
      </c>
      <c r="I23" s="302">
        <f t="shared" ref="I23:I36" ca="1" si="21">IF(INDIRECT("Lifting!N"&amp;$A23)="","",ABS(INDIRECT("Lifting!N"&amp;$A23)))</f>
        <v>170</v>
      </c>
      <c r="J23" s="302">
        <f t="shared" ref="J23:J36" ca="1" si="22">IF(INDIRECT("Lifting!Q"&amp;$A23)="","",ABS(INDIRECT("Lifting!Q"&amp;$A23)))</f>
        <v>120</v>
      </c>
      <c r="K23" s="302">
        <f t="shared" ref="K23:K36" ca="1" si="23">IF(INDIRECT("Lifting!R"&amp;$A23)="","",ABS(INDIRECT("Lifting!R"&amp;$A23)))</f>
        <v>130</v>
      </c>
      <c r="L23" s="302">
        <f t="shared" ref="L23:L36" ca="1" si="24">IF(INDIRECT("Lifting!S"&amp;$A23)="","",ABS(INDIRECT("Lifting!S"&amp;$A23)))</f>
        <v>140</v>
      </c>
      <c r="M23" s="302">
        <f t="shared" ref="M23:M36" ca="1" si="25">IF(INDIRECT("Lifting!V"&amp;$A23)="","",ABS(INDIRECT("Lifting!V"&amp;$A23)))</f>
        <v>190</v>
      </c>
      <c r="N23" s="302">
        <f t="shared" ref="N23:N36" ca="1" si="26">IF(INDIRECT("Lifting!W"&amp;$A23)="","",ABS(INDIRECT("Lifting!W"&amp;$A23)))</f>
        <v>210</v>
      </c>
      <c r="O23" s="302">
        <f t="shared" ref="O23:O36" ca="1" si="27">IF(INDIRECT("Lifting!X"&amp;$A23)="","",ABS(INDIRECT("Lifting!X"&amp;$A23)))</f>
        <v>230</v>
      </c>
      <c r="P23" s="302">
        <f t="shared" ref="P23:P36" ca="1" si="28">IF(OR(INDIRECT("Lifting!O"&amp;$A23)&gt;0,INDIRECT("Lifting!T"&amp;$A23)&gt;0,INDIRECT("Lifting!Y"&amp;$A23)&gt;0),IF(INDIRECT("Lifting!O"&amp;$A23)="",0,INDIRECT("Lifting!O"&amp;$A23))+IF(INDIRECT("Lifting!T"&amp;$A23)="",0,INDIRECT("Lifting!T"&amp;$A23))+IF(INDIRECT("Lifting!Y"&amp;$A23)="",0,INDIRECT("Lifting!Y"&amp;$A23)),"")</f>
        <v>540</v>
      </c>
      <c r="Q23" s="303">
        <f t="shared" ref="Q23:Q36" ca="1" si="29">IF(P23="","",P23*INDIRECT("Lifting!H9"))</f>
        <v>453.33000540733337</v>
      </c>
      <c r="R23" s="204"/>
    </row>
    <row r="24" spans="1:18" ht="15" x14ac:dyDescent="0.2">
      <c r="A24" s="292">
        <v>22</v>
      </c>
      <c r="B24" s="301" t="str">
        <f t="shared" ca="1" si="15"/>
        <v>C</v>
      </c>
      <c r="C24" s="301">
        <f t="shared" ca="1" si="16"/>
        <v>7</v>
      </c>
      <c r="D24" s="301" t="str">
        <f t="shared" ca="1" si="17"/>
        <v>Viktor Mattsson</v>
      </c>
      <c r="E24" s="315" t="str">
        <f ca="1">OFFSET(Setup!$P$1,MATCH(INDIRECT("Lifting!C"&amp;$A24),Setup!O:O,0)-1,0)</f>
        <v>Göteborg KK</v>
      </c>
      <c r="F24" s="312">
        <f t="shared" ca="1" si="18"/>
        <v>75.599999999999994</v>
      </c>
      <c r="G24" s="302">
        <f t="shared" ca="1" si="19"/>
        <v>147.5</v>
      </c>
      <c r="H24" s="302">
        <f t="shared" ca="1" si="20"/>
        <v>157.5</v>
      </c>
      <c r="I24" s="302">
        <f t="shared" ca="1" si="21"/>
        <v>162.5</v>
      </c>
      <c r="J24" s="302">
        <f t="shared" ca="1" si="22"/>
        <v>95</v>
      </c>
      <c r="K24" s="302">
        <f t="shared" ca="1" si="23"/>
        <v>100</v>
      </c>
      <c r="L24" s="302">
        <f t="shared" ca="1" si="24"/>
        <v>105</v>
      </c>
      <c r="M24" s="302">
        <f t="shared" ca="1" si="25"/>
        <v>195</v>
      </c>
      <c r="N24" s="302">
        <f t="shared" ca="1" si="26"/>
        <v>210</v>
      </c>
      <c r="O24" s="302">
        <f t="shared" ca="1" si="27"/>
        <v>210</v>
      </c>
      <c r="P24" s="302">
        <f t="shared" ca="1" si="28"/>
        <v>477.5</v>
      </c>
      <c r="Q24" s="303">
        <f t="shared" ca="1" si="29"/>
        <v>400.8612547814846</v>
      </c>
      <c r="R24" s="204"/>
    </row>
    <row r="25" spans="1:18" ht="15" x14ac:dyDescent="0.2">
      <c r="A25" s="292">
        <v>23</v>
      </c>
      <c r="B25" s="301" t="str">
        <f t="shared" ca="1" si="15"/>
        <v>C</v>
      </c>
      <c r="C25" s="301">
        <f t="shared" ca="1" si="16"/>
        <v>32</v>
      </c>
      <c r="D25" s="301" t="str">
        <f t="shared" ca="1" si="17"/>
        <v>Kennedy Wandera</v>
      </c>
      <c r="E25" s="315" t="str">
        <f ca="1">OFFSET(Setup!$P$1,MATCH(INDIRECT("Lifting!C"&amp;$A25),Setup!O:O,0)-1,0)</f>
        <v>Göteborg KK</v>
      </c>
      <c r="F25" s="312">
        <f t="shared" ca="1" si="18"/>
        <v>81.7</v>
      </c>
      <c r="G25" s="302">
        <f t="shared" ca="1" si="19"/>
        <v>150</v>
      </c>
      <c r="H25" s="302">
        <f t="shared" ca="1" si="20"/>
        <v>160</v>
      </c>
      <c r="I25" s="302">
        <f t="shared" ca="1" si="21"/>
        <v>160</v>
      </c>
      <c r="J25" s="302">
        <f t="shared" ca="1" si="22"/>
        <v>100</v>
      </c>
      <c r="K25" s="302">
        <f t="shared" ca="1" si="23"/>
        <v>110</v>
      </c>
      <c r="L25" s="302">
        <f t="shared" ca="1" si="24"/>
        <v>115</v>
      </c>
      <c r="M25" s="302">
        <f t="shared" ca="1" si="25"/>
        <v>230</v>
      </c>
      <c r="N25" s="302">
        <f t="shared" ca="1" si="26"/>
        <v>245</v>
      </c>
      <c r="O25" s="302">
        <f t="shared" ca="1" si="27"/>
        <v>255</v>
      </c>
      <c r="P25" s="302">
        <f t="shared" ca="1" si="28"/>
        <v>515</v>
      </c>
      <c r="Q25" s="303">
        <f t="shared" ca="1" si="29"/>
        <v>432.34250515699387</v>
      </c>
      <c r="R25" s="204"/>
    </row>
    <row r="26" spans="1:18" ht="15" x14ac:dyDescent="0.2">
      <c r="A26" s="292">
        <v>24</v>
      </c>
      <c r="B26" s="301" t="str">
        <f t="shared" ca="1" si="15"/>
        <v>C</v>
      </c>
      <c r="C26" s="301">
        <f t="shared" ca="1" si="16"/>
        <v>2</v>
      </c>
      <c r="D26" s="301" t="str">
        <f t="shared" ca="1" si="17"/>
        <v>Magnus Carlsson</v>
      </c>
      <c r="E26" s="315" t="str">
        <f ca="1">OFFSET(Setup!$P$1,MATCH(INDIRECT("Lifting!C"&amp;$A26),Setup!O:O,0)-1,0)</f>
        <v>Göteborg KK</v>
      </c>
      <c r="F26" s="312">
        <f t="shared" ca="1" si="18"/>
        <v>73.95</v>
      </c>
      <c r="G26" s="302">
        <f t="shared" ca="1" si="19"/>
        <v>160</v>
      </c>
      <c r="H26" s="302">
        <f t="shared" ca="1" si="20"/>
        <v>160</v>
      </c>
      <c r="I26" s="302">
        <f t="shared" ca="1" si="21"/>
        <v>165</v>
      </c>
      <c r="J26" s="302">
        <f t="shared" ca="1" si="22"/>
        <v>105</v>
      </c>
      <c r="K26" s="302">
        <f t="shared" ca="1" si="23"/>
        <v>112.5</v>
      </c>
      <c r="L26" s="302">
        <f t="shared" ca="1" si="24"/>
        <v>112.5</v>
      </c>
      <c r="M26" s="302">
        <f t="shared" ca="1" si="25"/>
        <v>200</v>
      </c>
      <c r="N26" s="302">
        <f t="shared" ca="1" si="26"/>
        <v>220</v>
      </c>
      <c r="O26" s="302">
        <f t="shared" ca="1" si="27"/>
        <v>227.5</v>
      </c>
      <c r="P26" s="302">
        <f t="shared" ca="1" si="28"/>
        <v>485</v>
      </c>
      <c r="Q26" s="303">
        <f t="shared" ca="1" si="29"/>
        <v>407.15750485658646</v>
      </c>
      <c r="R26" s="204"/>
    </row>
    <row r="27" spans="1:18" ht="15" x14ac:dyDescent="0.2">
      <c r="A27" s="292">
        <v>25</v>
      </c>
      <c r="B27" s="301" t="str">
        <f t="shared" ca="1" si="15"/>
        <v>C</v>
      </c>
      <c r="C27" s="301">
        <f t="shared" ca="1" si="16"/>
        <v>20</v>
      </c>
      <c r="D27" s="301" t="str">
        <f t="shared" ca="1" si="17"/>
        <v>Mikael Jansson</v>
      </c>
      <c r="E27" s="315" t="str">
        <f ca="1">OFFSET(Setup!$P$1,MATCH(INDIRECT("Lifting!C"&amp;$A27),Setup!O:O,0)-1,0)</f>
        <v>Göteborg KK</v>
      </c>
      <c r="F27" s="312">
        <f t="shared" ca="1" si="18"/>
        <v>88.65</v>
      </c>
      <c r="G27" s="302">
        <f t="shared" ca="1" si="19"/>
        <v>160</v>
      </c>
      <c r="H27" s="302">
        <f t="shared" ca="1" si="20"/>
        <v>170</v>
      </c>
      <c r="I27" s="302">
        <f t="shared" ca="1" si="21"/>
        <v>180</v>
      </c>
      <c r="J27" s="302">
        <f t="shared" ca="1" si="22"/>
        <v>120</v>
      </c>
      <c r="K27" s="302">
        <f t="shared" ca="1" si="23"/>
        <v>127.5</v>
      </c>
      <c r="L27" s="302">
        <f t="shared" ca="1" si="24"/>
        <v>135</v>
      </c>
      <c r="M27" s="302">
        <f t="shared" ca="1" si="25"/>
        <v>185</v>
      </c>
      <c r="N27" s="302">
        <f t="shared" ca="1" si="26"/>
        <v>215</v>
      </c>
      <c r="O27" s="302">
        <f t="shared" ca="1" si="27"/>
        <v>230</v>
      </c>
      <c r="P27" s="302">
        <f t="shared" ca="1" si="28"/>
        <v>530</v>
      </c>
      <c r="Q27" s="303">
        <f t="shared" ca="1" si="29"/>
        <v>444.93500530719757</v>
      </c>
      <c r="R27" s="204"/>
    </row>
    <row r="28" spans="1:18" ht="15" x14ac:dyDescent="0.2">
      <c r="A28" s="292">
        <v>26</v>
      </c>
      <c r="B28" s="301" t="str">
        <f t="shared" ca="1" si="15"/>
        <v>C</v>
      </c>
      <c r="C28" s="301">
        <f t="shared" ca="1" si="16"/>
        <v>17</v>
      </c>
      <c r="D28" s="301" t="str">
        <f t="shared" ca="1" si="17"/>
        <v>Calle Öberg</v>
      </c>
      <c r="E28" s="315" t="str">
        <f ca="1">OFFSET(Setup!$P$1,MATCH(INDIRECT("Lifting!C"&amp;$A28),Setup!O:O,0)-1,0)</f>
        <v>Göteborg KK</v>
      </c>
      <c r="F28" s="312">
        <f t="shared" ca="1" si="18"/>
        <v>73</v>
      </c>
      <c r="G28" s="302">
        <f t="shared" ca="1" si="19"/>
        <v>170</v>
      </c>
      <c r="H28" s="302">
        <f t="shared" ca="1" si="20"/>
        <v>180</v>
      </c>
      <c r="I28" s="302">
        <f t="shared" ca="1" si="21"/>
        <v>180</v>
      </c>
      <c r="J28" s="302">
        <f t="shared" ca="1" si="22"/>
        <v>117.5</v>
      </c>
      <c r="K28" s="302">
        <f t="shared" ca="1" si="23"/>
        <v>125</v>
      </c>
      <c r="L28" s="302">
        <f t="shared" ca="1" si="24"/>
        <v>132.5</v>
      </c>
      <c r="M28" s="302">
        <f t="shared" ca="1" si="25"/>
        <v>215</v>
      </c>
      <c r="N28" s="302">
        <f t="shared" ca="1" si="26"/>
        <v>222.5</v>
      </c>
      <c r="O28" s="302">
        <f t="shared" ca="1" si="27"/>
        <v>227.5</v>
      </c>
      <c r="P28" s="302">
        <f t="shared" ca="1" si="28"/>
        <v>527.5</v>
      </c>
      <c r="Q28" s="303">
        <f t="shared" ca="1" si="29"/>
        <v>442.83625528216362</v>
      </c>
      <c r="R28" s="204"/>
    </row>
    <row r="29" spans="1:18" ht="15" x14ac:dyDescent="0.2">
      <c r="A29" s="292">
        <v>27</v>
      </c>
      <c r="B29" s="301" t="str">
        <f t="shared" ca="1" si="15"/>
        <v>C</v>
      </c>
      <c r="C29" s="301">
        <f t="shared" ca="1" si="16"/>
        <v>28</v>
      </c>
      <c r="D29" s="301" t="str">
        <f t="shared" ca="1" si="17"/>
        <v>Albin Björkman</v>
      </c>
      <c r="E29" s="315" t="str">
        <f ca="1">OFFSET(Setup!$P$1,MATCH(INDIRECT("Lifting!C"&amp;$A29),Setup!O:O,0)-1,0)</f>
        <v>Göteborg KK</v>
      </c>
      <c r="F29" s="312">
        <f t="shared" ca="1" si="18"/>
        <v>73.2</v>
      </c>
      <c r="G29" s="302">
        <f t="shared" ca="1" si="19"/>
        <v>175</v>
      </c>
      <c r="H29" s="302">
        <f t="shared" ca="1" si="20"/>
        <v>182.5</v>
      </c>
      <c r="I29" s="302">
        <f t="shared" ca="1" si="21"/>
        <v>182.5</v>
      </c>
      <c r="J29" s="302">
        <f t="shared" ca="1" si="22"/>
        <v>110</v>
      </c>
      <c r="K29" s="302">
        <f t="shared" ca="1" si="23"/>
        <v>117.5</v>
      </c>
      <c r="L29" s="302">
        <f t="shared" ca="1" si="24"/>
        <v>125</v>
      </c>
      <c r="M29" s="302">
        <f t="shared" ca="1" si="25"/>
        <v>200</v>
      </c>
      <c r="N29" s="302">
        <f t="shared" ca="1" si="26"/>
        <v>210</v>
      </c>
      <c r="O29" s="302">
        <f t="shared" ca="1" si="27"/>
        <v>215</v>
      </c>
      <c r="P29" s="302">
        <f t="shared" ca="1" si="28"/>
        <v>502.5</v>
      </c>
      <c r="Q29" s="303">
        <f t="shared" ca="1" si="29"/>
        <v>421.84875503182411</v>
      </c>
      <c r="R29" s="204"/>
    </row>
    <row r="30" spans="1:18" ht="15" x14ac:dyDescent="0.2">
      <c r="A30" s="292">
        <v>28</v>
      </c>
      <c r="B30" s="301" t="str">
        <f t="shared" ca="1" si="15"/>
        <v>C</v>
      </c>
      <c r="C30" s="301">
        <f t="shared" ca="1" si="16"/>
        <v>5</v>
      </c>
      <c r="D30" s="301" t="str">
        <f t="shared" ca="1" si="17"/>
        <v>Victor Ståhl</v>
      </c>
      <c r="E30" s="315" t="str">
        <f ca="1">OFFSET(Setup!$P$1,MATCH(INDIRECT("Lifting!C"&amp;$A30),Setup!O:O,0)-1,0)</f>
        <v>Sommarhemmets KS</v>
      </c>
      <c r="F30" s="312">
        <f t="shared" ca="1" si="18"/>
        <v>92.5</v>
      </c>
      <c r="G30" s="302">
        <f t="shared" ca="1" si="19"/>
        <v>180</v>
      </c>
      <c r="H30" s="302">
        <f t="shared" ca="1" si="20"/>
        <v>190</v>
      </c>
      <c r="I30" s="302">
        <f t="shared" ca="1" si="21"/>
        <v>200</v>
      </c>
      <c r="J30" s="302">
        <f t="shared" ca="1" si="22"/>
        <v>115</v>
      </c>
      <c r="K30" s="302">
        <f t="shared" ca="1" si="23"/>
        <v>120</v>
      </c>
      <c r="L30" s="302">
        <f t="shared" ca="1" si="24"/>
        <v>125</v>
      </c>
      <c r="M30" s="302">
        <f t="shared" ca="1" si="25"/>
        <v>220</v>
      </c>
      <c r="N30" s="302">
        <f t="shared" ca="1" si="26"/>
        <v>225</v>
      </c>
      <c r="O30" s="302">
        <f t="shared" ca="1" si="27"/>
        <v>230</v>
      </c>
      <c r="P30" s="302">
        <f t="shared" ca="1" si="28"/>
        <v>550</v>
      </c>
      <c r="Q30" s="303">
        <f t="shared" ca="1" si="29"/>
        <v>461.72500550746918</v>
      </c>
      <c r="R30" s="204"/>
    </row>
    <row r="31" spans="1:18" ht="15" x14ac:dyDescent="0.2">
      <c r="A31" s="292">
        <v>29</v>
      </c>
      <c r="B31" s="301" t="str">
        <f t="shared" ca="1" si="15"/>
        <v>C</v>
      </c>
      <c r="C31" s="301">
        <f t="shared" ca="1" si="16"/>
        <v>26</v>
      </c>
      <c r="D31" s="301" t="str">
        <f t="shared" ca="1" si="17"/>
        <v>Martin Krisell</v>
      </c>
      <c r="E31" s="315" t="str">
        <f ca="1">OFFSET(Setup!$P$1,MATCH(INDIRECT("Lifting!C"&amp;$A31),Setup!O:O,0)-1,0)</f>
        <v>Göteborg KK</v>
      </c>
      <c r="F31" s="312">
        <f t="shared" ca="1" si="18"/>
        <v>73.2</v>
      </c>
      <c r="G31" s="302">
        <f t="shared" ca="1" si="19"/>
        <v>185</v>
      </c>
      <c r="H31" s="302">
        <f t="shared" ca="1" si="20"/>
        <v>195</v>
      </c>
      <c r="I31" s="302">
        <f t="shared" ca="1" si="21"/>
        <v>200</v>
      </c>
      <c r="J31" s="302">
        <f t="shared" ca="1" si="22"/>
        <v>122.5</v>
      </c>
      <c r="K31" s="302">
        <f t="shared" ca="1" si="23"/>
        <v>127.5</v>
      </c>
      <c r="L31" s="302">
        <f t="shared" ca="1" si="24"/>
        <v>127.5</v>
      </c>
      <c r="M31" s="302">
        <f t="shared" ca="1" si="25"/>
        <v>205</v>
      </c>
      <c r="N31" s="302">
        <f t="shared" ca="1" si="26"/>
        <v>220</v>
      </c>
      <c r="O31" s="302">
        <f t="shared" ca="1" si="27"/>
        <v>225</v>
      </c>
      <c r="P31" s="302">
        <f t="shared" ca="1" si="28"/>
        <v>547.5</v>
      </c>
      <c r="Q31" s="303">
        <f t="shared" ca="1" si="29"/>
        <v>459.62625548243523</v>
      </c>
      <c r="R31" s="204"/>
    </row>
    <row r="32" spans="1:18" ht="15" x14ac:dyDescent="0.2">
      <c r="A32" s="292">
        <v>30</v>
      </c>
      <c r="B32" s="301" t="str">
        <f t="shared" ca="1" si="15"/>
        <v>C</v>
      </c>
      <c r="C32" s="301">
        <f t="shared" ca="1" si="16"/>
        <v>18</v>
      </c>
      <c r="D32" s="301" t="str">
        <f t="shared" ca="1" si="17"/>
        <v>Björn Bondemark</v>
      </c>
      <c r="E32" s="315" t="str">
        <f ca="1">OFFSET(Setup!$P$1,MATCH(INDIRECT("Lifting!C"&amp;$A32),Setup!O:O,0)-1,0)</f>
        <v>Göteborg KK</v>
      </c>
      <c r="F32" s="312">
        <f t="shared" ca="1" si="18"/>
        <v>115.15</v>
      </c>
      <c r="G32" s="302">
        <f t="shared" ca="1" si="19"/>
        <v>190</v>
      </c>
      <c r="H32" s="302">
        <f t="shared" ca="1" si="20"/>
        <v>197.5</v>
      </c>
      <c r="I32" s="302">
        <f t="shared" ca="1" si="21"/>
        <v>210</v>
      </c>
      <c r="J32" s="302">
        <f t="shared" ca="1" si="22"/>
        <v>155</v>
      </c>
      <c r="K32" s="302">
        <f t="shared" ca="1" si="23"/>
        <v>162.5</v>
      </c>
      <c r="L32" s="302">
        <f t="shared" ca="1" si="24"/>
        <v>170</v>
      </c>
      <c r="M32" s="302">
        <f t="shared" ca="1" si="25"/>
        <v>240</v>
      </c>
      <c r="N32" s="302">
        <f t="shared" ca="1" si="26"/>
        <v>255</v>
      </c>
      <c r="O32" s="302">
        <f t="shared" ca="1" si="27"/>
        <v>265</v>
      </c>
      <c r="P32" s="302">
        <f t="shared" ca="1" si="28"/>
        <v>637.5</v>
      </c>
      <c r="Q32" s="303">
        <f t="shared" ca="1" si="29"/>
        <v>535.18125638365746</v>
      </c>
      <c r="R32" s="204"/>
    </row>
    <row r="33" spans="1:18" ht="15" x14ac:dyDescent="0.2">
      <c r="A33" s="292">
        <v>31</v>
      </c>
      <c r="B33" s="301" t="str">
        <f t="shared" ca="1" si="15"/>
        <v>C</v>
      </c>
      <c r="C33" s="301">
        <f t="shared" ca="1" si="16"/>
        <v>23</v>
      </c>
      <c r="D33" s="301" t="str">
        <f t="shared" ca="1" si="17"/>
        <v>Henrik Hermansson</v>
      </c>
      <c r="E33" s="315" t="str">
        <f ca="1">OFFSET(Setup!$P$1,MATCH(INDIRECT("Lifting!C"&amp;$A33),Setup!O:O,0)-1,0)</f>
        <v>Sommarhemmets KS</v>
      </c>
      <c r="F33" s="312">
        <f t="shared" ca="1" si="18"/>
        <v>118.6</v>
      </c>
      <c r="G33" s="302">
        <f t="shared" ca="1" si="19"/>
        <v>210</v>
      </c>
      <c r="H33" s="302">
        <f t="shared" ca="1" si="20"/>
        <v>210</v>
      </c>
      <c r="I33" s="302">
        <f t="shared" ca="1" si="21"/>
        <v>220</v>
      </c>
      <c r="J33" s="302">
        <f t="shared" ca="1" si="22"/>
        <v>150</v>
      </c>
      <c r="K33" s="302">
        <f t="shared" ca="1" si="23"/>
        <v>160</v>
      </c>
      <c r="L33" s="302">
        <f t="shared" ca="1" si="24"/>
        <v>165</v>
      </c>
      <c r="M33" s="302">
        <f t="shared" ca="1" si="25"/>
        <v>240</v>
      </c>
      <c r="N33" s="302">
        <f t="shared" ca="1" si="26"/>
        <v>260</v>
      </c>
      <c r="O33" s="302">
        <f t="shared" ca="1" si="27"/>
        <v>260</v>
      </c>
      <c r="P33" s="302">
        <f t="shared" ca="1" si="28"/>
        <v>625</v>
      </c>
      <c r="Q33" s="303">
        <f t="shared" ca="1" si="29"/>
        <v>524.6875062584877</v>
      </c>
      <c r="R33" s="204"/>
    </row>
    <row r="34" spans="1:18" ht="15" x14ac:dyDescent="0.2">
      <c r="A34" s="292">
        <v>32</v>
      </c>
      <c r="B34" s="301" t="str">
        <f t="shared" ca="1" si="15"/>
        <v>C</v>
      </c>
      <c r="C34" s="301">
        <f t="shared" ca="1" si="16"/>
        <v>24</v>
      </c>
      <c r="D34" s="301" t="str">
        <f t="shared" ca="1" si="17"/>
        <v>Valentino Almhage</v>
      </c>
      <c r="E34" s="315" t="str">
        <f ca="1">OFFSET(Setup!$P$1,MATCH(INDIRECT("Lifting!C"&amp;$A34),Setup!O:O,0)-1,0)</f>
        <v>Sommarhemmets KS</v>
      </c>
      <c r="F34" s="312">
        <f t="shared" ca="1" si="18"/>
        <v>104.85</v>
      </c>
      <c r="G34" s="302">
        <f t="shared" ca="1" si="19"/>
        <v>220</v>
      </c>
      <c r="H34" s="302">
        <f t="shared" ca="1" si="20"/>
        <v>232.5</v>
      </c>
      <c r="I34" s="302">
        <f t="shared" ca="1" si="21"/>
        <v>242.5</v>
      </c>
      <c r="J34" s="302">
        <f t="shared" ca="1" si="22"/>
        <v>155</v>
      </c>
      <c r="K34" s="302">
        <f t="shared" ca="1" si="23"/>
        <v>162.5</v>
      </c>
      <c r="L34" s="302">
        <f t="shared" ca="1" si="24"/>
        <v>167.5</v>
      </c>
      <c r="M34" s="302">
        <f t="shared" ca="1" si="25"/>
        <v>240</v>
      </c>
      <c r="N34" s="302">
        <f t="shared" ca="1" si="26"/>
        <v>260</v>
      </c>
      <c r="O34" s="302">
        <f t="shared" ca="1" si="27"/>
        <v>272.5</v>
      </c>
      <c r="P34" s="302">
        <f t="shared" ca="1" si="28"/>
        <v>672.5</v>
      </c>
      <c r="Q34" s="303">
        <f t="shared" ca="1" si="29"/>
        <v>564.56375673413277</v>
      </c>
      <c r="R34" s="204"/>
    </row>
    <row r="35" spans="1:18" ht="15" x14ac:dyDescent="0.2">
      <c r="A35" s="292">
        <v>33</v>
      </c>
      <c r="B35" s="301" t="str">
        <f t="shared" ca="1" si="15"/>
        <v>C</v>
      </c>
      <c r="C35" s="301">
        <f t="shared" ca="1" si="16"/>
        <v>3</v>
      </c>
      <c r="D35" s="301" t="str">
        <f t="shared" ca="1" si="17"/>
        <v>Klaes Petersson</v>
      </c>
      <c r="E35" s="315" t="str">
        <f ca="1">OFFSET(Setup!$P$1,MATCH(INDIRECT("Lifting!C"&amp;$A35),Setup!O:O,0)-1,0)</f>
        <v>Göteborg KK</v>
      </c>
      <c r="F35" s="312">
        <f t="shared" ca="1" si="18"/>
        <v>127.25</v>
      </c>
      <c r="G35" s="302">
        <f t="shared" ca="1" si="19"/>
        <v>230</v>
      </c>
      <c r="H35" s="302">
        <f t="shared" ca="1" si="20"/>
        <v>240</v>
      </c>
      <c r="I35" s="302">
        <f t="shared" ca="1" si="21"/>
        <v>250</v>
      </c>
      <c r="J35" s="302">
        <f t="shared" ca="1" si="22"/>
        <v>150</v>
      </c>
      <c r="K35" s="302">
        <f t="shared" ca="1" si="23"/>
        <v>157.5</v>
      </c>
      <c r="L35" s="302">
        <f t="shared" ca="1" si="24"/>
        <v>165</v>
      </c>
      <c r="M35" s="302">
        <f t="shared" ca="1" si="25"/>
        <v>260</v>
      </c>
      <c r="N35" s="302">
        <f t="shared" ca="1" si="26"/>
        <v>285</v>
      </c>
      <c r="O35" s="302">
        <f t="shared" ca="1" si="27"/>
        <v>300</v>
      </c>
      <c r="P35" s="302">
        <f t="shared" ca="1" si="28"/>
        <v>700</v>
      </c>
      <c r="Q35" s="303">
        <f t="shared" ca="1" si="29"/>
        <v>587.65000700950623</v>
      </c>
      <c r="R35" s="204"/>
    </row>
    <row r="36" spans="1:18" ht="15" x14ac:dyDescent="0.2">
      <c r="A36" s="292">
        <v>34</v>
      </c>
      <c r="B36" s="301" t="str">
        <f t="shared" ca="1" si="15"/>
        <v>C</v>
      </c>
      <c r="C36" s="301">
        <f t="shared" ca="1" si="16"/>
        <v>12</v>
      </c>
      <c r="D36" s="301" t="str">
        <f t="shared" ca="1" si="17"/>
        <v>Kenny Johansson</v>
      </c>
      <c r="E36" s="315" t="str">
        <f ca="1">OFFSET(Setup!$P$1,MATCH(INDIRECT("Lifting!C"&amp;$A36),Setup!O:O,0)-1,0)</f>
        <v>Muskel AK</v>
      </c>
      <c r="F36" s="312">
        <f t="shared" ca="1" si="18"/>
        <v>142.69999999999999</v>
      </c>
      <c r="G36" s="302">
        <f t="shared" ca="1" si="19"/>
        <v>280</v>
      </c>
      <c r="H36" s="302">
        <f t="shared" ca="1" si="20"/>
        <v>285</v>
      </c>
      <c r="I36" s="302" t="str">
        <f t="shared" ca="1" si="21"/>
        <v/>
      </c>
      <c r="J36" s="302">
        <f t="shared" ca="1" si="22"/>
        <v>180</v>
      </c>
      <c r="K36" s="302">
        <f t="shared" ca="1" si="23"/>
        <v>185</v>
      </c>
      <c r="L36" s="302">
        <f t="shared" ca="1" si="24"/>
        <v>190</v>
      </c>
      <c r="M36" s="302">
        <f t="shared" ca="1" si="25"/>
        <v>280</v>
      </c>
      <c r="N36" s="302" t="str">
        <f t="shared" ca="1" si="26"/>
        <v/>
      </c>
      <c r="O36" s="302" t="str">
        <f t="shared" ca="1" si="27"/>
        <v/>
      </c>
      <c r="P36" s="302">
        <f t="shared" ca="1" si="28"/>
        <v>750</v>
      </c>
      <c r="Q36" s="303">
        <f t="shared" ca="1" si="29"/>
        <v>629.62500751018524</v>
      </c>
      <c r="R36" s="204"/>
    </row>
    <row r="37" spans="1:18" ht="15.75" x14ac:dyDescent="0.25">
      <c r="A37" s="292"/>
      <c r="B37" s="301"/>
      <c r="C37" s="301"/>
      <c r="D37" s="301"/>
      <c r="E37" s="314"/>
      <c r="F37" s="312"/>
      <c r="G37" s="302"/>
      <c r="H37" s="302"/>
      <c r="I37" s="302"/>
      <c r="J37" s="302"/>
      <c r="K37" s="302"/>
      <c r="L37" s="302"/>
      <c r="M37" s="302"/>
      <c r="N37" s="302"/>
      <c r="O37" s="302"/>
      <c r="P37" s="302"/>
      <c r="Q37" s="303"/>
      <c r="R37" s="204"/>
    </row>
    <row r="38" spans="1:18" ht="15" x14ac:dyDescent="0.2">
      <c r="A38" s="292"/>
      <c r="B38" s="301"/>
      <c r="C38" s="301"/>
      <c r="D38" s="301"/>
      <c r="E38" s="315"/>
      <c r="F38" s="312"/>
      <c r="G38" s="302"/>
      <c r="H38" s="302"/>
      <c r="I38" s="302"/>
      <c r="J38" s="302"/>
      <c r="K38" s="302"/>
      <c r="L38" s="302"/>
      <c r="M38" s="302"/>
      <c r="N38" s="302"/>
      <c r="O38" s="302"/>
      <c r="P38" s="302"/>
      <c r="Q38" s="303"/>
      <c r="R38" s="204"/>
    </row>
    <row r="39" spans="1:18" ht="15" x14ac:dyDescent="0.2">
      <c r="A39" s="292"/>
      <c r="B39" s="301"/>
      <c r="C39" s="301"/>
      <c r="D39" s="301"/>
      <c r="E39" s="315"/>
      <c r="F39" s="312"/>
      <c r="G39" s="302"/>
      <c r="H39" s="302"/>
      <c r="I39" s="302"/>
      <c r="J39" s="302"/>
      <c r="K39" s="302"/>
      <c r="L39" s="302"/>
      <c r="M39" s="302"/>
      <c r="N39" s="302"/>
      <c r="O39" s="302"/>
      <c r="P39" s="302"/>
      <c r="Q39" s="303"/>
      <c r="R39" s="204"/>
    </row>
    <row r="40" spans="1:18" ht="15" x14ac:dyDescent="0.2">
      <c r="A40" s="292"/>
      <c r="B40" s="301"/>
      <c r="C40" s="301"/>
      <c r="D40" s="301"/>
      <c r="E40" s="315"/>
      <c r="F40" s="312"/>
      <c r="G40" s="302"/>
      <c r="H40" s="302"/>
      <c r="I40" s="302"/>
      <c r="J40" s="302"/>
      <c r="K40" s="302"/>
      <c r="L40" s="302"/>
      <c r="M40" s="302"/>
      <c r="N40" s="302"/>
      <c r="O40" s="302"/>
      <c r="P40" s="302"/>
      <c r="Q40" s="303"/>
      <c r="R40" s="204"/>
    </row>
    <row r="41" spans="1:18" ht="15" x14ac:dyDescent="0.2">
      <c r="A41" s="292"/>
      <c r="B41" s="301"/>
      <c r="C41" s="301"/>
      <c r="D41" s="301"/>
      <c r="E41" s="315"/>
      <c r="F41" s="312"/>
      <c r="G41" s="302"/>
      <c r="H41" s="302"/>
      <c r="I41" s="302"/>
      <c r="J41" s="302"/>
      <c r="K41" s="302"/>
      <c r="L41" s="302"/>
      <c r="M41" s="302"/>
      <c r="N41" s="302"/>
      <c r="O41" s="302"/>
      <c r="P41" s="302"/>
      <c r="Q41" s="303"/>
      <c r="R41" s="204"/>
    </row>
    <row r="42" spans="1:18" ht="15" x14ac:dyDescent="0.2">
      <c r="A42" s="292"/>
      <c r="B42" s="301"/>
      <c r="C42" s="301"/>
      <c r="D42" s="301"/>
      <c r="E42" s="315"/>
      <c r="F42" s="312"/>
      <c r="G42" s="302"/>
      <c r="H42" s="302"/>
      <c r="I42" s="302"/>
      <c r="J42" s="302"/>
      <c r="K42" s="302"/>
      <c r="L42" s="302"/>
      <c r="M42" s="302"/>
      <c r="N42" s="302"/>
      <c r="O42" s="302"/>
      <c r="P42" s="302"/>
      <c r="Q42" s="303"/>
      <c r="R42" s="204"/>
    </row>
    <row r="43" spans="1:18" ht="15" x14ac:dyDescent="0.2">
      <c r="A43" s="292"/>
      <c r="B43" s="301"/>
      <c r="C43" s="301"/>
      <c r="D43" s="301"/>
      <c r="E43" s="315"/>
      <c r="F43" s="312"/>
      <c r="G43" s="302"/>
      <c r="H43" s="302"/>
      <c r="I43" s="302"/>
      <c r="J43" s="302"/>
      <c r="K43" s="302"/>
      <c r="L43" s="302"/>
      <c r="M43" s="302"/>
      <c r="N43" s="302"/>
      <c r="O43" s="302"/>
      <c r="P43" s="302"/>
      <c r="Q43" s="303"/>
      <c r="R43" s="204"/>
    </row>
    <row r="44" spans="1:18" ht="15" x14ac:dyDescent="0.2">
      <c r="A44" s="292"/>
      <c r="B44" s="301"/>
      <c r="C44" s="301"/>
      <c r="D44" s="301"/>
      <c r="E44" s="315"/>
      <c r="F44" s="312"/>
      <c r="G44" s="302"/>
      <c r="H44" s="302"/>
      <c r="I44" s="302"/>
      <c r="J44" s="302"/>
      <c r="K44" s="302"/>
      <c r="L44" s="302"/>
      <c r="M44" s="302"/>
      <c r="N44" s="302"/>
      <c r="O44" s="302"/>
      <c r="P44" s="302"/>
      <c r="Q44" s="303"/>
      <c r="R44" s="204"/>
    </row>
    <row r="45" spans="1:18" ht="15" x14ac:dyDescent="0.2">
      <c r="A45" s="292"/>
      <c r="B45" s="301"/>
      <c r="C45" s="301"/>
      <c r="D45" s="301"/>
      <c r="E45" s="315"/>
      <c r="F45" s="312"/>
      <c r="G45" s="302"/>
      <c r="H45" s="302"/>
      <c r="I45" s="302"/>
      <c r="J45" s="302"/>
      <c r="K45" s="302"/>
      <c r="L45" s="302"/>
      <c r="M45" s="302"/>
      <c r="N45" s="302"/>
      <c r="O45" s="302"/>
      <c r="P45" s="302"/>
      <c r="Q45" s="303"/>
      <c r="R45" s="204"/>
    </row>
    <row r="46" spans="1:18" ht="15" x14ac:dyDescent="0.2">
      <c r="A46" s="292"/>
      <c r="B46" s="301"/>
      <c r="C46" s="301"/>
      <c r="D46" s="301"/>
      <c r="E46" s="315"/>
      <c r="F46" s="312"/>
      <c r="G46" s="302"/>
      <c r="H46" s="302"/>
      <c r="I46" s="302"/>
      <c r="J46" s="302"/>
      <c r="K46" s="302"/>
      <c r="L46" s="302"/>
      <c r="M46" s="302"/>
      <c r="N46" s="302"/>
      <c r="O46" s="302"/>
      <c r="P46" s="302"/>
      <c r="Q46" s="303"/>
      <c r="R46" s="204"/>
    </row>
    <row r="47" spans="1:18" ht="15" x14ac:dyDescent="0.2">
      <c r="A47" s="292"/>
      <c r="B47" s="301"/>
      <c r="C47" s="301"/>
      <c r="D47" s="302"/>
      <c r="E47" s="313"/>
      <c r="F47" s="302"/>
      <c r="G47" s="302"/>
      <c r="H47" s="302"/>
      <c r="I47" s="302"/>
      <c r="J47" s="302"/>
      <c r="K47" s="302"/>
      <c r="L47" s="302"/>
      <c r="M47" s="302"/>
      <c r="N47" s="302"/>
      <c r="O47" s="302"/>
      <c r="P47" s="302"/>
      <c r="Q47" s="303"/>
      <c r="R47" s="204"/>
    </row>
    <row r="48" spans="1:18" ht="15" x14ac:dyDescent="0.2">
      <c r="A48" s="292"/>
      <c r="B48" s="301"/>
      <c r="C48" s="301"/>
      <c r="D48" s="302"/>
      <c r="E48" s="301"/>
      <c r="F48" s="302"/>
      <c r="G48" s="302"/>
      <c r="H48" s="302"/>
      <c r="I48" s="302"/>
      <c r="J48" s="302"/>
      <c r="K48" s="302"/>
      <c r="L48" s="302"/>
      <c r="M48" s="302"/>
      <c r="N48" s="302"/>
      <c r="O48" s="302"/>
      <c r="P48" s="302"/>
      <c r="Q48" s="303"/>
      <c r="R48" s="204"/>
    </row>
    <row r="49" spans="1:18" ht="15" x14ac:dyDescent="0.2">
      <c r="A49" s="292"/>
      <c r="B49" s="301"/>
      <c r="C49" s="301"/>
      <c r="D49" s="302"/>
      <c r="E49" s="301"/>
      <c r="F49" s="302"/>
      <c r="G49" s="302"/>
      <c r="H49" s="302"/>
      <c r="I49" s="302"/>
      <c r="J49" s="302"/>
      <c r="K49" s="302"/>
      <c r="L49" s="302"/>
      <c r="M49" s="302"/>
      <c r="N49" s="302"/>
      <c r="O49" s="302"/>
      <c r="P49" s="302"/>
      <c r="Q49" s="303"/>
      <c r="R49" s="204"/>
    </row>
    <row r="50" spans="1:18" ht="15" x14ac:dyDescent="0.2">
      <c r="A50" s="292"/>
      <c r="B50" s="304"/>
      <c r="C50" s="304"/>
      <c r="D50" s="305"/>
      <c r="E50" s="304"/>
      <c r="F50" s="305"/>
      <c r="G50" s="305"/>
      <c r="H50" s="305"/>
      <c r="I50" s="305"/>
      <c r="J50" s="305"/>
      <c r="K50" s="305"/>
      <c r="L50" s="305"/>
      <c r="M50" s="305"/>
      <c r="N50" s="305"/>
      <c r="O50" s="305"/>
      <c r="P50" s="305"/>
      <c r="Q50" s="306"/>
      <c r="R50" s="204"/>
    </row>
  </sheetData>
  <sortState ref="A23:Q36">
    <sortCondition ref="G23"/>
    <sortCondition ref="C23"/>
  </sortState>
  <mergeCells count="5">
    <mergeCell ref="B2:G4"/>
    <mergeCell ref="H2:J5"/>
    <mergeCell ref="B5:G6"/>
    <mergeCell ref="H6:J8"/>
    <mergeCell ref="B7:G7"/>
  </mergeCells>
  <conditionalFormatting sqref="M11:O50">
    <cfRule type="expression" dxfId="21" priority="2">
      <formula>INDIRECT(ADDRESS($A11,COLUMN()+61,,,"Lifting"))=-1</formula>
    </cfRule>
    <cfRule type="expression" dxfId="20" priority="3">
      <formula>INDIRECT(ADDRESS($A11,COLUMN()+61,,,"Lifting"))=1</formula>
    </cfRule>
  </conditionalFormatting>
  <conditionalFormatting sqref="B11:Q50">
    <cfRule type="expression" dxfId="19" priority="1">
      <formula>$B11=$B$11</formula>
    </cfRule>
  </conditionalFormatting>
  <conditionalFormatting sqref="J11:L50">
    <cfRule type="expression" dxfId="18" priority="4">
      <formula>INDIRECT(ADDRESS($A11,COLUMN()+59,,,"Lifting"))=-1</formula>
    </cfRule>
    <cfRule type="expression" dxfId="17" priority="7">
      <formula>INDIRECT(ADDRESS($A11,COLUMN()+59,,,"Lifting"))=1</formula>
    </cfRule>
  </conditionalFormatting>
  <conditionalFormatting sqref="G11:I50 D47:F50 E38:E49">
    <cfRule type="expression" dxfId="16" priority="8">
      <formula>INDIRECT(ADDRESS($A11,COLUMN()+57,,,"Lifting"))=-1</formula>
    </cfRule>
    <cfRule type="expression" dxfId="15" priority="9">
      <formula>INDIRECT(ADDRESS($A11,COLUMN()+57,,,"Lifting"))=1</formula>
    </cfRule>
  </conditionalFormatting>
  <pageMargins left="0.7" right="0.7" top="0.75" bottom="0.75" header="0.3" footer="0.3"/>
  <pageSetup paperSize="9" scale="63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6FC7C9D0-24C9-48CD-9C37-C8EB25A527AC}">
            <xm:f>Lifting!$AY$5=ROW()-2</xm:f>
            <x14:dxf>
              <fill>
                <patternFill>
                  <bgColor rgb="FFFFFF1E"/>
                </patternFill>
              </fill>
            </x14:dxf>
          </x14:cfRule>
          <xm:sqref>B11:Q50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/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79</v>
      </c>
      <c r="D1" s="3" t="str">
        <f>'Weigh-In'!E2</f>
        <v>Bwt (kg)</v>
      </c>
      <c r="E1" s="408" t="s">
        <v>107</v>
      </c>
      <c r="F1" s="409"/>
      <c r="G1" s="408" t="s">
        <v>108</v>
      </c>
      <c r="H1" s="409"/>
      <c r="J1" s="22" t="s">
        <v>3</v>
      </c>
      <c r="K1" s="22" t="s">
        <v>80</v>
      </c>
      <c r="L1" s="22" t="s">
        <v>81</v>
      </c>
    </row>
    <row r="2" spans="1:15" x14ac:dyDescent="0.2">
      <c r="A2" s="23">
        <v>14</v>
      </c>
      <c r="B2" s="23">
        <v>1.23</v>
      </c>
      <c r="C2" s="406" t="s">
        <v>82</v>
      </c>
      <c r="D2" s="1"/>
      <c r="E2" s="24" t="s">
        <v>83</v>
      </c>
      <c r="F2" s="24" t="s">
        <v>84</v>
      </c>
      <c r="G2" s="24" t="s">
        <v>83</v>
      </c>
      <c r="H2" s="24" t="s">
        <v>84</v>
      </c>
      <c r="J2" s="2">
        <v>11</v>
      </c>
      <c r="K2" s="25" t="s">
        <v>85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406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86</v>
      </c>
      <c r="L3" s="25" t="s">
        <v>87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406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88</v>
      </c>
      <c r="L4" s="25" t="s">
        <v>87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406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89</v>
      </c>
      <c r="L5" s="25" t="s">
        <v>90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406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90</v>
      </c>
      <c r="L6" s="25" t="s">
        <v>90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406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91</v>
      </c>
      <c r="L7" s="25" t="s">
        <v>92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406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93</v>
      </c>
      <c r="L8" s="25" t="s">
        <v>92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406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94</v>
      </c>
      <c r="L9" s="25" t="s">
        <v>94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406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95</v>
      </c>
      <c r="L10" s="25" t="s">
        <v>94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406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96</v>
      </c>
      <c r="L11" s="25" t="s">
        <v>95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97</v>
      </c>
      <c r="L12" s="25" t="s">
        <v>95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406" t="s">
        <v>98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99</v>
      </c>
      <c r="L13" s="25" t="s">
        <v>96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406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100</v>
      </c>
      <c r="L14" s="25" t="s">
        <v>96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406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101</v>
      </c>
      <c r="L15" s="25" t="s">
        <v>96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406"/>
      <c r="J16" s="2">
        <v>75</v>
      </c>
      <c r="K16" s="25" t="s">
        <v>102</v>
      </c>
      <c r="L16" s="25" t="s">
        <v>96</v>
      </c>
    </row>
    <row r="17" spans="1:24" x14ac:dyDescent="0.2">
      <c r="A17" s="27">
        <v>44</v>
      </c>
      <c r="B17" s="27">
        <v>1.0429999999999999</v>
      </c>
      <c r="C17" s="406"/>
      <c r="J17" s="2">
        <v>80</v>
      </c>
      <c r="K17" s="25" t="s">
        <v>103</v>
      </c>
      <c r="L17" s="25" t="s">
        <v>96</v>
      </c>
    </row>
    <row r="18" spans="1:24" ht="12.75" customHeight="1" x14ac:dyDescent="0.2">
      <c r="A18" s="27">
        <v>45</v>
      </c>
      <c r="B18" s="27">
        <v>1.0549999999999999</v>
      </c>
      <c r="C18" s="406"/>
      <c r="E18" s="407" t="s">
        <v>104</v>
      </c>
      <c r="F18" s="407"/>
      <c r="G18" s="407"/>
      <c r="H18" s="407"/>
      <c r="J18" s="2">
        <v>85</v>
      </c>
      <c r="K18" s="25" t="s">
        <v>105</v>
      </c>
      <c r="L18" s="25" t="s">
        <v>96</v>
      </c>
      <c r="N18" s="28"/>
      <c r="O18" s="64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406"/>
      <c r="E19" s="407"/>
      <c r="F19" s="407"/>
      <c r="G19" s="407"/>
      <c r="H19" s="407"/>
      <c r="J19" s="2">
        <v>90</v>
      </c>
      <c r="K19" s="25" t="s">
        <v>106</v>
      </c>
      <c r="L19" s="25" t="s">
        <v>96</v>
      </c>
    </row>
    <row r="20" spans="1:24" ht="12.75" customHeight="1" x14ac:dyDescent="0.2">
      <c r="A20" s="27">
        <v>47</v>
      </c>
      <c r="B20" s="27">
        <v>1.0820000000000001</v>
      </c>
      <c r="C20" s="406"/>
      <c r="E20" s="407"/>
      <c r="F20" s="407"/>
      <c r="G20" s="407"/>
      <c r="H20" s="407"/>
    </row>
    <row r="21" spans="1:24" x14ac:dyDescent="0.2">
      <c r="A21" s="27">
        <v>48</v>
      </c>
      <c r="B21" s="27">
        <v>1.097</v>
      </c>
      <c r="C21" s="406"/>
    </row>
    <row r="22" spans="1:24" x14ac:dyDescent="0.2">
      <c r="A22" s="27">
        <v>49</v>
      </c>
      <c r="B22" s="27">
        <v>1.113</v>
      </c>
      <c r="C22" s="406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48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3.7109375" customWidth="1"/>
    <col min="20" max="26" width="0" hidden="1" customWidth="1"/>
    <col min="27" max="27" width="3.7109375" customWidth="1"/>
  </cols>
  <sheetData>
    <row r="1" spans="1:28" ht="12.75" customHeight="1" x14ac:dyDescent="0.2">
      <c r="A1" s="218"/>
      <c r="B1" s="218"/>
      <c r="C1" s="218"/>
      <c r="D1" s="218"/>
      <c r="E1" s="218"/>
      <c r="F1" s="218"/>
      <c r="G1" s="218"/>
      <c r="H1" s="218"/>
      <c r="I1" s="218"/>
      <c r="J1" s="218"/>
      <c r="K1" s="218"/>
      <c r="L1" s="218"/>
      <c r="M1" s="218"/>
      <c r="N1" s="218"/>
      <c r="O1" s="218"/>
      <c r="P1" s="218"/>
      <c r="Q1" s="218"/>
      <c r="R1" s="218"/>
      <c r="S1" s="218"/>
      <c r="T1" s="218"/>
      <c r="U1" s="218"/>
      <c r="V1" s="218"/>
      <c r="W1" s="218"/>
      <c r="X1" s="218"/>
      <c r="Y1" s="218"/>
      <c r="Z1" s="218"/>
      <c r="AA1" s="218"/>
      <c r="AB1" s="218"/>
    </row>
    <row r="2" spans="1:28" ht="12.75" customHeight="1" x14ac:dyDescent="1.1499999999999999">
      <c r="A2" s="218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17"/>
      <c r="N2" s="217"/>
      <c r="O2" s="217"/>
      <c r="P2" s="217"/>
      <c r="Q2" s="217"/>
      <c r="R2" s="217"/>
      <c r="S2" s="217"/>
      <c r="T2" s="215"/>
      <c r="AA2" s="218"/>
      <c r="AB2" s="218"/>
    </row>
    <row r="3" spans="1:28" ht="12.75" customHeight="1" x14ac:dyDescent="1.1499999999999999">
      <c r="A3" s="218"/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17"/>
      <c r="N3" s="217"/>
      <c r="O3" s="217"/>
      <c r="P3" s="217"/>
      <c r="Q3" s="217"/>
      <c r="R3" s="217"/>
      <c r="S3" s="217"/>
      <c r="T3" s="215"/>
      <c r="AA3" s="218"/>
      <c r="AB3" s="218"/>
    </row>
    <row r="4" spans="1:28" ht="12.75" customHeight="1" x14ac:dyDescent="1.1499999999999999">
      <c r="A4" s="218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5"/>
      <c r="AA4" s="218"/>
      <c r="AB4" s="218"/>
    </row>
    <row r="5" spans="1:28" ht="12.75" customHeight="1" x14ac:dyDescent="1.1499999999999999">
      <c r="A5" s="218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5"/>
      <c r="AA5" s="218"/>
      <c r="AB5" s="218"/>
    </row>
    <row r="6" spans="1:28" ht="12.75" customHeight="1" x14ac:dyDescent="1.1499999999999999">
      <c r="A6" s="218"/>
      <c r="B6" s="217"/>
      <c r="C6" s="217"/>
      <c r="D6" s="217"/>
      <c r="E6" s="217"/>
      <c r="F6" s="217"/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  <c r="S6" s="217"/>
      <c r="T6" s="215"/>
      <c r="AA6" s="218"/>
      <c r="AB6" s="218"/>
    </row>
    <row r="7" spans="1:28" ht="12.75" customHeight="1" x14ac:dyDescent="1.1499999999999999">
      <c r="A7" s="218"/>
      <c r="B7" s="217"/>
      <c r="C7" s="217"/>
      <c r="D7" s="217"/>
      <c r="E7" s="217"/>
      <c r="F7" s="217"/>
      <c r="G7" s="217"/>
      <c r="H7" s="217"/>
      <c r="I7" s="217"/>
      <c r="J7" s="217"/>
      <c r="K7" s="217"/>
      <c r="L7" s="217"/>
      <c r="M7" s="217"/>
      <c r="N7" s="217"/>
      <c r="O7" s="217"/>
      <c r="P7" s="217"/>
      <c r="Q7" s="217"/>
      <c r="R7" s="217"/>
      <c r="S7" s="217"/>
      <c r="T7" s="215"/>
      <c r="AA7" s="218"/>
      <c r="AB7" s="218"/>
    </row>
    <row r="8" spans="1:28" ht="12.75" customHeight="1" x14ac:dyDescent="1.1499999999999999">
      <c r="A8" s="218"/>
      <c r="B8" s="217"/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7"/>
      <c r="N8" s="217"/>
      <c r="O8" s="217"/>
      <c r="P8" s="217"/>
      <c r="Q8" s="217"/>
      <c r="R8" s="217"/>
      <c r="S8" s="217"/>
      <c r="T8" s="215"/>
      <c r="AA8" s="218"/>
      <c r="AB8" s="218"/>
    </row>
    <row r="9" spans="1:28" ht="12.75" customHeight="1" x14ac:dyDescent="0.2">
      <c r="A9" s="218"/>
      <c r="B9" s="216"/>
      <c r="C9" s="216"/>
      <c r="D9" s="216"/>
      <c r="E9" s="216"/>
      <c r="F9" s="216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AA9" s="218"/>
      <c r="AB9" s="218"/>
    </row>
    <row r="10" spans="1:28" ht="12.75" customHeight="1" x14ac:dyDescent="0.2">
      <c r="A10" s="218"/>
      <c r="B10" s="412" t="str">
        <f ca="1">IF(Lifting!C2="","",CONCATENATE(ABS(Lifting!C2)," kg"))</f>
        <v>70 kg</v>
      </c>
      <c r="C10" s="412"/>
      <c r="D10" s="412"/>
      <c r="E10" s="412"/>
      <c r="F10" s="412"/>
      <c r="G10" s="412"/>
      <c r="H10" s="412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AA10" s="218"/>
      <c r="AB10" s="218"/>
    </row>
    <row r="11" spans="1:28" ht="12.75" customHeight="1" x14ac:dyDescent="0.2">
      <c r="A11" s="218"/>
      <c r="B11" s="412"/>
      <c r="C11" s="412"/>
      <c r="D11" s="412"/>
      <c r="E11" s="412"/>
      <c r="F11" s="412"/>
      <c r="G11" s="412"/>
      <c r="H11" s="412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AA11" s="218"/>
      <c r="AB11" s="218"/>
    </row>
    <row r="12" spans="1:28" ht="12.75" customHeight="1" x14ac:dyDescent="0.2">
      <c r="A12" s="218"/>
      <c r="B12" s="412"/>
      <c r="C12" s="412"/>
      <c r="D12" s="412"/>
      <c r="E12" s="412"/>
      <c r="F12" s="412"/>
      <c r="G12" s="412"/>
      <c r="H12" s="412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AA12" s="218"/>
      <c r="AB12" s="218"/>
    </row>
    <row r="13" spans="1:28" ht="12.75" customHeight="1" x14ac:dyDescent="0.2">
      <c r="A13" s="218"/>
      <c r="B13" s="412"/>
      <c r="C13" s="412"/>
      <c r="D13" s="412"/>
      <c r="E13" s="412"/>
      <c r="F13" s="412"/>
      <c r="G13" s="412"/>
      <c r="H13" s="412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AA13" s="218"/>
      <c r="AB13" s="218"/>
    </row>
    <row r="14" spans="1:28" ht="12.75" customHeight="1" x14ac:dyDescent="0.2">
      <c r="A14" s="218"/>
      <c r="B14" s="412"/>
      <c r="C14" s="412"/>
      <c r="D14" s="412"/>
      <c r="E14" s="412"/>
      <c r="F14" s="412"/>
      <c r="G14" s="412"/>
      <c r="H14" s="412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AA14" s="218"/>
      <c r="AB14" s="218"/>
    </row>
    <row r="15" spans="1:28" ht="12.75" customHeight="1" x14ac:dyDescent="0.2">
      <c r="A15" s="218"/>
      <c r="B15" s="412"/>
      <c r="C15" s="412"/>
      <c r="D15" s="412"/>
      <c r="E15" s="412"/>
      <c r="F15" s="412"/>
      <c r="G15" s="412"/>
      <c r="H15" s="412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AA15" s="218"/>
      <c r="AB15" s="218"/>
    </row>
    <row r="16" spans="1:28" ht="12.75" customHeight="1" x14ac:dyDescent="0.2">
      <c r="A16" s="218"/>
      <c r="B16" s="412"/>
      <c r="C16" s="412"/>
      <c r="D16" s="412"/>
      <c r="E16" s="412"/>
      <c r="F16" s="412"/>
      <c r="G16" s="412"/>
      <c r="H16" s="412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AA16" s="218"/>
      <c r="AB16" s="218"/>
    </row>
    <row r="17" spans="1:28" ht="12.75" customHeight="1" x14ac:dyDescent="0.2">
      <c r="A17" s="218"/>
      <c r="B17" s="412"/>
      <c r="C17" s="412"/>
      <c r="D17" s="412"/>
      <c r="E17" s="412"/>
      <c r="F17" s="412"/>
      <c r="G17" s="412"/>
      <c r="H17" s="412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AA17" s="218"/>
      <c r="AB17" s="218"/>
    </row>
    <row r="18" spans="1:28" ht="12.75" customHeight="1" x14ac:dyDescent="0.2">
      <c r="A18" s="218"/>
      <c r="B18" s="412"/>
      <c r="C18" s="412"/>
      <c r="D18" s="412"/>
      <c r="E18" s="412"/>
      <c r="F18" s="412"/>
      <c r="G18" s="412"/>
      <c r="H18" s="412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AA18" s="218"/>
      <c r="AB18" s="218"/>
    </row>
    <row r="19" spans="1:28" ht="12.75" customHeight="1" x14ac:dyDescent="0.2">
      <c r="A19" s="218"/>
      <c r="B19" s="412"/>
      <c r="C19" s="412"/>
      <c r="D19" s="412"/>
      <c r="E19" s="412"/>
      <c r="F19" s="412"/>
      <c r="G19" s="412"/>
      <c r="H19" s="412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AA19" s="218"/>
      <c r="AB19" s="218"/>
    </row>
    <row r="20" spans="1:28" ht="12.75" customHeight="1" x14ac:dyDescent="0.2">
      <c r="A20" s="218"/>
      <c r="B20" s="412"/>
      <c r="C20" s="412"/>
      <c r="D20" s="412"/>
      <c r="E20" s="412"/>
      <c r="F20" s="412"/>
      <c r="G20" s="412"/>
      <c r="H20" s="412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AA20" s="218"/>
      <c r="AB20" s="218"/>
    </row>
    <row r="21" spans="1:28" x14ac:dyDescent="0.2">
      <c r="A21" s="218"/>
      <c r="B21" s="411" t="str">
        <f ca="1">IF(Lifting!G4="","",CONCATENATE("Höjd: ",Lifting!G4))</f>
        <v>Höjd: 15</v>
      </c>
      <c r="C21" s="411"/>
      <c r="D21" s="411"/>
      <c r="E21" s="411"/>
      <c r="F21" s="411"/>
      <c r="G21" s="411"/>
      <c r="H21" s="411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AA21" s="218"/>
      <c r="AB21" s="218"/>
    </row>
    <row r="22" spans="1:28" x14ac:dyDescent="0.2">
      <c r="A22" s="218"/>
      <c r="B22" s="411"/>
      <c r="C22" s="411"/>
      <c r="D22" s="411"/>
      <c r="E22" s="411"/>
      <c r="F22" s="411"/>
      <c r="G22" s="411"/>
      <c r="H22" s="411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AA22" s="218"/>
      <c r="AB22" s="218"/>
    </row>
    <row r="23" spans="1:28" x14ac:dyDescent="0.2">
      <c r="A23" s="218"/>
      <c r="B23" s="411"/>
      <c r="C23" s="411"/>
      <c r="D23" s="411"/>
      <c r="E23" s="411"/>
      <c r="F23" s="411"/>
      <c r="G23" s="411"/>
      <c r="H23" s="411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AA23" s="218"/>
      <c r="AB23" s="218"/>
    </row>
    <row r="24" spans="1:28" x14ac:dyDescent="0.2">
      <c r="A24" s="218"/>
      <c r="B24" s="411"/>
      <c r="C24" s="411"/>
      <c r="D24" s="411"/>
      <c r="E24" s="411"/>
      <c r="F24" s="411"/>
      <c r="G24" s="411"/>
      <c r="H24" s="411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AA24" s="218"/>
      <c r="AB24" s="218"/>
    </row>
    <row r="25" spans="1:28" x14ac:dyDescent="0.2">
      <c r="A25" s="218"/>
      <c r="B25" s="411"/>
      <c r="C25" s="411"/>
      <c r="D25" s="411"/>
      <c r="E25" s="411"/>
      <c r="F25" s="411"/>
      <c r="G25" s="411"/>
      <c r="H25" s="411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AA25" s="218"/>
      <c r="AB25" s="218"/>
    </row>
    <row r="26" spans="1:28" x14ac:dyDescent="0.2">
      <c r="A26" s="218"/>
      <c r="B26" s="411"/>
      <c r="C26" s="411"/>
      <c r="D26" s="411"/>
      <c r="E26" s="411"/>
      <c r="F26" s="411"/>
      <c r="G26" s="411"/>
      <c r="H26" s="411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AA26" s="218"/>
      <c r="AB26" s="218"/>
    </row>
    <row r="27" spans="1:28" x14ac:dyDescent="0.2">
      <c r="A27" s="218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AA27" s="218"/>
      <c r="AB27" s="218"/>
    </row>
    <row r="28" spans="1:28" x14ac:dyDescent="0.2">
      <c r="A28" s="218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AA28" s="218"/>
      <c r="AB28" s="218"/>
    </row>
    <row r="29" spans="1:28" x14ac:dyDescent="0.2">
      <c r="A29" s="218"/>
      <c r="B29" s="218"/>
      <c r="C29" s="218"/>
      <c r="D29" s="218"/>
      <c r="E29" s="218"/>
      <c r="F29" s="218"/>
      <c r="G29" s="218"/>
      <c r="H29" s="218"/>
      <c r="I29" s="218"/>
      <c r="J29" s="218"/>
      <c r="K29" s="218"/>
      <c r="L29" s="218"/>
      <c r="M29" s="218"/>
      <c r="N29" s="218"/>
      <c r="O29" s="218"/>
      <c r="P29" s="218"/>
      <c r="Q29" s="218"/>
      <c r="R29" s="218"/>
      <c r="S29" s="218"/>
      <c r="AA29" s="218"/>
      <c r="AB29" s="218"/>
    </row>
    <row r="30" spans="1:28" ht="7.5" customHeight="1" x14ac:dyDescent="0.2"/>
    <row r="31" spans="1:28" ht="12.75" customHeight="1" x14ac:dyDescent="0.45">
      <c r="A31" s="284"/>
      <c r="B31" s="413" t="str">
        <f ca="1">IF(Lists!P3="",,Lists!R38)</f>
        <v>Nästa vikt: 75 kg</v>
      </c>
      <c r="C31" s="413"/>
      <c r="D31" s="413"/>
      <c r="E31" s="413"/>
      <c r="F31" s="413"/>
      <c r="G31" s="413"/>
      <c r="H31" s="413"/>
      <c r="I31" s="284"/>
      <c r="J31" s="284"/>
      <c r="K31" s="284"/>
      <c r="L31" s="284"/>
      <c r="M31" s="284"/>
      <c r="N31" s="284"/>
      <c r="O31" s="414" t="str">
        <f ca="1">Lists!T38</f>
        <v>Cecilia Thulin</v>
      </c>
      <c r="P31" s="414"/>
      <c r="Q31" s="414"/>
      <c r="R31" s="414"/>
      <c r="S31" s="414"/>
      <c r="T31" s="285"/>
      <c r="U31" s="285"/>
      <c r="V31" s="285"/>
      <c r="W31" s="285"/>
      <c r="X31" s="285"/>
      <c r="Y31" s="285"/>
      <c r="Z31" s="285"/>
      <c r="AA31" s="285"/>
      <c r="AB31" s="285"/>
    </row>
    <row r="32" spans="1:28" ht="12.75" customHeight="1" x14ac:dyDescent="0.45">
      <c r="A32" s="284"/>
      <c r="B32" s="413"/>
      <c r="C32" s="413"/>
      <c r="D32" s="413"/>
      <c r="E32" s="413"/>
      <c r="F32" s="413"/>
      <c r="G32" s="413"/>
      <c r="H32" s="413"/>
      <c r="I32" s="286"/>
      <c r="J32" s="286"/>
      <c r="K32" s="286"/>
      <c r="L32" s="287"/>
      <c r="M32" s="287"/>
      <c r="N32" s="287"/>
      <c r="O32" s="414"/>
      <c r="P32" s="414"/>
      <c r="Q32" s="414"/>
      <c r="R32" s="414"/>
      <c r="S32" s="414"/>
      <c r="T32" s="285"/>
      <c r="U32" s="285"/>
      <c r="V32" s="285"/>
      <c r="W32" s="285"/>
      <c r="X32" s="285"/>
      <c r="Y32" s="285"/>
      <c r="Z32" s="285"/>
      <c r="AA32" s="285"/>
      <c r="AB32" s="285"/>
    </row>
    <row r="33" spans="1:28" ht="12.75" customHeight="1" x14ac:dyDescent="0.45">
      <c r="A33" s="284"/>
      <c r="B33" s="413"/>
      <c r="C33" s="413"/>
      <c r="D33" s="413"/>
      <c r="E33" s="413"/>
      <c r="F33" s="413"/>
      <c r="G33" s="413"/>
      <c r="H33" s="413"/>
      <c r="I33" s="286"/>
      <c r="J33" s="286"/>
      <c r="K33" s="286"/>
      <c r="L33" s="287"/>
      <c r="M33" s="287"/>
      <c r="N33" s="287"/>
      <c r="O33" s="414"/>
      <c r="P33" s="414"/>
      <c r="Q33" s="414"/>
      <c r="R33" s="414"/>
      <c r="S33" s="414"/>
      <c r="T33" s="285"/>
      <c r="U33" s="285"/>
      <c r="V33" s="285"/>
      <c r="W33" s="285"/>
      <c r="X33" s="285"/>
      <c r="Y33" s="285"/>
      <c r="Z33" s="285"/>
      <c r="AA33" s="285"/>
      <c r="AB33" s="285"/>
    </row>
    <row r="34" spans="1:28" ht="12.75" customHeight="1" x14ac:dyDescent="0.2">
      <c r="A34" s="284"/>
      <c r="B34" s="413"/>
      <c r="C34" s="413"/>
      <c r="D34" s="413"/>
      <c r="E34" s="413"/>
      <c r="F34" s="413"/>
      <c r="G34" s="413"/>
      <c r="H34" s="413"/>
      <c r="I34" s="286"/>
      <c r="J34" s="286"/>
      <c r="K34" s="286"/>
      <c r="L34" s="287"/>
      <c r="M34" s="287"/>
      <c r="N34" s="287"/>
      <c r="O34" s="415" t="str">
        <f ca="1">Lists!T39</f>
        <v>Göteborg KK</v>
      </c>
      <c r="P34" s="415"/>
      <c r="Q34" s="415"/>
      <c r="R34" s="415"/>
      <c r="S34" s="415"/>
      <c r="T34" s="288"/>
      <c r="U34" s="288"/>
      <c r="V34" s="288"/>
      <c r="W34" s="288"/>
      <c r="X34" s="288"/>
      <c r="Y34" s="288"/>
      <c r="Z34" s="288"/>
      <c r="AA34" s="288"/>
      <c r="AB34" s="288"/>
    </row>
    <row r="35" spans="1:28" ht="12.75" customHeight="1" x14ac:dyDescent="0.2">
      <c r="A35" s="284"/>
      <c r="B35" s="413"/>
      <c r="C35" s="413"/>
      <c r="D35" s="413"/>
      <c r="E35" s="413"/>
      <c r="F35" s="413"/>
      <c r="G35" s="413"/>
      <c r="H35" s="413"/>
      <c r="I35" s="286"/>
      <c r="J35" s="286"/>
      <c r="K35" s="286"/>
      <c r="L35" s="287"/>
      <c r="M35" s="287"/>
      <c r="N35" s="287"/>
      <c r="O35" s="415"/>
      <c r="P35" s="415"/>
      <c r="Q35" s="415"/>
      <c r="R35" s="415"/>
      <c r="S35" s="415"/>
      <c r="T35" s="288"/>
      <c r="U35" s="288"/>
      <c r="V35" s="288"/>
      <c r="W35" s="288"/>
      <c r="X35" s="288"/>
      <c r="Y35" s="288"/>
      <c r="Z35" s="288"/>
      <c r="AA35" s="288"/>
      <c r="AB35" s="288"/>
    </row>
    <row r="36" spans="1:28" ht="12.75" customHeight="1" x14ac:dyDescent="0.2">
      <c r="A36" s="284"/>
      <c r="B36" s="413" t="str">
        <f ca="1">Lists!R39</f>
        <v>Nästa höjd: 13</v>
      </c>
      <c r="C36" s="413"/>
      <c r="D36" s="413"/>
      <c r="E36" s="413"/>
      <c r="F36" s="413"/>
      <c r="G36" s="413"/>
      <c r="H36" s="413"/>
      <c r="I36" s="286"/>
      <c r="J36" s="286"/>
      <c r="K36" s="286"/>
      <c r="L36" s="287"/>
      <c r="M36" s="287"/>
      <c r="N36" s="287"/>
      <c r="O36" s="415"/>
      <c r="P36" s="415"/>
      <c r="Q36" s="415"/>
      <c r="R36" s="415"/>
      <c r="S36" s="415"/>
      <c r="T36" s="288"/>
      <c r="U36" s="288"/>
      <c r="V36" s="288"/>
      <c r="W36" s="288"/>
      <c r="X36" s="288"/>
      <c r="Y36" s="288"/>
      <c r="Z36" s="288"/>
      <c r="AA36" s="288"/>
      <c r="AB36" s="288"/>
    </row>
    <row r="37" spans="1:28" ht="12.75" customHeight="1" x14ac:dyDescent="0.2">
      <c r="A37" s="284"/>
      <c r="B37" s="413"/>
      <c r="C37" s="413"/>
      <c r="D37" s="413"/>
      <c r="E37" s="413"/>
      <c r="F37" s="413"/>
      <c r="G37" s="413"/>
      <c r="H37" s="413"/>
      <c r="I37" s="286"/>
      <c r="J37" s="286"/>
      <c r="K37" s="286"/>
      <c r="L37" s="287"/>
      <c r="M37" s="287"/>
      <c r="N37" s="287"/>
      <c r="O37" s="415" t="str">
        <f ca="1">Lists!T40</f>
        <v>Klass 84 kg</v>
      </c>
      <c r="P37" s="415"/>
      <c r="Q37" s="415"/>
      <c r="R37" s="415"/>
      <c r="S37" s="415"/>
      <c r="T37" s="288"/>
      <c r="U37" s="288"/>
      <c r="V37" s="288"/>
      <c r="W37" s="288"/>
      <c r="X37" s="288"/>
      <c r="Y37" s="288"/>
      <c r="Z37" s="288"/>
      <c r="AA37" s="288"/>
      <c r="AB37" s="288"/>
    </row>
    <row r="38" spans="1:28" ht="12.75" customHeight="1" x14ac:dyDescent="0.2">
      <c r="A38" s="284"/>
      <c r="B38" s="413"/>
      <c r="C38" s="413"/>
      <c r="D38" s="413"/>
      <c r="E38" s="413"/>
      <c r="F38" s="413"/>
      <c r="G38" s="413"/>
      <c r="H38" s="413"/>
      <c r="I38" s="284"/>
      <c r="J38" s="284"/>
      <c r="K38" s="284"/>
      <c r="L38" s="284"/>
      <c r="M38" s="284"/>
      <c r="N38" s="284"/>
      <c r="O38" s="415"/>
      <c r="P38" s="415"/>
      <c r="Q38" s="415"/>
      <c r="R38" s="415"/>
      <c r="S38" s="415"/>
      <c r="T38" s="288"/>
      <c r="U38" s="288"/>
      <c r="V38" s="288"/>
      <c r="W38" s="288"/>
      <c r="X38" s="288"/>
      <c r="Y38" s="288"/>
      <c r="Z38" s="288"/>
      <c r="AA38" s="288"/>
      <c r="AB38" s="288"/>
    </row>
    <row r="39" spans="1:28" ht="12.75" customHeight="1" x14ac:dyDescent="0.2">
      <c r="A39" s="284"/>
      <c r="B39" s="413"/>
      <c r="C39" s="413"/>
      <c r="D39" s="413"/>
      <c r="E39" s="413"/>
      <c r="F39" s="413"/>
      <c r="G39" s="413"/>
      <c r="H39" s="413"/>
      <c r="I39" s="284"/>
      <c r="J39" s="284"/>
      <c r="K39" s="284"/>
      <c r="L39" s="284"/>
      <c r="M39" s="284"/>
      <c r="N39" s="284"/>
      <c r="O39" s="415"/>
      <c r="P39" s="415"/>
      <c r="Q39" s="415"/>
      <c r="R39" s="415"/>
      <c r="S39" s="415"/>
      <c r="T39" s="288"/>
      <c r="U39" s="288"/>
      <c r="V39" s="288"/>
      <c r="W39" s="288"/>
      <c r="X39" s="288"/>
      <c r="Y39" s="288"/>
      <c r="Z39" s="288"/>
      <c r="AA39" s="288"/>
      <c r="AB39" s="288"/>
    </row>
    <row r="40" spans="1:28" ht="12.75" customHeight="1" x14ac:dyDescent="0.2">
      <c r="A40" s="284"/>
      <c r="B40" s="413"/>
      <c r="C40" s="413"/>
      <c r="D40" s="413"/>
      <c r="E40" s="413"/>
      <c r="F40" s="413"/>
      <c r="G40" s="413"/>
      <c r="H40" s="413"/>
      <c r="I40" s="284"/>
      <c r="J40" s="284"/>
      <c r="K40" s="284"/>
      <c r="L40" s="284"/>
      <c r="M40" s="284"/>
      <c r="N40" s="284"/>
      <c r="O40" s="284"/>
      <c r="P40" s="284"/>
      <c r="Q40" s="284"/>
      <c r="R40" s="284"/>
      <c r="S40" s="284"/>
      <c r="T40" s="284"/>
      <c r="U40" s="284"/>
      <c r="V40" s="284"/>
      <c r="W40" s="284"/>
      <c r="X40" s="284"/>
      <c r="Y40" s="284"/>
      <c r="Z40" s="284"/>
      <c r="AA40" s="284"/>
      <c r="AB40" s="284"/>
    </row>
    <row r="41" spans="1:28" ht="12.75" customHeight="1" x14ac:dyDescent="0.2">
      <c r="A41" s="284"/>
      <c r="B41" s="284"/>
      <c r="C41" s="284"/>
      <c r="D41" s="284"/>
      <c r="E41" s="284"/>
      <c r="F41" s="284"/>
      <c r="G41" s="284"/>
      <c r="H41" s="284"/>
      <c r="I41" s="284"/>
      <c r="J41" s="284"/>
      <c r="K41" s="284"/>
      <c r="L41" s="284"/>
      <c r="M41" s="284"/>
      <c r="N41" s="284"/>
      <c r="O41" s="284"/>
      <c r="P41" s="284"/>
      <c r="Q41" s="284"/>
      <c r="R41" s="284"/>
      <c r="S41" s="284"/>
      <c r="T41" s="284"/>
      <c r="U41" s="284"/>
      <c r="V41" s="284"/>
      <c r="W41" s="284"/>
      <c r="X41" s="284"/>
      <c r="Y41" s="284"/>
      <c r="Z41" s="284"/>
      <c r="AA41" s="284"/>
      <c r="AB41" s="284"/>
    </row>
    <row r="42" spans="1:28" x14ac:dyDescent="0.2">
      <c r="A42" s="284"/>
      <c r="B42" s="284"/>
      <c r="C42" s="284"/>
      <c r="D42" s="284"/>
      <c r="E42" s="284"/>
      <c r="F42" s="284"/>
      <c r="G42" s="284"/>
      <c r="H42" s="284"/>
      <c r="I42" s="284"/>
      <c r="J42" s="284"/>
      <c r="K42" s="284"/>
      <c r="L42" s="284"/>
      <c r="M42" s="284"/>
      <c r="N42" s="284"/>
      <c r="O42" s="284"/>
      <c r="P42" s="284"/>
      <c r="Q42" s="284"/>
      <c r="R42" s="284"/>
      <c r="S42" s="284"/>
      <c r="T42" s="284"/>
      <c r="U42" s="284"/>
      <c r="V42" s="284"/>
      <c r="W42" s="284"/>
      <c r="X42" s="284"/>
      <c r="Y42" s="284"/>
      <c r="Z42" s="284"/>
      <c r="AA42" s="284"/>
      <c r="AB42" s="284"/>
    </row>
    <row r="45" spans="1:28" x14ac:dyDescent="0.2">
      <c r="M45" s="410" t="s">
        <v>363</v>
      </c>
      <c r="N45" s="410"/>
      <c r="O45" s="410"/>
    </row>
    <row r="46" spans="1:28" ht="12.75" customHeight="1" x14ac:dyDescent="0.2">
      <c r="M46" s="410"/>
      <c r="N46" s="410"/>
      <c r="O46" s="410"/>
    </row>
    <row r="47" spans="1:28" x14ac:dyDescent="0.2">
      <c r="M47" s="410"/>
      <c r="N47" s="410"/>
      <c r="O47" s="410"/>
    </row>
    <row r="48" spans="1:28" x14ac:dyDescent="0.2">
      <c r="M48" s="410"/>
      <c r="N48" s="410"/>
      <c r="O48" s="410"/>
    </row>
  </sheetData>
  <mergeCells count="8">
    <mergeCell ref="M45:O48"/>
    <mergeCell ref="B21:H26"/>
    <mergeCell ref="B10:H20"/>
    <mergeCell ref="B31:H35"/>
    <mergeCell ref="O31:S33"/>
    <mergeCell ref="O34:S36"/>
    <mergeCell ref="B36:H40"/>
    <mergeCell ref="O37:S39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2:S39"/>
  <sheetViews>
    <sheetView showGridLines="0" zoomScaleNormal="100" workbookViewId="0"/>
  </sheetViews>
  <sheetFormatPr defaultRowHeight="15" x14ac:dyDescent="0.25"/>
  <cols>
    <col min="1" max="1" width="5.42578125" style="224" bestFit="1" customWidth="1"/>
    <col min="2" max="2" width="9.140625" style="224" customWidth="1"/>
    <col min="3" max="3" width="7.5703125" style="253" customWidth="1"/>
    <col min="4" max="4" width="21.42578125" style="224" customWidth="1"/>
    <col min="5" max="5" width="19.140625" style="224" bestFit="1" customWidth="1"/>
    <col min="6" max="19" width="5.7109375" style="224" customWidth="1"/>
    <col min="20" max="256" width="9.140625" style="224"/>
    <col min="257" max="257" width="5.42578125" style="224" bestFit="1" customWidth="1"/>
    <col min="258" max="258" width="9.140625" style="224"/>
    <col min="259" max="259" width="7.5703125" style="224" customWidth="1"/>
    <col min="260" max="260" width="21.42578125" style="224" customWidth="1"/>
    <col min="261" max="261" width="19.140625" style="224" bestFit="1" customWidth="1"/>
    <col min="262" max="275" width="5.7109375" style="224" customWidth="1"/>
    <col min="276" max="512" width="9.140625" style="224"/>
    <col min="513" max="513" width="5.42578125" style="224" bestFit="1" customWidth="1"/>
    <col min="514" max="514" width="9.140625" style="224"/>
    <col min="515" max="515" width="7.5703125" style="224" customWidth="1"/>
    <col min="516" max="516" width="21.42578125" style="224" customWidth="1"/>
    <col min="517" max="517" width="19.140625" style="224" bestFit="1" customWidth="1"/>
    <col min="518" max="531" width="5.7109375" style="224" customWidth="1"/>
    <col min="532" max="768" width="9.140625" style="224"/>
    <col min="769" max="769" width="5.42578125" style="224" bestFit="1" customWidth="1"/>
    <col min="770" max="770" width="9.140625" style="224"/>
    <col min="771" max="771" width="7.5703125" style="224" customWidth="1"/>
    <col min="772" max="772" width="21.42578125" style="224" customWidth="1"/>
    <col min="773" max="773" width="19.140625" style="224" bestFit="1" customWidth="1"/>
    <col min="774" max="787" width="5.7109375" style="224" customWidth="1"/>
    <col min="788" max="1024" width="9.140625" style="224"/>
    <col min="1025" max="1025" width="5.42578125" style="224" bestFit="1" customWidth="1"/>
    <col min="1026" max="1026" width="9.140625" style="224"/>
    <col min="1027" max="1027" width="7.5703125" style="224" customWidth="1"/>
    <col min="1028" max="1028" width="21.42578125" style="224" customWidth="1"/>
    <col min="1029" max="1029" width="19.140625" style="224" bestFit="1" customWidth="1"/>
    <col min="1030" max="1043" width="5.7109375" style="224" customWidth="1"/>
    <col min="1044" max="1280" width="9.140625" style="224"/>
    <col min="1281" max="1281" width="5.42578125" style="224" bestFit="1" customWidth="1"/>
    <col min="1282" max="1282" width="9.140625" style="224"/>
    <col min="1283" max="1283" width="7.5703125" style="224" customWidth="1"/>
    <col min="1284" max="1284" width="21.42578125" style="224" customWidth="1"/>
    <col min="1285" max="1285" width="19.140625" style="224" bestFit="1" customWidth="1"/>
    <col min="1286" max="1299" width="5.7109375" style="224" customWidth="1"/>
    <col min="1300" max="1536" width="9.140625" style="224"/>
    <col min="1537" max="1537" width="5.42578125" style="224" bestFit="1" customWidth="1"/>
    <col min="1538" max="1538" width="9.140625" style="224"/>
    <col min="1539" max="1539" width="7.5703125" style="224" customWidth="1"/>
    <col min="1540" max="1540" width="21.42578125" style="224" customWidth="1"/>
    <col min="1541" max="1541" width="19.140625" style="224" bestFit="1" customWidth="1"/>
    <col min="1542" max="1555" width="5.7109375" style="224" customWidth="1"/>
    <col min="1556" max="1792" width="9.140625" style="224"/>
    <col min="1793" max="1793" width="5.42578125" style="224" bestFit="1" customWidth="1"/>
    <col min="1794" max="1794" width="9.140625" style="224"/>
    <col min="1795" max="1795" width="7.5703125" style="224" customWidth="1"/>
    <col min="1796" max="1796" width="21.42578125" style="224" customWidth="1"/>
    <col min="1797" max="1797" width="19.140625" style="224" bestFit="1" customWidth="1"/>
    <col min="1798" max="1811" width="5.7109375" style="224" customWidth="1"/>
    <col min="1812" max="2048" width="9.140625" style="224"/>
    <col min="2049" max="2049" width="5.42578125" style="224" bestFit="1" customWidth="1"/>
    <col min="2050" max="2050" width="9.140625" style="224"/>
    <col min="2051" max="2051" width="7.5703125" style="224" customWidth="1"/>
    <col min="2052" max="2052" width="21.42578125" style="224" customWidth="1"/>
    <col min="2053" max="2053" width="19.140625" style="224" bestFit="1" customWidth="1"/>
    <col min="2054" max="2067" width="5.7109375" style="224" customWidth="1"/>
    <col min="2068" max="2304" width="9.140625" style="224"/>
    <col min="2305" max="2305" width="5.42578125" style="224" bestFit="1" customWidth="1"/>
    <col min="2306" max="2306" width="9.140625" style="224"/>
    <col min="2307" max="2307" width="7.5703125" style="224" customWidth="1"/>
    <col min="2308" max="2308" width="21.42578125" style="224" customWidth="1"/>
    <col min="2309" max="2309" width="19.140625" style="224" bestFit="1" customWidth="1"/>
    <col min="2310" max="2323" width="5.7109375" style="224" customWidth="1"/>
    <col min="2324" max="2560" width="9.140625" style="224"/>
    <col min="2561" max="2561" width="5.42578125" style="224" bestFit="1" customWidth="1"/>
    <col min="2562" max="2562" width="9.140625" style="224"/>
    <col min="2563" max="2563" width="7.5703125" style="224" customWidth="1"/>
    <col min="2564" max="2564" width="21.42578125" style="224" customWidth="1"/>
    <col min="2565" max="2565" width="19.140625" style="224" bestFit="1" customWidth="1"/>
    <col min="2566" max="2579" width="5.7109375" style="224" customWidth="1"/>
    <col min="2580" max="2816" width="9.140625" style="224"/>
    <col min="2817" max="2817" width="5.42578125" style="224" bestFit="1" customWidth="1"/>
    <col min="2818" max="2818" width="9.140625" style="224"/>
    <col min="2819" max="2819" width="7.5703125" style="224" customWidth="1"/>
    <col min="2820" max="2820" width="21.42578125" style="224" customWidth="1"/>
    <col min="2821" max="2821" width="19.140625" style="224" bestFit="1" customWidth="1"/>
    <col min="2822" max="2835" width="5.7109375" style="224" customWidth="1"/>
    <col min="2836" max="3072" width="9.140625" style="224"/>
    <col min="3073" max="3073" width="5.42578125" style="224" bestFit="1" customWidth="1"/>
    <col min="3074" max="3074" width="9.140625" style="224"/>
    <col min="3075" max="3075" width="7.5703125" style="224" customWidth="1"/>
    <col min="3076" max="3076" width="21.42578125" style="224" customWidth="1"/>
    <col min="3077" max="3077" width="19.140625" style="224" bestFit="1" customWidth="1"/>
    <col min="3078" max="3091" width="5.7109375" style="224" customWidth="1"/>
    <col min="3092" max="3328" width="9.140625" style="224"/>
    <col min="3329" max="3329" width="5.42578125" style="224" bestFit="1" customWidth="1"/>
    <col min="3330" max="3330" width="9.140625" style="224"/>
    <col min="3331" max="3331" width="7.5703125" style="224" customWidth="1"/>
    <col min="3332" max="3332" width="21.42578125" style="224" customWidth="1"/>
    <col min="3333" max="3333" width="19.140625" style="224" bestFit="1" customWidth="1"/>
    <col min="3334" max="3347" width="5.7109375" style="224" customWidth="1"/>
    <col min="3348" max="3584" width="9.140625" style="224"/>
    <col min="3585" max="3585" width="5.42578125" style="224" bestFit="1" customWidth="1"/>
    <col min="3586" max="3586" width="9.140625" style="224"/>
    <col min="3587" max="3587" width="7.5703125" style="224" customWidth="1"/>
    <col min="3588" max="3588" width="21.42578125" style="224" customWidth="1"/>
    <col min="3589" max="3589" width="19.140625" style="224" bestFit="1" customWidth="1"/>
    <col min="3590" max="3603" width="5.7109375" style="224" customWidth="1"/>
    <col min="3604" max="3840" width="9.140625" style="224"/>
    <col min="3841" max="3841" width="5.42578125" style="224" bestFit="1" customWidth="1"/>
    <col min="3842" max="3842" width="9.140625" style="224"/>
    <col min="3843" max="3843" width="7.5703125" style="224" customWidth="1"/>
    <col min="3844" max="3844" width="21.42578125" style="224" customWidth="1"/>
    <col min="3845" max="3845" width="19.140625" style="224" bestFit="1" customWidth="1"/>
    <col min="3846" max="3859" width="5.7109375" style="224" customWidth="1"/>
    <col min="3860" max="4096" width="9.140625" style="224"/>
    <col min="4097" max="4097" width="5.42578125" style="224" bestFit="1" customWidth="1"/>
    <col min="4098" max="4098" width="9.140625" style="224"/>
    <col min="4099" max="4099" width="7.5703125" style="224" customWidth="1"/>
    <col min="4100" max="4100" width="21.42578125" style="224" customWidth="1"/>
    <col min="4101" max="4101" width="19.140625" style="224" bestFit="1" customWidth="1"/>
    <col min="4102" max="4115" width="5.7109375" style="224" customWidth="1"/>
    <col min="4116" max="4352" width="9.140625" style="224"/>
    <col min="4353" max="4353" width="5.42578125" style="224" bestFit="1" customWidth="1"/>
    <col min="4354" max="4354" width="9.140625" style="224"/>
    <col min="4355" max="4355" width="7.5703125" style="224" customWidth="1"/>
    <col min="4356" max="4356" width="21.42578125" style="224" customWidth="1"/>
    <col min="4357" max="4357" width="19.140625" style="224" bestFit="1" customWidth="1"/>
    <col min="4358" max="4371" width="5.7109375" style="224" customWidth="1"/>
    <col min="4372" max="4608" width="9.140625" style="224"/>
    <col min="4609" max="4609" width="5.42578125" style="224" bestFit="1" customWidth="1"/>
    <col min="4610" max="4610" width="9.140625" style="224"/>
    <col min="4611" max="4611" width="7.5703125" style="224" customWidth="1"/>
    <col min="4612" max="4612" width="21.42578125" style="224" customWidth="1"/>
    <col min="4613" max="4613" width="19.140625" style="224" bestFit="1" customWidth="1"/>
    <col min="4614" max="4627" width="5.7109375" style="224" customWidth="1"/>
    <col min="4628" max="4864" width="9.140625" style="224"/>
    <col min="4865" max="4865" width="5.42578125" style="224" bestFit="1" customWidth="1"/>
    <col min="4866" max="4866" width="9.140625" style="224"/>
    <col min="4867" max="4867" width="7.5703125" style="224" customWidth="1"/>
    <col min="4868" max="4868" width="21.42578125" style="224" customWidth="1"/>
    <col min="4869" max="4869" width="19.140625" style="224" bestFit="1" customWidth="1"/>
    <col min="4870" max="4883" width="5.7109375" style="224" customWidth="1"/>
    <col min="4884" max="5120" width="9.140625" style="224"/>
    <col min="5121" max="5121" width="5.42578125" style="224" bestFit="1" customWidth="1"/>
    <col min="5122" max="5122" width="9.140625" style="224"/>
    <col min="5123" max="5123" width="7.5703125" style="224" customWidth="1"/>
    <col min="5124" max="5124" width="21.42578125" style="224" customWidth="1"/>
    <col min="5125" max="5125" width="19.140625" style="224" bestFit="1" customWidth="1"/>
    <col min="5126" max="5139" width="5.7109375" style="224" customWidth="1"/>
    <col min="5140" max="5376" width="9.140625" style="224"/>
    <col min="5377" max="5377" width="5.42578125" style="224" bestFit="1" customWidth="1"/>
    <col min="5378" max="5378" width="9.140625" style="224"/>
    <col min="5379" max="5379" width="7.5703125" style="224" customWidth="1"/>
    <col min="5380" max="5380" width="21.42578125" style="224" customWidth="1"/>
    <col min="5381" max="5381" width="19.140625" style="224" bestFit="1" customWidth="1"/>
    <col min="5382" max="5395" width="5.7109375" style="224" customWidth="1"/>
    <col min="5396" max="5632" width="9.140625" style="224"/>
    <col min="5633" max="5633" width="5.42578125" style="224" bestFit="1" customWidth="1"/>
    <col min="5634" max="5634" width="9.140625" style="224"/>
    <col min="5635" max="5635" width="7.5703125" style="224" customWidth="1"/>
    <col min="5636" max="5636" width="21.42578125" style="224" customWidth="1"/>
    <col min="5637" max="5637" width="19.140625" style="224" bestFit="1" customWidth="1"/>
    <col min="5638" max="5651" width="5.7109375" style="224" customWidth="1"/>
    <col min="5652" max="5888" width="9.140625" style="224"/>
    <col min="5889" max="5889" width="5.42578125" style="224" bestFit="1" customWidth="1"/>
    <col min="5890" max="5890" width="9.140625" style="224"/>
    <col min="5891" max="5891" width="7.5703125" style="224" customWidth="1"/>
    <col min="5892" max="5892" width="21.42578125" style="224" customWidth="1"/>
    <col min="5893" max="5893" width="19.140625" style="224" bestFit="1" customWidth="1"/>
    <col min="5894" max="5907" width="5.7109375" style="224" customWidth="1"/>
    <col min="5908" max="6144" width="9.140625" style="224"/>
    <col min="6145" max="6145" width="5.42578125" style="224" bestFit="1" customWidth="1"/>
    <col min="6146" max="6146" width="9.140625" style="224"/>
    <col min="6147" max="6147" width="7.5703125" style="224" customWidth="1"/>
    <col min="6148" max="6148" width="21.42578125" style="224" customWidth="1"/>
    <col min="6149" max="6149" width="19.140625" style="224" bestFit="1" customWidth="1"/>
    <col min="6150" max="6163" width="5.7109375" style="224" customWidth="1"/>
    <col min="6164" max="6400" width="9.140625" style="224"/>
    <col min="6401" max="6401" width="5.42578125" style="224" bestFit="1" customWidth="1"/>
    <col min="6402" max="6402" width="9.140625" style="224"/>
    <col min="6403" max="6403" width="7.5703125" style="224" customWidth="1"/>
    <col min="6404" max="6404" width="21.42578125" style="224" customWidth="1"/>
    <col min="6405" max="6405" width="19.140625" style="224" bestFit="1" customWidth="1"/>
    <col min="6406" max="6419" width="5.7109375" style="224" customWidth="1"/>
    <col min="6420" max="6656" width="9.140625" style="224"/>
    <col min="6657" max="6657" width="5.42578125" style="224" bestFit="1" customWidth="1"/>
    <col min="6658" max="6658" width="9.140625" style="224"/>
    <col min="6659" max="6659" width="7.5703125" style="224" customWidth="1"/>
    <col min="6660" max="6660" width="21.42578125" style="224" customWidth="1"/>
    <col min="6661" max="6661" width="19.140625" style="224" bestFit="1" customWidth="1"/>
    <col min="6662" max="6675" width="5.7109375" style="224" customWidth="1"/>
    <col min="6676" max="6912" width="9.140625" style="224"/>
    <col min="6913" max="6913" width="5.42578125" style="224" bestFit="1" customWidth="1"/>
    <col min="6914" max="6914" width="9.140625" style="224"/>
    <col min="6915" max="6915" width="7.5703125" style="224" customWidth="1"/>
    <col min="6916" max="6916" width="21.42578125" style="224" customWidth="1"/>
    <col min="6917" max="6917" width="19.140625" style="224" bestFit="1" customWidth="1"/>
    <col min="6918" max="6931" width="5.7109375" style="224" customWidth="1"/>
    <col min="6932" max="7168" width="9.140625" style="224"/>
    <col min="7169" max="7169" width="5.42578125" style="224" bestFit="1" customWidth="1"/>
    <col min="7170" max="7170" width="9.140625" style="224"/>
    <col min="7171" max="7171" width="7.5703125" style="224" customWidth="1"/>
    <col min="7172" max="7172" width="21.42578125" style="224" customWidth="1"/>
    <col min="7173" max="7173" width="19.140625" style="224" bestFit="1" customWidth="1"/>
    <col min="7174" max="7187" width="5.7109375" style="224" customWidth="1"/>
    <col min="7188" max="7424" width="9.140625" style="224"/>
    <col min="7425" max="7425" width="5.42578125" style="224" bestFit="1" customWidth="1"/>
    <col min="7426" max="7426" width="9.140625" style="224"/>
    <col min="7427" max="7427" width="7.5703125" style="224" customWidth="1"/>
    <col min="7428" max="7428" width="21.42578125" style="224" customWidth="1"/>
    <col min="7429" max="7429" width="19.140625" style="224" bestFit="1" customWidth="1"/>
    <col min="7430" max="7443" width="5.7109375" style="224" customWidth="1"/>
    <col min="7444" max="7680" width="9.140625" style="224"/>
    <col min="7681" max="7681" width="5.42578125" style="224" bestFit="1" customWidth="1"/>
    <col min="7682" max="7682" width="9.140625" style="224"/>
    <col min="7683" max="7683" width="7.5703125" style="224" customWidth="1"/>
    <col min="7684" max="7684" width="21.42578125" style="224" customWidth="1"/>
    <col min="7685" max="7685" width="19.140625" style="224" bestFit="1" customWidth="1"/>
    <col min="7686" max="7699" width="5.7109375" style="224" customWidth="1"/>
    <col min="7700" max="7936" width="9.140625" style="224"/>
    <col min="7937" max="7937" width="5.42578125" style="224" bestFit="1" customWidth="1"/>
    <col min="7938" max="7938" width="9.140625" style="224"/>
    <col min="7939" max="7939" width="7.5703125" style="224" customWidth="1"/>
    <col min="7940" max="7940" width="21.42578125" style="224" customWidth="1"/>
    <col min="7941" max="7941" width="19.140625" style="224" bestFit="1" customWidth="1"/>
    <col min="7942" max="7955" width="5.7109375" style="224" customWidth="1"/>
    <col min="7956" max="8192" width="9.140625" style="224"/>
    <col min="8193" max="8193" width="5.42578125" style="224" bestFit="1" customWidth="1"/>
    <col min="8194" max="8194" width="9.140625" style="224"/>
    <col min="8195" max="8195" width="7.5703125" style="224" customWidth="1"/>
    <col min="8196" max="8196" width="21.42578125" style="224" customWidth="1"/>
    <col min="8197" max="8197" width="19.140625" style="224" bestFit="1" customWidth="1"/>
    <col min="8198" max="8211" width="5.7109375" style="224" customWidth="1"/>
    <col min="8212" max="8448" width="9.140625" style="224"/>
    <col min="8449" max="8449" width="5.42578125" style="224" bestFit="1" customWidth="1"/>
    <col min="8450" max="8450" width="9.140625" style="224"/>
    <col min="8451" max="8451" width="7.5703125" style="224" customWidth="1"/>
    <col min="8452" max="8452" width="21.42578125" style="224" customWidth="1"/>
    <col min="8453" max="8453" width="19.140625" style="224" bestFit="1" customWidth="1"/>
    <col min="8454" max="8467" width="5.7109375" style="224" customWidth="1"/>
    <col min="8468" max="8704" width="9.140625" style="224"/>
    <col min="8705" max="8705" width="5.42578125" style="224" bestFit="1" customWidth="1"/>
    <col min="8706" max="8706" width="9.140625" style="224"/>
    <col min="8707" max="8707" width="7.5703125" style="224" customWidth="1"/>
    <col min="8708" max="8708" width="21.42578125" style="224" customWidth="1"/>
    <col min="8709" max="8709" width="19.140625" style="224" bestFit="1" customWidth="1"/>
    <col min="8710" max="8723" width="5.7109375" style="224" customWidth="1"/>
    <col min="8724" max="8960" width="9.140625" style="224"/>
    <col min="8961" max="8961" width="5.42578125" style="224" bestFit="1" customWidth="1"/>
    <col min="8962" max="8962" width="9.140625" style="224"/>
    <col min="8963" max="8963" width="7.5703125" style="224" customWidth="1"/>
    <col min="8964" max="8964" width="21.42578125" style="224" customWidth="1"/>
    <col min="8965" max="8965" width="19.140625" style="224" bestFit="1" customWidth="1"/>
    <col min="8966" max="8979" width="5.7109375" style="224" customWidth="1"/>
    <col min="8980" max="9216" width="9.140625" style="224"/>
    <col min="9217" max="9217" width="5.42578125" style="224" bestFit="1" customWidth="1"/>
    <col min="9218" max="9218" width="9.140625" style="224"/>
    <col min="9219" max="9219" width="7.5703125" style="224" customWidth="1"/>
    <col min="9220" max="9220" width="21.42578125" style="224" customWidth="1"/>
    <col min="9221" max="9221" width="19.140625" style="224" bestFit="1" customWidth="1"/>
    <col min="9222" max="9235" width="5.7109375" style="224" customWidth="1"/>
    <col min="9236" max="9472" width="9.140625" style="224"/>
    <col min="9473" max="9473" width="5.42578125" style="224" bestFit="1" customWidth="1"/>
    <col min="9474" max="9474" width="9.140625" style="224"/>
    <col min="9475" max="9475" width="7.5703125" style="224" customWidth="1"/>
    <col min="9476" max="9476" width="21.42578125" style="224" customWidth="1"/>
    <col min="9477" max="9477" width="19.140625" style="224" bestFit="1" customWidth="1"/>
    <col min="9478" max="9491" width="5.7109375" style="224" customWidth="1"/>
    <col min="9492" max="9728" width="9.140625" style="224"/>
    <col min="9729" max="9729" width="5.42578125" style="224" bestFit="1" customWidth="1"/>
    <col min="9730" max="9730" width="9.140625" style="224"/>
    <col min="9731" max="9731" width="7.5703125" style="224" customWidth="1"/>
    <col min="9732" max="9732" width="21.42578125" style="224" customWidth="1"/>
    <col min="9733" max="9733" width="19.140625" style="224" bestFit="1" customWidth="1"/>
    <col min="9734" max="9747" width="5.7109375" style="224" customWidth="1"/>
    <col min="9748" max="9984" width="9.140625" style="224"/>
    <col min="9985" max="9985" width="5.42578125" style="224" bestFit="1" customWidth="1"/>
    <col min="9986" max="9986" width="9.140625" style="224"/>
    <col min="9987" max="9987" width="7.5703125" style="224" customWidth="1"/>
    <col min="9988" max="9988" width="21.42578125" style="224" customWidth="1"/>
    <col min="9989" max="9989" width="19.140625" style="224" bestFit="1" customWidth="1"/>
    <col min="9990" max="10003" width="5.7109375" style="224" customWidth="1"/>
    <col min="10004" max="10240" width="9.140625" style="224"/>
    <col min="10241" max="10241" width="5.42578125" style="224" bestFit="1" customWidth="1"/>
    <col min="10242" max="10242" width="9.140625" style="224"/>
    <col min="10243" max="10243" width="7.5703125" style="224" customWidth="1"/>
    <col min="10244" max="10244" width="21.42578125" style="224" customWidth="1"/>
    <col min="10245" max="10245" width="19.140625" style="224" bestFit="1" customWidth="1"/>
    <col min="10246" max="10259" width="5.7109375" style="224" customWidth="1"/>
    <col min="10260" max="10496" width="9.140625" style="224"/>
    <col min="10497" max="10497" width="5.42578125" style="224" bestFit="1" customWidth="1"/>
    <col min="10498" max="10498" width="9.140625" style="224"/>
    <col min="10499" max="10499" width="7.5703125" style="224" customWidth="1"/>
    <col min="10500" max="10500" width="21.42578125" style="224" customWidth="1"/>
    <col min="10501" max="10501" width="19.140625" style="224" bestFit="1" customWidth="1"/>
    <col min="10502" max="10515" width="5.7109375" style="224" customWidth="1"/>
    <col min="10516" max="10752" width="9.140625" style="224"/>
    <col min="10753" max="10753" width="5.42578125" style="224" bestFit="1" customWidth="1"/>
    <col min="10754" max="10754" width="9.140625" style="224"/>
    <col min="10755" max="10755" width="7.5703125" style="224" customWidth="1"/>
    <col min="10756" max="10756" width="21.42578125" style="224" customWidth="1"/>
    <col min="10757" max="10757" width="19.140625" style="224" bestFit="1" customWidth="1"/>
    <col min="10758" max="10771" width="5.7109375" style="224" customWidth="1"/>
    <col min="10772" max="11008" width="9.140625" style="224"/>
    <col min="11009" max="11009" width="5.42578125" style="224" bestFit="1" customWidth="1"/>
    <col min="11010" max="11010" width="9.140625" style="224"/>
    <col min="11011" max="11011" width="7.5703125" style="224" customWidth="1"/>
    <col min="11012" max="11012" width="21.42578125" style="224" customWidth="1"/>
    <col min="11013" max="11013" width="19.140625" style="224" bestFit="1" customWidth="1"/>
    <col min="11014" max="11027" width="5.7109375" style="224" customWidth="1"/>
    <col min="11028" max="11264" width="9.140625" style="224"/>
    <col min="11265" max="11265" width="5.42578125" style="224" bestFit="1" customWidth="1"/>
    <col min="11266" max="11266" width="9.140625" style="224"/>
    <col min="11267" max="11267" width="7.5703125" style="224" customWidth="1"/>
    <col min="11268" max="11268" width="21.42578125" style="224" customWidth="1"/>
    <col min="11269" max="11269" width="19.140625" style="224" bestFit="1" customWidth="1"/>
    <col min="11270" max="11283" width="5.7109375" style="224" customWidth="1"/>
    <col min="11284" max="11520" width="9.140625" style="224"/>
    <col min="11521" max="11521" width="5.42578125" style="224" bestFit="1" customWidth="1"/>
    <col min="11522" max="11522" width="9.140625" style="224"/>
    <col min="11523" max="11523" width="7.5703125" style="224" customWidth="1"/>
    <col min="11524" max="11524" width="21.42578125" style="224" customWidth="1"/>
    <col min="11525" max="11525" width="19.140625" style="224" bestFit="1" customWidth="1"/>
    <col min="11526" max="11539" width="5.7109375" style="224" customWidth="1"/>
    <col min="11540" max="11776" width="9.140625" style="224"/>
    <col min="11777" max="11777" width="5.42578125" style="224" bestFit="1" customWidth="1"/>
    <col min="11778" max="11778" width="9.140625" style="224"/>
    <col min="11779" max="11779" width="7.5703125" style="224" customWidth="1"/>
    <col min="11780" max="11780" width="21.42578125" style="224" customWidth="1"/>
    <col min="11781" max="11781" width="19.140625" style="224" bestFit="1" customWidth="1"/>
    <col min="11782" max="11795" width="5.7109375" style="224" customWidth="1"/>
    <col min="11796" max="12032" width="9.140625" style="224"/>
    <col min="12033" max="12033" width="5.42578125" style="224" bestFit="1" customWidth="1"/>
    <col min="12034" max="12034" width="9.140625" style="224"/>
    <col min="12035" max="12035" width="7.5703125" style="224" customWidth="1"/>
    <col min="12036" max="12036" width="21.42578125" style="224" customWidth="1"/>
    <col min="12037" max="12037" width="19.140625" style="224" bestFit="1" customWidth="1"/>
    <col min="12038" max="12051" width="5.7109375" style="224" customWidth="1"/>
    <col min="12052" max="12288" width="9.140625" style="224"/>
    <col min="12289" max="12289" width="5.42578125" style="224" bestFit="1" customWidth="1"/>
    <col min="12290" max="12290" width="9.140625" style="224"/>
    <col min="12291" max="12291" width="7.5703125" style="224" customWidth="1"/>
    <col min="12292" max="12292" width="21.42578125" style="224" customWidth="1"/>
    <col min="12293" max="12293" width="19.140625" style="224" bestFit="1" customWidth="1"/>
    <col min="12294" max="12307" width="5.7109375" style="224" customWidth="1"/>
    <col min="12308" max="12544" width="9.140625" style="224"/>
    <col min="12545" max="12545" width="5.42578125" style="224" bestFit="1" customWidth="1"/>
    <col min="12546" max="12546" width="9.140625" style="224"/>
    <col min="12547" max="12547" width="7.5703125" style="224" customWidth="1"/>
    <col min="12548" max="12548" width="21.42578125" style="224" customWidth="1"/>
    <col min="12549" max="12549" width="19.140625" style="224" bestFit="1" customWidth="1"/>
    <col min="12550" max="12563" width="5.7109375" style="224" customWidth="1"/>
    <col min="12564" max="12800" width="9.140625" style="224"/>
    <col min="12801" max="12801" width="5.42578125" style="224" bestFit="1" customWidth="1"/>
    <col min="12802" max="12802" width="9.140625" style="224"/>
    <col min="12803" max="12803" width="7.5703125" style="224" customWidth="1"/>
    <col min="12804" max="12804" width="21.42578125" style="224" customWidth="1"/>
    <col min="12805" max="12805" width="19.140625" style="224" bestFit="1" customWidth="1"/>
    <col min="12806" max="12819" width="5.7109375" style="224" customWidth="1"/>
    <col min="12820" max="13056" width="9.140625" style="224"/>
    <col min="13057" max="13057" width="5.42578125" style="224" bestFit="1" customWidth="1"/>
    <col min="13058" max="13058" width="9.140625" style="224"/>
    <col min="13059" max="13059" width="7.5703125" style="224" customWidth="1"/>
    <col min="13060" max="13060" width="21.42578125" style="224" customWidth="1"/>
    <col min="13061" max="13061" width="19.140625" style="224" bestFit="1" customWidth="1"/>
    <col min="13062" max="13075" width="5.7109375" style="224" customWidth="1"/>
    <col min="13076" max="13312" width="9.140625" style="224"/>
    <col min="13313" max="13313" width="5.42578125" style="224" bestFit="1" customWidth="1"/>
    <col min="13314" max="13314" width="9.140625" style="224"/>
    <col min="13315" max="13315" width="7.5703125" style="224" customWidth="1"/>
    <col min="13316" max="13316" width="21.42578125" style="224" customWidth="1"/>
    <col min="13317" max="13317" width="19.140625" style="224" bestFit="1" customWidth="1"/>
    <col min="13318" max="13331" width="5.7109375" style="224" customWidth="1"/>
    <col min="13332" max="13568" width="9.140625" style="224"/>
    <col min="13569" max="13569" width="5.42578125" style="224" bestFit="1" customWidth="1"/>
    <col min="13570" max="13570" width="9.140625" style="224"/>
    <col min="13571" max="13571" width="7.5703125" style="224" customWidth="1"/>
    <col min="13572" max="13572" width="21.42578125" style="224" customWidth="1"/>
    <col min="13573" max="13573" width="19.140625" style="224" bestFit="1" customWidth="1"/>
    <col min="13574" max="13587" width="5.7109375" style="224" customWidth="1"/>
    <col min="13588" max="13824" width="9.140625" style="224"/>
    <col min="13825" max="13825" width="5.42578125" style="224" bestFit="1" customWidth="1"/>
    <col min="13826" max="13826" width="9.140625" style="224"/>
    <col min="13827" max="13827" width="7.5703125" style="224" customWidth="1"/>
    <col min="13828" max="13828" width="21.42578125" style="224" customWidth="1"/>
    <col min="13829" max="13829" width="19.140625" style="224" bestFit="1" customWidth="1"/>
    <col min="13830" max="13843" width="5.7109375" style="224" customWidth="1"/>
    <col min="13844" max="14080" width="9.140625" style="224"/>
    <col min="14081" max="14081" width="5.42578125" style="224" bestFit="1" customWidth="1"/>
    <col min="14082" max="14082" width="9.140625" style="224"/>
    <col min="14083" max="14083" width="7.5703125" style="224" customWidth="1"/>
    <col min="14084" max="14084" width="21.42578125" style="224" customWidth="1"/>
    <col min="14085" max="14085" width="19.140625" style="224" bestFit="1" customWidth="1"/>
    <col min="14086" max="14099" width="5.7109375" style="224" customWidth="1"/>
    <col min="14100" max="14336" width="9.140625" style="224"/>
    <col min="14337" max="14337" width="5.42578125" style="224" bestFit="1" customWidth="1"/>
    <col min="14338" max="14338" width="9.140625" style="224"/>
    <col min="14339" max="14339" width="7.5703125" style="224" customWidth="1"/>
    <col min="14340" max="14340" width="21.42578125" style="224" customWidth="1"/>
    <col min="14341" max="14341" width="19.140625" style="224" bestFit="1" customWidth="1"/>
    <col min="14342" max="14355" width="5.7109375" style="224" customWidth="1"/>
    <col min="14356" max="14592" width="9.140625" style="224"/>
    <col min="14593" max="14593" width="5.42578125" style="224" bestFit="1" customWidth="1"/>
    <col min="14594" max="14594" width="9.140625" style="224"/>
    <col min="14595" max="14595" width="7.5703125" style="224" customWidth="1"/>
    <col min="14596" max="14596" width="21.42578125" style="224" customWidth="1"/>
    <col min="14597" max="14597" width="19.140625" style="224" bestFit="1" customWidth="1"/>
    <col min="14598" max="14611" width="5.7109375" style="224" customWidth="1"/>
    <col min="14612" max="14848" width="9.140625" style="224"/>
    <col min="14849" max="14849" width="5.42578125" style="224" bestFit="1" customWidth="1"/>
    <col min="14850" max="14850" width="9.140625" style="224"/>
    <col min="14851" max="14851" width="7.5703125" style="224" customWidth="1"/>
    <col min="14852" max="14852" width="21.42578125" style="224" customWidth="1"/>
    <col min="14853" max="14853" width="19.140625" style="224" bestFit="1" customWidth="1"/>
    <col min="14854" max="14867" width="5.7109375" style="224" customWidth="1"/>
    <col min="14868" max="15104" width="9.140625" style="224"/>
    <col min="15105" max="15105" width="5.42578125" style="224" bestFit="1" customWidth="1"/>
    <col min="15106" max="15106" width="9.140625" style="224"/>
    <col min="15107" max="15107" width="7.5703125" style="224" customWidth="1"/>
    <col min="15108" max="15108" width="21.42578125" style="224" customWidth="1"/>
    <col min="15109" max="15109" width="19.140625" style="224" bestFit="1" customWidth="1"/>
    <col min="15110" max="15123" width="5.7109375" style="224" customWidth="1"/>
    <col min="15124" max="15360" width="9.140625" style="224"/>
    <col min="15361" max="15361" width="5.42578125" style="224" bestFit="1" customWidth="1"/>
    <col min="15362" max="15362" width="9.140625" style="224"/>
    <col min="15363" max="15363" width="7.5703125" style="224" customWidth="1"/>
    <col min="15364" max="15364" width="21.42578125" style="224" customWidth="1"/>
    <col min="15365" max="15365" width="19.140625" style="224" bestFit="1" customWidth="1"/>
    <col min="15366" max="15379" width="5.7109375" style="224" customWidth="1"/>
    <col min="15380" max="15616" width="9.140625" style="224"/>
    <col min="15617" max="15617" width="5.42578125" style="224" bestFit="1" customWidth="1"/>
    <col min="15618" max="15618" width="9.140625" style="224"/>
    <col min="15619" max="15619" width="7.5703125" style="224" customWidth="1"/>
    <col min="15620" max="15620" width="21.42578125" style="224" customWidth="1"/>
    <col min="15621" max="15621" width="19.140625" style="224" bestFit="1" customWidth="1"/>
    <col min="15622" max="15635" width="5.7109375" style="224" customWidth="1"/>
    <col min="15636" max="15872" width="9.140625" style="224"/>
    <col min="15873" max="15873" width="5.42578125" style="224" bestFit="1" customWidth="1"/>
    <col min="15874" max="15874" width="9.140625" style="224"/>
    <col min="15875" max="15875" width="7.5703125" style="224" customWidth="1"/>
    <col min="15876" max="15876" width="21.42578125" style="224" customWidth="1"/>
    <col min="15877" max="15877" width="19.140625" style="224" bestFit="1" customWidth="1"/>
    <col min="15878" max="15891" width="5.7109375" style="224" customWidth="1"/>
    <col min="15892" max="16128" width="9.140625" style="224"/>
    <col min="16129" max="16129" width="5.42578125" style="224" bestFit="1" customWidth="1"/>
    <col min="16130" max="16130" width="9.140625" style="224"/>
    <col min="16131" max="16131" width="7.5703125" style="224" customWidth="1"/>
    <col min="16132" max="16132" width="21.42578125" style="224" customWidth="1"/>
    <col min="16133" max="16133" width="19.140625" style="224" bestFit="1" customWidth="1"/>
    <col min="16134" max="16147" width="5.7109375" style="224" customWidth="1"/>
    <col min="16148" max="16384" width="9.140625" style="224"/>
  </cols>
  <sheetData>
    <row r="2" spans="1:19" ht="18.75" x14ac:dyDescent="0.3">
      <c r="D2" s="225" t="s">
        <v>226</v>
      </c>
      <c r="E2" s="226"/>
      <c r="F2" s="226"/>
      <c r="G2" s="226"/>
    </row>
    <row r="3" spans="1:19" x14ac:dyDescent="0.25">
      <c r="F3" s="227"/>
      <c r="G3" s="227"/>
      <c r="H3" s="227"/>
      <c r="I3" s="227"/>
      <c r="J3" s="227"/>
    </row>
    <row r="4" spans="1:19" x14ac:dyDescent="0.25">
      <c r="D4" s="228" t="s">
        <v>227</v>
      </c>
      <c r="G4" s="419" t="s">
        <v>228</v>
      </c>
      <c r="H4" s="419"/>
      <c r="I4" s="420"/>
      <c r="J4" s="420"/>
      <c r="K4" s="420"/>
    </row>
    <row r="5" spans="1:19" x14ac:dyDescent="0.25">
      <c r="D5" s="228" t="s">
        <v>229</v>
      </c>
      <c r="E5" s="224" t="str">
        <f>Setup!B3</f>
        <v>Serieomgång 1</v>
      </c>
      <c r="G5" s="419" t="s">
        <v>230</v>
      </c>
      <c r="H5" s="419"/>
      <c r="I5" s="421">
        <f ca="1">TODAY()</f>
        <v>43172</v>
      </c>
      <c r="J5" s="421"/>
      <c r="K5" s="421"/>
      <c r="M5" s="422" t="s">
        <v>231</v>
      </c>
      <c r="N5" s="422"/>
      <c r="O5" s="422"/>
      <c r="P5" s="422"/>
      <c r="Q5" s="227"/>
      <c r="R5" s="227"/>
    </row>
    <row r="6" spans="1:19" ht="3" customHeight="1" x14ac:dyDescent="0.25">
      <c r="F6" s="227"/>
      <c r="G6" s="227"/>
      <c r="H6" s="227"/>
      <c r="I6" s="227"/>
      <c r="J6" s="227"/>
      <c r="K6" s="227"/>
      <c r="L6" s="227"/>
      <c r="M6" s="227"/>
      <c r="N6" s="227"/>
      <c r="O6" s="227"/>
      <c r="P6" s="227"/>
      <c r="Q6" s="227"/>
    </row>
    <row r="7" spans="1:19" x14ac:dyDescent="0.25">
      <c r="A7" s="229"/>
      <c r="B7" s="229"/>
      <c r="C7" s="254"/>
      <c r="D7" s="229"/>
      <c r="E7" s="230"/>
      <c r="F7" s="416" t="s">
        <v>232</v>
      </c>
      <c r="G7" s="417"/>
      <c r="H7" s="417"/>
      <c r="I7" s="418"/>
      <c r="J7" s="416" t="s">
        <v>233</v>
      </c>
      <c r="K7" s="417"/>
      <c r="L7" s="417"/>
      <c r="M7" s="418"/>
      <c r="N7" s="416" t="s">
        <v>234</v>
      </c>
      <c r="O7" s="417"/>
      <c r="P7" s="417"/>
      <c r="Q7" s="418"/>
      <c r="R7" s="229"/>
      <c r="S7" s="229"/>
    </row>
    <row r="8" spans="1:19" x14ac:dyDescent="0.25">
      <c r="A8" s="265" t="s">
        <v>235</v>
      </c>
      <c r="B8" s="265" t="s">
        <v>236</v>
      </c>
      <c r="C8" s="266" t="s">
        <v>237</v>
      </c>
      <c r="D8" s="265" t="s">
        <v>190</v>
      </c>
      <c r="E8" s="267" t="s">
        <v>238</v>
      </c>
      <c r="F8" s="268" t="s">
        <v>239</v>
      </c>
      <c r="G8" s="269" t="s">
        <v>240</v>
      </c>
      <c r="H8" s="269" t="s">
        <v>241</v>
      </c>
      <c r="I8" s="269" t="s">
        <v>242</v>
      </c>
      <c r="J8" s="269" t="s">
        <v>239</v>
      </c>
      <c r="K8" s="269" t="s">
        <v>240</v>
      </c>
      <c r="L8" s="269" t="s">
        <v>241</v>
      </c>
      <c r="M8" s="269" t="s">
        <v>242</v>
      </c>
      <c r="N8" s="269" t="s">
        <v>239</v>
      </c>
      <c r="O8" s="269" t="s">
        <v>240</v>
      </c>
      <c r="P8" s="269" t="s">
        <v>241</v>
      </c>
      <c r="Q8" s="269" t="s">
        <v>242</v>
      </c>
      <c r="R8" s="270" t="s">
        <v>202</v>
      </c>
      <c r="S8" s="270" t="s">
        <v>186</v>
      </c>
    </row>
    <row r="9" spans="1:19" ht="15" customHeight="1" x14ac:dyDescent="0.25">
      <c r="A9" s="271" t="s">
        <v>313</v>
      </c>
      <c r="B9" s="271" t="s">
        <v>351</v>
      </c>
      <c r="C9" s="272">
        <v>97.35</v>
      </c>
      <c r="D9" s="273" t="s">
        <v>281</v>
      </c>
      <c r="E9" s="274" t="s">
        <v>216</v>
      </c>
      <c r="F9" s="275">
        <v>70</v>
      </c>
      <c r="G9" s="276">
        <v>-80</v>
      </c>
      <c r="H9" s="275">
        <v>-105</v>
      </c>
      <c r="I9" s="290">
        <v>70</v>
      </c>
      <c r="J9" s="275">
        <v>40</v>
      </c>
      <c r="K9" s="275">
        <v>50</v>
      </c>
      <c r="L9" s="275">
        <v>-55</v>
      </c>
      <c r="M9" s="290">
        <v>50</v>
      </c>
      <c r="N9" s="275">
        <v>80</v>
      </c>
      <c r="O9" s="275">
        <v>100</v>
      </c>
      <c r="P9" s="275">
        <v>110</v>
      </c>
      <c r="Q9" s="290">
        <v>110</v>
      </c>
      <c r="R9" s="275">
        <v>230</v>
      </c>
      <c r="S9" s="277">
        <v>193.08500230312347</v>
      </c>
    </row>
    <row r="10" spans="1:19" ht="15" customHeight="1" x14ac:dyDescent="0.25">
      <c r="A10" s="231" t="s">
        <v>313</v>
      </c>
      <c r="B10" s="231" t="s">
        <v>352</v>
      </c>
      <c r="C10" s="258">
        <v>80.400000000000006</v>
      </c>
      <c r="D10" s="232" t="s">
        <v>289</v>
      </c>
      <c r="E10" s="233" t="s">
        <v>184</v>
      </c>
      <c r="F10" s="234">
        <v>75</v>
      </c>
      <c r="G10" s="235">
        <v>80</v>
      </c>
      <c r="H10" s="234">
        <v>-90</v>
      </c>
      <c r="I10" s="291">
        <v>80</v>
      </c>
      <c r="J10" s="234">
        <v>40</v>
      </c>
      <c r="K10" s="234">
        <v>45</v>
      </c>
      <c r="L10" s="234">
        <v>-50</v>
      </c>
      <c r="M10" s="291">
        <v>45</v>
      </c>
      <c r="N10" s="234">
        <v>100</v>
      </c>
      <c r="O10" s="234">
        <v>112.5</v>
      </c>
      <c r="P10" s="234">
        <v>117.5</v>
      </c>
      <c r="Q10" s="291">
        <v>117.5</v>
      </c>
      <c r="R10" s="234">
        <v>242.5</v>
      </c>
      <c r="S10" s="278">
        <v>221.28125578165054</v>
      </c>
    </row>
    <row r="11" spans="1:19" ht="15" customHeight="1" x14ac:dyDescent="0.25">
      <c r="A11" s="271" t="s">
        <v>313</v>
      </c>
      <c r="B11" s="271" t="s">
        <v>353</v>
      </c>
      <c r="C11" s="272">
        <v>61.3</v>
      </c>
      <c r="D11" s="281" t="s">
        <v>284</v>
      </c>
      <c r="E11" s="274" t="s">
        <v>216</v>
      </c>
      <c r="F11" s="275">
        <v>80</v>
      </c>
      <c r="G11" s="276">
        <v>85</v>
      </c>
      <c r="H11" s="275">
        <v>92.5</v>
      </c>
      <c r="I11" s="290">
        <v>92.5</v>
      </c>
      <c r="J11" s="275">
        <v>75</v>
      </c>
      <c r="K11" s="275">
        <v>80</v>
      </c>
      <c r="L11" s="275">
        <v>82.5</v>
      </c>
      <c r="M11" s="290">
        <v>82.5</v>
      </c>
      <c r="N11" s="275">
        <v>100</v>
      </c>
      <c r="O11" s="275">
        <v>105</v>
      </c>
      <c r="P11" s="275">
        <v>110</v>
      </c>
      <c r="Q11" s="290">
        <v>110</v>
      </c>
      <c r="R11" s="275">
        <v>285</v>
      </c>
      <c r="S11" s="277">
        <v>312.53101587295532</v>
      </c>
    </row>
    <row r="12" spans="1:19" ht="15" customHeight="1" x14ac:dyDescent="0.25">
      <c r="A12" s="231" t="s">
        <v>313</v>
      </c>
      <c r="B12" s="231" t="s">
        <v>354</v>
      </c>
      <c r="C12" s="258">
        <v>86.45</v>
      </c>
      <c r="D12" s="232" t="s">
        <v>291</v>
      </c>
      <c r="E12" s="233" t="s">
        <v>260</v>
      </c>
      <c r="F12" s="234">
        <v>90</v>
      </c>
      <c r="G12" s="235">
        <v>-100</v>
      </c>
      <c r="H12" s="234">
        <v>100</v>
      </c>
      <c r="I12" s="291">
        <v>100</v>
      </c>
      <c r="J12" s="234">
        <v>60</v>
      </c>
      <c r="K12" s="234">
        <v>70</v>
      </c>
      <c r="L12" s="234">
        <v>75</v>
      </c>
      <c r="M12" s="291">
        <v>75</v>
      </c>
      <c r="N12" s="234">
        <v>100</v>
      </c>
      <c r="O12" s="234">
        <v>120</v>
      </c>
      <c r="P12" s="234">
        <v>140</v>
      </c>
      <c r="Q12" s="291">
        <v>140</v>
      </c>
      <c r="R12" s="234">
        <v>315</v>
      </c>
      <c r="S12" s="278">
        <v>205.41150838136673</v>
      </c>
    </row>
    <row r="13" spans="1:19" ht="15" customHeight="1" x14ac:dyDescent="0.25">
      <c r="A13" s="271" t="s">
        <v>313</v>
      </c>
      <c r="B13" s="271" t="s">
        <v>355</v>
      </c>
      <c r="C13" s="272">
        <v>58.2</v>
      </c>
      <c r="D13" s="273" t="s">
        <v>279</v>
      </c>
      <c r="E13" s="274" t="s">
        <v>184</v>
      </c>
      <c r="F13" s="275">
        <v>100</v>
      </c>
      <c r="G13" s="276">
        <v>110</v>
      </c>
      <c r="H13" s="275">
        <v>-112.5</v>
      </c>
      <c r="I13" s="290">
        <v>110</v>
      </c>
      <c r="J13" s="275">
        <v>67.5</v>
      </c>
      <c r="K13" s="275">
        <v>70</v>
      </c>
      <c r="L13" s="275">
        <v>75</v>
      </c>
      <c r="M13" s="290">
        <v>75</v>
      </c>
      <c r="N13" s="275">
        <v>130</v>
      </c>
      <c r="O13" s="275">
        <v>140</v>
      </c>
      <c r="P13" s="275">
        <v>150</v>
      </c>
      <c r="Q13" s="290">
        <v>150</v>
      </c>
      <c r="R13" s="275">
        <v>335</v>
      </c>
      <c r="S13" s="277">
        <v>382.43600428104401</v>
      </c>
    </row>
    <row r="14" spans="1:19" ht="15" customHeight="1" x14ac:dyDescent="0.25">
      <c r="A14" s="231" t="s">
        <v>313</v>
      </c>
      <c r="B14" s="231" t="s">
        <v>356</v>
      </c>
      <c r="C14" s="258">
        <v>62.55</v>
      </c>
      <c r="D14" s="232" t="s">
        <v>283</v>
      </c>
      <c r="E14" s="233" t="s">
        <v>260</v>
      </c>
      <c r="F14" s="234">
        <v>100</v>
      </c>
      <c r="G14" s="235">
        <v>110</v>
      </c>
      <c r="H14" s="234"/>
      <c r="I14" s="291">
        <v>110</v>
      </c>
      <c r="J14" s="234">
        <v>60</v>
      </c>
      <c r="K14" s="234">
        <v>65</v>
      </c>
      <c r="L14" s="234">
        <v>67.5</v>
      </c>
      <c r="M14" s="291">
        <v>67.5</v>
      </c>
      <c r="N14" s="234">
        <v>120</v>
      </c>
      <c r="O14" s="234">
        <v>130</v>
      </c>
      <c r="P14" s="234"/>
      <c r="Q14" s="291">
        <v>130</v>
      </c>
      <c r="R14" s="234">
        <v>307.5</v>
      </c>
      <c r="S14" s="278">
        <v>332.03850299119949</v>
      </c>
    </row>
    <row r="15" spans="1:19" ht="15" customHeight="1" x14ac:dyDescent="0.25">
      <c r="A15" s="271" t="s">
        <v>313</v>
      </c>
      <c r="B15" s="271" t="s">
        <v>357</v>
      </c>
      <c r="C15" s="272">
        <v>81.7</v>
      </c>
      <c r="D15" s="273" t="s">
        <v>293</v>
      </c>
      <c r="E15" s="274" t="s">
        <v>260</v>
      </c>
      <c r="F15" s="275">
        <v>110</v>
      </c>
      <c r="G15" s="276">
        <v>115</v>
      </c>
      <c r="H15" s="275">
        <v>125</v>
      </c>
      <c r="I15" s="290">
        <v>125</v>
      </c>
      <c r="J15" s="275">
        <v>100</v>
      </c>
      <c r="K15" s="275">
        <v>105</v>
      </c>
      <c r="L15" s="275">
        <v>110</v>
      </c>
      <c r="M15" s="290">
        <v>110</v>
      </c>
      <c r="N15" s="275">
        <v>150</v>
      </c>
      <c r="O15" s="275">
        <v>180</v>
      </c>
      <c r="P15" s="275">
        <v>200</v>
      </c>
      <c r="Q15" s="290">
        <v>200</v>
      </c>
      <c r="R15" s="275">
        <v>435</v>
      </c>
      <c r="S15" s="277">
        <v>293.14650356769562</v>
      </c>
    </row>
    <row r="16" spans="1:19" ht="15" customHeight="1" x14ac:dyDescent="0.25">
      <c r="A16" s="231" t="s">
        <v>313</v>
      </c>
      <c r="B16" s="231" t="s">
        <v>358</v>
      </c>
      <c r="C16" s="258">
        <v>89.15</v>
      </c>
      <c r="D16" s="232" t="s">
        <v>287</v>
      </c>
      <c r="E16" s="233" t="s">
        <v>216</v>
      </c>
      <c r="F16" s="234">
        <v>110</v>
      </c>
      <c r="G16" s="235">
        <v>120</v>
      </c>
      <c r="H16" s="234">
        <v>-127.5</v>
      </c>
      <c r="I16" s="291">
        <v>120</v>
      </c>
      <c r="J16" s="234">
        <v>70</v>
      </c>
      <c r="K16" s="234">
        <v>80</v>
      </c>
      <c r="L16" s="234">
        <v>-85</v>
      </c>
      <c r="M16" s="291">
        <v>80</v>
      </c>
      <c r="N16" s="234">
        <v>120</v>
      </c>
      <c r="O16" s="234">
        <v>140</v>
      </c>
      <c r="P16" s="234">
        <v>-150</v>
      </c>
      <c r="Q16" s="291">
        <v>140</v>
      </c>
      <c r="R16" s="234">
        <v>340</v>
      </c>
      <c r="S16" s="278">
        <v>294.95000243186951</v>
      </c>
    </row>
    <row r="17" spans="1:19" ht="15" customHeight="1" x14ac:dyDescent="0.25">
      <c r="A17" s="271" t="s">
        <v>313</v>
      </c>
      <c r="B17" s="271" t="s">
        <v>359</v>
      </c>
      <c r="C17" s="272">
        <v>63</v>
      </c>
      <c r="D17" s="273" t="s">
        <v>253</v>
      </c>
      <c r="E17" s="274" t="s">
        <v>184</v>
      </c>
      <c r="F17" s="275">
        <v>115</v>
      </c>
      <c r="G17" s="276">
        <v>120</v>
      </c>
      <c r="H17" s="275">
        <v>-122.5</v>
      </c>
      <c r="I17" s="290">
        <v>120</v>
      </c>
      <c r="J17" s="275">
        <v>65</v>
      </c>
      <c r="K17" s="275">
        <v>67.5</v>
      </c>
      <c r="L17" s="275">
        <v>-70</v>
      </c>
      <c r="M17" s="290">
        <v>67.5</v>
      </c>
      <c r="N17" s="275">
        <v>150</v>
      </c>
      <c r="O17" s="275">
        <v>-162.5</v>
      </c>
      <c r="P17" s="275">
        <v>162.5</v>
      </c>
      <c r="Q17" s="290">
        <v>162.5</v>
      </c>
      <c r="R17" s="275">
        <v>350</v>
      </c>
      <c r="S17" s="277">
        <v>375.90000033378601</v>
      </c>
    </row>
    <row r="18" spans="1:19" ht="15" customHeight="1" x14ac:dyDescent="0.25">
      <c r="A18" s="231" t="s">
        <v>313</v>
      </c>
      <c r="B18" s="231" t="s">
        <v>360</v>
      </c>
      <c r="C18" s="258">
        <v>70.55</v>
      </c>
      <c r="D18" s="232" t="s">
        <v>285</v>
      </c>
      <c r="E18" s="233" t="s">
        <v>184</v>
      </c>
      <c r="F18" s="234">
        <v>125</v>
      </c>
      <c r="G18" s="235">
        <v>130</v>
      </c>
      <c r="H18" s="234">
        <v>-135</v>
      </c>
      <c r="I18" s="291">
        <v>130</v>
      </c>
      <c r="J18" s="234">
        <v>67.5</v>
      </c>
      <c r="K18" s="234">
        <v>72.5</v>
      </c>
      <c r="L18" s="234">
        <v>-77.5</v>
      </c>
      <c r="M18" s="291">
        <v>72.5</v>
      </c>
      <c r="N18" s="234">
        <v>140</v>
      </c>
      <c r="O18" s="234">
        <v>150</v>
      </c>
      <c r="P18" s="234">
        <v>-160</v>
      </c>
      <c r="Q18" s="291">
        <v>150</v>
      </c>
      <c r="R18" s="234">
        <v>352.5</v>
      </c>
      <c r="S18" s="278">
        <v>348.79874512553215</v>
      </c>
    </row>
    <row r="19" spans="1:19" ht="15" customHeight="1" x14ac:dyDescent="0.25">
      <c r="A19" s="271" t="s">
        <v>313</v>
      </c>
      <c r="B19" s="271" t="s">
        <v>361</v>
      </c>
      <c r="C19" s="272">
        <v>72.3</v>
      </c>
      <c r="D19" s="273" t="s">
        <v>280</v>
      </c>
      <c r="E19" s="274" t="s">
        <v>184</v>
      </c>
      <c r="F19" s="275">
        <v>130</v>
      </c>
      <c r="G19" s="276">
        <v>145</v>
      </c>
      <c r="H19" s="275">
        <v>-155</v>
      </c>
      <c r="I19" s="290">
        <v>145</v>
      </c>
      <c r="J19" s="275">
        <v>60</v>
      </c>
      <c r="K19" s="275">
        <v>-65</v>
      </c>
      <c r="L19" s="275">
        <v>-70</v>
      </c>
      <c r="M19" s="290">
        <v>60</v>
      </c>
      <c r="N19" s="275">
        <v>120</v>
      </c>
      <c r="O19" s="275">
        <v>130</v>
      </c>
      <c r="P19" s="275">
        <v>135</v>
      </c>
      <c r="Q19" s="290">
        <v>135</v>
      </c>
      <c r="R19" s="275">
        <v>340</v>
      </c>
      <c r="S19" s="277">
        <v>330.95599889755249</v>
      </c>
    </row>
    <row r="20" spans="1:19" x14ac:dyDescent="0.25">
      <c r="A20" s="231" t="s">
        <v>313</v>
      </c>
      <c r="B20" s="231" t="s">
        <v>362</v>
      </c>
      <c r="C20" s="258">
        <v>75.599999999999994</v>
      </c>
      <c r="D20" s="231" t="s">
        <v>288</v>
      </c>
      <c r="E20" s="236" t="s">
        <v>260</v>
      </c>
      <c r="F20" s="237">
        <v>160</v>
      </c>
      <c r="G20" s="234">
        <v>170</v>
      </c>
      <c r="H20" s="234"/>
      <c r="I20" s="291">
        <v>170</v>
      </c>
      <c r="J20" s="234">
        <v>60</v>
      </c>
      <c r="K20" s="234">
        <v>62.5</v>
      </c>
      <c r="L20" s="234">
        <v>65</v>
      </c>
      <c r="M20" s="291">
        <v>65</v>
      </c>
      <c r="N20" s="234">
        <v>160</v>
      </c>
      <c r="O20" s="234">
        <v>167.5</v>
      </c>
      <c r="P20" s="234">
        <v>175</v>
      </c>
      <c r="Q20" s="291">
        <v>175</v>
      </c>
      <c r="R20" s="234">
        <v>410</v>
      </c>
      <c r="S20" s="278">
        <v>387.81900942325592</v>
      </c>
    </row>
    <row r="21" spans="1:19" x14ac:dyDescent="0.25">
      <c r="A21" s="271"/>
      <c r="B21" s="271"/>
      <c r="C21" s="272"/>
      <c r="D21" s="271"/>
      <c r="E21" s="271"/>
      <c r="F21" s="275"/>
      <c r="G21" s="275"/>
      <c r="H21" s="275"/>
      <c r="I21" s="290"/>
      <c r="J21" s="275"/>
      <c r="K21" s="275"/>
      <c r="L21" s="275"/>
      <c r="M21" s="290"/>
      <c r="N21" s="275"/>
      <c r="O21" s="275"/>
      <c r="P21" s="275"/>
      <c r="Q21" s="290"/>
      <c r="R21" s="275"/>
      <c r="S21" s="277"/>
    </row>
    <row r="22" spans="1:19" x14ac:dyDescent="0.25">
      <c r="A22" s="231"/>
      <c r="B22" s="231"/>
      <c r="C22" s="258"/>
      <c r="D22" s="231"/>
      <c r="E22" s="231"/>
      <c r="F22" s="234"/>
      <c r="G22" s="234"/>
      <c r="H22" s="234"/>
      <c r="I22" s="291"/>
      <c r="J22" s="234"/>
      <c r="K22" s="234"/>
      <c r="L22" s="234"/>
      <c r="M22" s="291"/>
      <c r="N22" s="234"/>
      <c r="O22" s="234"/>
      <c r="P22" s="234"/>
      <c r="Q22" s="291"/>
      <c r="R22" s="234"/>
      <c r="S22" s="278"/>
    </row>
    <row r="23" spans="1:19" x14ac:dyDescent="0.25">
      <c r="A23" s="271"/>
      <c r="B23" s="271"/>
      <c r="C23" s="272"/>
      <c r="D23" s="271"/>
      <c r="E23" s="271"/>
      <c r="F23" s="275"/>
      <c r="G23" s="275"/>
      <c r="H23" s="275"/>
      <c r="I23" s="290"/>
      <c r="J23" s="275"/>
      <c r="K23" s="275"/>
      <c r="L23" s="275"/>
      <c r="M23" s="290"/>
      <c r="N23" s="275"/>
      <c r="O23" s="275"/>
      <c r="P23" s="275"/>
      <c r="Q23" s="290"/>
      <c r="R23" s="275"/>
      <c r="S23" s="277"/>
    </row>
    <row r="24" spans="1:19" x14ac:dyDescent="0.25">
      <c r="A24" s="231"/>
      <c r="B24" s="231"/>
      <c r="C24" s="258"/>
      <c r="D24" s="231"/>
      <c r="E24" s="231"/>
      <c r="F24" s="234"/>
      <c r="G24" s="234"/>
      <c r="H24" s="234"/>
      <c r="I24" s="291"/>
      <c r="J24" s="234"/>
      <c r="K24" s="234"/>
      <c r="L24" s="234"/>
      <c r="M24" s="291"/>
      <c r="N24" s="234"/>
      <c r="O24" s="234"/>
      <c r="P24" s="234"/>
      <c r="Q24" s="291"/>
      <c r="R24" s="234"/>
      <c r="S24" s="278"/>
    </row>
    <row r="25" spans="1:19" x14ac:dyDescent="0.25">
      <c r="A25" s="271"/>
      <c r="B25" s="271"/>
      <c r="C25" s="272"/>
      <c r="D25" s="271"/>
      <c r="E25" s="271"/>
      <c r="F25" s="275"/>
      <c r="G25" s="275"/>
      <c r="H25" s="275"/>
      <c r="I25" s="290"/>
      <c r="J25" s="275"/>
      <c r="K25" s="275"/>
      <c r="L25" s="275"/>
      <c r="M25" s="290"/>
      <c r="N25" s="275"/>
      <c r="O25" s="275"/>
      <c r="P25" s="275"/>
      <c r="Q25" s="290"/>
      <c r="R25" s="275"/>
      <c r="S25" s="277"/>
    </row>
    <row r="26" spans="1:19" x14ac:dyDescent="0.25">
      <c r="A26" s="238"/>
      <c r="B26" s="238"/>
      <c r="C26" s="255"/>
      <c r="D26" s="238"/>
      <c r="E26" s="238"/>
      <c r="F26" s="239"/>
      <c r="G26" s="239"/>
      <c r="H26" s="239"/>
      <c r="I26" s="239"/>
      <c r="J26" s="239"/>
      <c r="K26" s="239"/>
      <c r="L26" s="239"/>
      <c r="M26" s="239"/>
      <c r="N26" s="239"/>
      <c r="O26" s="239"/>
      <c r="P26" s="239"/>
      <c r="Q26" s="239"/>
      <c r="R26" s="239"/>
      <c r="S26" s="239"/>
    </row>
    <row r="27" spans="1:19" x14ac:dyDescent="0.25">
      <c r="A27" s="227"/>
      <c r="B27" s="227"/>
      <c r="C27" s="256"/>
      <c r="D27" s="227"/>
      <c r="E27" s="227"/>
      <c r="F27" s="227"/>
      <c r="G27" s="227"/>
      <c r="H27" s="227"/>
      <c r="I27" s="227"/>
      <c r="J27" s="227"/>
      <c r="K27" s="227"/>
      <c r="L27" s="227"/>
      <c r="M27" s="227"/>
      <c r="N27" s="227"/>
      <c r="O27" s="227"/>
      <c r="P27" s="227"/>
      <c r="Q27" s="227"/>
      <c r="R27" s="227"/>
      <c r="S27" s="227"/>
    </row>
    <row r="28" spans="1:19" x14ac:dyDescent="0.25">
      <c r="A28" s="240" t="s">
        <v>243</v>
      </c>
      <c r="B28" s="240"/>
      <c r="C28" s="257"/>
      <c r="D28" s="240"/>
      <c r="E28" s="240" t="s">
        <v>244</v>
      </c>
      <c r="F28" s="227"/>
      <c r="G28" s="240" t="s">
        <v>245</v>
      </c>
      <c r="H28" s="240"/>
      <c r="I28" s="240"/>
      <c r="J28" s="240"/>
      <c r="K28" s="240"/>
      <c r="L28" s="240"/>
      <c r="M28" s="240"/>
      <c r="N28" s="240"/>
      <c r="O28" s="240"/>
    </row>
    <row r="29" spans="1:19" ht="9.9499999999999993" customHeight="1" x14ac:dyDescent="0.25">
      <c r="F29" s="227"/>
    </row>
    <row r="30" spans="1:19" x14ac:dyDescent="0.25">
      <c r="A30" s="240" t="s">
        <v>246</v>
      </c>
      <c r="B30" s="240"/>
      <c r="C30" s="257"/>
      <c r="D30" s="240"/>
      <c r="E30" s="240" t="s">
        <v>244</v>
      </c>
      <c r="F30" s="227"/>
      <c r="G30" s="240" t="s">
        <v>247</v>
      </c>
      <c r="H30" s="240"/>
      <c r="I30" s="240"/>
      <c r="J30" s="240"/>
      <c r="K30" s="240"/>
      <c r="L30" s="240"/>
      <c r="M30" s="240"/>
      <c r="N30" s="240"/>
      <c r="O30" s="240"/>
    </row>
    <row r="31" spans="1:19" ht="9.9499999999999993" customHeight="1" x14ac:dyDescent="0.25">
      <c r="F31" s="227"/>
    </row>
    <row r="32" spans="1:19" x14ac:dyDescent="0.25">
      <c r="A32" s="240" t="s">
        <v>246</v>
      </c>
      <c r="B32" s="240"/>
      <c r="C32" s="257"/>
      <c r="D32" s="240"/>
      <c r="E32" s="240" t="s">
        <v>244</v>
      </c>
      <c r="F32" s="227"/>
    </row>
    <row r="33" spans="1:19" ht="9.9499999999999993" customHeight="1" x14ac:dyDescent="0.25">
      <c r="F33" s="227"/>
    </row>
    <row r="34" spans="1:19" x14ac:dyDescent="0.25">
      <c r="F34" s="227"/>
      <c r="G34" s="240" t="s">
        <v>248</v>
      </c>
      <c r="H34" s="240"/>
      <c r="I34" s="240"/>
      <c r="J34" s="240"/>
      <c r="K34" s="240"/>
      <c r="L34" s="240"/>
      <c r="M34" s="240"/>
      <c r="N34" s="240"/>
      <c r="O34" s="240"/>
      <c r="P34" s="240" t="s">
        <v>244</v>
      </c>
      <c r="Q34" s="240"/>
      <c r="R34" s="240"/>
      <c r="S34" s="240"/>
    </row>
    <row r="35" spans="1:19" ht="9.9499999999999993" customHeight="1" x14ac:dyDescent="0.25">
      <c r="F35" s="227"/>
      <c r="P35" s="227"/>
      <c r="Q35" s="227"/>
      <c r="R35" s="227"/>
      <c r="S35" s="227"/>
    </row>
    <row r="36" spans="1:19" x14ac:dyDescent="0.25">
      <c r="A36" s="240" t="s">
        <v>249</v>
      </c>
      <c r="B36" s="240"/>
      <c r="C36" s="257"/>
      <c r="D36" s="240"/>
      <c r="E36" s="240" t="s">
        <v>244</v>
      </c>
      <c r="F36" s="227"/>
      <c r="G36" s="240" t="s">
        <v>248</v>
      </c>
      <c r="H36" s="240"/>
      <c r="I36" s="240"/>
      <c r="J36" s="240"/>
      <c r="K36" s="240"/>
      <c r="L36" s="240"/>
      <c r="M36" s="240"/>
      <c r="N36" s="240"/>
      <c r="O36" s="240"/>
      <c r="P36" s="240" t="s">
        <v>244</v>
      </c>
      <c r="Q36" s="240"/>
      <c r="R36" s="240"/>
      <c r="S36" s="240"/>
    </row>
    <row r="37" spans="1:19" ht="9.9499999999999993" customHeight="1" x14ac:dyDescent="0.25">
      <c r="F37" s="227"/>
      <c r="P37" s="227"/>
      <c r="Q37" s="227"/>
      <c r="R37" s="227"/>
      <c r="S37" s="227"/>
    </row>
    <row r="38" spans="1:19" x14ac:dyDescent="0.25">
      <c r="A38" s="240" t="s">
        <v>250</v>
      </c>
      <c r="B38" s="240"/>
      <c r="C38" s="257"/>
      <c r="D38" s="240"/>
      <c r="E38" s="240" t="s">
        <v>244</v>
      </c>
      <c r="F38" s="227"/>
      <c r="G38" s="240" t="s">
        <v>248</v>
      </c>
      <c r="H38" s="240"/>
      <c r="I38" s="240"/>
      <c r="J38" s="240"/>
      <c r="K38" s="240"/>
      <c r="L38" s="240"/>
      <c r="M38" s="240"/>
      <c r="N38" s="240"/>
      <c r="O38" s="240"/>
      <c r="P38" s="240" t="s">
        <v>244</v>
      </c>
      <c r="Q38" s="240"/>
      <c r="R38" s="240"/>
      <c r="S38" s="240"/>
    </row>
    <row r="39" spans="1:19" ht="9.9499999999999993" customHeight="1" x14ac:dyDescent="0.25"/>
  </sheetData>
  <mergeCells count="8">
    <mergeCell ref="F7:I7"/>
    <mergeCell ref="J7:M7"/>
    <mergeCell ref="N7:Q7"/>
    <mergeCell ref="G4:H4"/>
    <mergeCell ref="I4:K4"/>
    <mergeCell ref="G5:H5"/>
    <mergeCell ref="I5:K5"/>
    <mergeCell ref="M5:P5"/>
  </mergeCells>
  <pageMargins left="0.39370078740157483" right="0.39370078740157483" top="0.39370078740157483" bottom="0.39370078740157483" header="0" footer="0"/>
  <pageSetup paperSize="9" scale="9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39"/>
  <sheetViews>
    <sheetView zoomScaleNormal="100" workbookViewId="0">
      <selection activeCell="A32" sqref="A32:AD39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10.140625" style="223" bestFit="1" customWidth="1"/>
    <col min="10" max="10" width="6" style="2" customWidth="1"/>
    <col min="11" max="11" width="5.7109375" style="2" hidden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42578125" style="2" bestFit="1" customWidth="1"/>
    <col min="27" max="27" width="11" style="38" bestFit="1" customWidth="1"/>
    <col min="28" max="28" width="10.7109375" style="38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s="29" customFormat="1" ht="12.75" customHeight="1" x14ac:dyDescent="0.2">
      <c r="A1" s="425">
        <f ca="1">TODAY()</f>
        <v>43172</v>
      </c>
      <c r="B1" s="425"/>
      <c r="C1" s="423" t="str">
        <f>Setup!B3</f>
        <v>Serieomgång 1</v>
      </c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  <c r="S1" s="423"/>
      <c r="T1" s="423"/>
      <c r="U1" s="423"/>
      <c r="V1" s="423"/>
      <c r="W1" s="423"/>
      <c r="X1" s="423"/>
      <c r="Y1" s="423"/>
      <c r="Z1" s="423"/>
      <c r="AA1" s="423"/>
      <c r="AB1" s="423"/>
      <c r="AC1" s="423"/>
      <c r="AD1" s="423"/>
      <c r="AG1" s="29">
        <f ca="1">COUNTA(A:A)+8</f>
        <v>45</v>
      </c>
    </row>
    <row r="2" spans="1:33" s="29" customFormat="1" ht="12.75" customHeight="1" x14ac:dyDescent="0.2">
      <c r="A2" s="426"/>
      <c r="B2" s="426"/>
      <c r="C2" s="424"/>
      <c r="D2" s="424"/>
      <c r="E2" s="424"/>
      <c r="F2" s="424"/>
      <c r="G2" s="424"/>
      <c r="H2" s="424"/>
      <c r="I2" s="424"/>
      <c r="J2" s="424"/>
      <c r="K2" s="424"/>
      <c r="L2" s="424"/>
      <c r="M2" s="424"/>
      <c r="N2" s="424"/>
      <c r="O2" s="424"/>
      <c r="P2" s="424"/>
      <c r="Q2" s="424"/>
      <c r="R2" s="424"/>
      <c r="S2" s="424"/>
      <c r="T2" s="424"/>
      <c r="U2" s="424"/>
      <c r="V2" s="424"/>
      <c r="W2" s="424"/>
      <c r="X2" s="424"/>
      <c r="Y2" s="424"/>
      <c r="Z2" s="424"/>
      <c r="AA2" s="424"/>
      <c r="AB2" s="424"/>
      <c r="AC2" s="424"/>
      <c r="AD2" s="424"/>
    </row>
    <row r="3" spans="1:33" s="189" customFormat="1" ht="25.5" x14ac:dyDescent="0.2">
      <c r="A3" s="190" t="s">
        <v>60</v>
      </c>
      <c r="B3" s="191" t="s">
        <v>0</v>
      </c>
      <c r="C3" s="192" t="s">
        <v>41</v>
      </c>
      <c r="D3" s="193" t="s">
        <v>2</v>
      </c>
      <c r="E3" s="193" t="str">
        <f>Lifting!$E$7</f>
        <v>Bwt (kg)</v>
      </c>
      <c r="F3" s="193" t="str">
        <f>IF(E3="Bwt (lb)","WtCls (lb)","WtCls (kg)")</f>
        <v>WtCls (kg)</v>
      </c>
      <c r="G3" s="193" t="s">
        <v>1</v>
      </c>
      <c r="H3" s="193" t="s">
        <v>5</v>
      </c>
      <c r="I3" s="222" t="s">
        <v>187</v>
      </c>
      <c r="J3" s="193" t="s">
        <v>4</v>
      </c>
      <c r="K3" s="193" t="s">
        <v>8</v>
      </c>
      <c r="L3" s="193" t="s">
        <v>9</v>
      </c>
      <c r="M3" s="193" t="s">
        <v>10</v>
      </c>
      <c r="N3" s="193" t="s">
        <v>11</v>
      </c>
      <c r="O3" s="193" t="s">
        <v>12</v>
      </c>
      <c r="P3" s="193" t="s">
        <v>13</v>
      </c>
      <c r="Q3" s="193" t="s">
        <v>14</v>
      </c>
      <c r="R3" s="193" t="s">
        <v>15</v>
      </c>
      <c r="S3" s="193" t="s">
        <v>16</v>
      </c>
      <c r="T3" s="193" t="s">
        <v>21</v>
      </c>
      <c r="U3" s="193" t="s">
        <v>17</v>
      </c>
      <c r="V3" s="193" t="s">
        <v>18</v>
      </c>
      <c r="W3" s="193" t="s">
        <v>19</v>
      </c>
      <c r="X3" s="193" t="s">
        <v>20</v>
      </c>
      <c r="Y3" s="193" t="s">
        <v>22</v>
      </c>
      <c r="Z3" s="194" t="s">
        <v>127</v>
      </c>
      <c r="AA3" s="194" t="s">
        <v>186</v>
      </c>
      <c r="AB3" s="194" t="s">
        <v>185</v>
      </c>
      <c r="AC3" s="193" t="s">
        <v>26</v>
      </c>
      <c r="AD3" s="193" t="s">
        <v>134</v>
      </c>
    </row>
    <row r="4" spans="1:33" x14ac:dyDescent="0.2">
      <c r="A4" s="2" t="s">
        <v>24</v>
      </c>
      <c r="B4" s="37" t="s">
        <v>288</v>
      </c>
      <c r="C4" s="36" t="s">
        <v>259</v>
      </c>
      <c r="D4" s="2" t="s">
        <v>223</v>
      </c>
      <c r="E4" s="2">
        <v>75.599999999999994</v>
      </c>
      <c r="F4" s="2">
        <v>84</v>
      </c>
      <c r="G4" s="2">
        <v>30</v>
      </c>
      <c r="H4" s="2">
        <v>0.94590002298355103</v>
      </c>
      <c r="I4" s="223">
        <v>33938</v>
      </c>
      <c r="J4" s="2">
        <v>1</v>
      </c>
      <c r="K4" s="2">
        <v>11</v>
      </c>
      <c r="L4" s="2">
        <v>160</v>
      </c>
      <c r="M4" s="2">
        <v>170</v>
      </c>
      <c r="O4" s="2">
        <v>170</v>
      </c>
      <c r="P4" s="1" t="s">
        <v>252</v>
      </c>
      <c r="Q4" s="2">
        <v>60</v>
      </c>
      <c r="R4" s="2">
        <v>62.5</v>
      </c>
      <c r="S4" s="2">
        <v>65</v>
      </c>
      <c r="T4" s="2">
        <v>65</v>
      </c>
      <c r="U4" s="2">
        <v>235</v>
      </c>
      <c r="V4" s="2">
        <v>160</v>
      </c>
      <c r="W4" s="2">
        <v>167.5</v>
      </c>
      <c r="X4" s="2">
        <v>175</v>
      </c>
      <c r="Y4" s="2">
        <v>175</v>
      </c>
      <c r="Z4" s="2">
        <v>410</v>
      </c>
      <c r="AA4" s="38">
        <v>387.81900942325592</v>
      </c>
      <c r="AB4" s="38">
        <v>387.81900942325592</v>
      </c>
      <c r="AC4" s="2">
        <v>2</v>
      </c>
      <c r="AD4" s="36" t="s">
        <v>314</v>
      </c>
    </row>
    <row r="5" spans="1:33" x14ac:dyDescent="0.2">
      <c r="A5" s="2" t="s">
        <v>24</v>
      </c>
      <c r="B5" s="37" t="s">
        <v>279</v>
      </c>
      <c r="C5" s="36" t="s">
        <v>183</v>
      </c>
      <c r="D5" s="2" t="s">
        <v>223</v>
      </c>
      <c r="E5" s="2">
        <v>58.2</v>
      </c>
      <c r="F5" s="2">
        <v>63</v>
      </c>
      <c r="G5" s="2">
        <v>1</v>
      </c>
      <c r="H5" s="2">
        <v>1.1416000127792358</v>
      </c>
      <c r="I5" s="223">
        <v>34795</v>
      </c>
      <c r="J5" s="2">
        <v>1.01</v>
      </c>
      <c r="K5" s="2">
        <v>10</v>
      </c>
      <c r="L5" s="2">
        <v>100</v>
      </c>
      <c r="M5" s="2">
        <v>110</v>
      </c>
      <c r="N5" s="2">
        <v>-112.5</v>
      </c>
      <c r="O5" s="2">
        <v>110</v>
      </c>
      <c r="P5" s="1" t="s">
        <v>252</v>
      </c>
      <c r="Q5" s="2">
        <v>67.5</v>
      </c>
      <c r="R5" s="2">
        <v>70</v>
      </c>
      <c r="S5" s="2">
        <v>75</v>
      </c>
      <c r="T5" s="2">
        <v>75</v>
      </c>
      <c r="U5" s="2">
        <v>185</v>
      </c>
      <c r="V5" s="2">
        <v>130</v>
      </c>
      <c r="W5" s="2">
        <v>140</v>
      </c>
      <c r="X5" s="2">
        <v>150</v>
      </c>
      <c r="Y5" s="2">
        <v>150</v>
      </c>
      <c r="Z5" s="2">
        <v>335</v>
      </c>
      <c r="AA5" s="38">
        <v>382.43600428104401</v>
      </c>
      <c r="AB5" s="38">
        <v>386.26036432385445</v>
      </c>
      <c r="AC5" s="2">
        <v>2</v>
      </c>
      <c r="AD5" s="36" t="s">
        <v>315</v>
      </c>
    </row>
    <row r="6" spans="1:33" x14ac:dyDescent="0.2">
      <c r="A6" s="2" t="s">
        <v>24</v>
      </c>
      <c r="B6" s="37" t="s">
        <v>253</v>
      </c>
      <c r="C6" s="36" t="s">
        <v>183</v>
      </c>
      <c r="D6" s="2" t="s">
        <v>223</v>
      </c>
      <c r="E6" s="2">
        <v>63</v>
      </c>
      <c r="F6" s="2">
        <v>63</v>
      </c>
      <c r="G6" s="2">
        <v>25</v>
      </c>
      <c r="H6" s="2">
        <v>1.0740000009536743</v>
      </c>
      <c r="I6" s="223">
        <v>33564</v>
      </c>
      <c r="J6" s="2">
        <v>1</v>
      </c>
      <c r="K6" s="2">
        <v>12</v>
      </c>
      <c r="L6" s="2">
        <v>115</v>
      </c>
      <c r="M6" s="2">
        <v>120</v>
      </c>
      <c r="N6" s="2">
        <v>-122.5</v>
      </c>
      <c r="O6" s="2">
        <v>120</v>
      </c>
      <c r="P6" s="1" t="s">
        <v>256</v>
      </c>
      <c r="Q6" s="2">
        <v>65</v>
      </c>
      <c r="R6" s="2">
        <v>67.5</v>
      </c>
      <c r="S6" s="2">
        <v>-70</v>
      </c>
      <c r="T6" s="2">
        <v>67.5</v>
      </c>
      <c r="U6" s="2">
        <v>187.5</v>
      </c>
      <c r="V6" s="2">
        <v>150</v>
      </c>
      <c r="W6" s="2">
        <v>-162.5</v>
      </c>
      <c r="X6" s="2">
        <v>162.5</v>
      </c>
      <c r="Y6" s="2">
        <v>162.5</v>
      </c>
      <c r="Z6" s="2">
        <v>350</v>
      </c>
      <c r="AA6" s="38">
        <v>375.90000033378601</v>
      </c>
      <c r="AB6" s="38">
        <v>375.90000033378601</v>
      </c>
      <c r="AC6" s="2">
        <v>2</v>
      </c>
      <c r="AD6" s="36" t="s">
        <v>316</v>
      </c>
    </row>
    <row r="7" spans="1:33" x14ac:dyDescent="0.2">
      <c r="A7" s="2" t="s">
        <v>24</v>
      </c>
      <c r="B7" s="37" t="s">
        <v>285</v>
      </c>
      <c r="C7" s="36" t="s">
        <v>183</v>
      </c>
      <c r="D7" s="2" t="s">
        <v>223</v>
      </c>
      <c r="E7" s="2">
        <v>70.55</v>
      </c>
      <c r="F7" s="2">
        <v>72</v>
      </c>
      <c r="G7" s="2">
        <v>15</v>
      </c>
      <c r="H7" s="2">
        <v>0.98949998617172241</v>
      </c>
      <c r="I7" s="223">
        <v>34479</v>
      </c>
      <c r="J7" s="2">
        <v>1</v>
      </c>
      <c r="K7" s="2">
        <v>12</v>
      </c>
      <c r="L7" s="2">
        <v>125</v>
      </c>
      <c r="M7" s="2">
        <v>130</v>
      </c>
      <c r="N7" s="2">
        <v>-135</v>
      </c>
      <c r="O7" s="2">
        <v>130</v>
      </c>
      <c r="P7" s="1" t="s">
        <v>286</v>
      </c>
      <c r="Q7" s="2">
        <v>67.5</v>
      </c>
      <c r="R7" s="2">
        <v>72.5</v>
      </c>
      <c r="S7" s="2">
        <v>-77.5</v>
      </c>
      <c r="T7" s="2">
        <v>72.5</v>
      </c>
      <c r="U7" s="2">
        <v>202.5</v>
      </c>
      <c r="V7" s="2">
        <v>140</v>
      </c>
      <c r="W7" s="2">
        <v>150</v>
      </c>
      <c r="X7" s="2">
        <v>-160</v>
      </c>
      <c r="Y7" s="2">
        <v>150</v>
      </c>
      <c r="Z7" s="2">
        <v>352.5</v>
      </c>
      <c r="AA7" s="38">
        <v>348.79874512553215</v>
      </c>
      <c r="AB7" s="38">
        <v>348.79874512553215</v>
      </c>
      <c r="AC7" s="2">
        <v>2</v>
      </c>
      <c r="AD7" s="36" t="s">
        <v>317</v>
      </c>
    </row>
    <row r="8" spans="1:33" x14ac:dyDescent="0.2">
      <c r="A8" s="2" t="s">
        <v>24</v>
      </c>
      <c r="B8" s="37" t="s">
        <v>283</v>
      </c>
      <c r="C8" s="36" t="s">
        <v>259</v>
      </c>
      <c r="D8" s="2" t="s">
        <v>223</v>
      </c>
      <c r="E8" s="2">
        <v>62.55</v>
      </c>
      <c r="F8" s="2">
        <v>63</v>
      </c>
      <c r="G8" s="2">
        <v>11</v>
      </c>
      <c r="H8" s="2">
        <v>1.079800009727478</v>
      </c>
      <c r="I8" s="223">
        <v>35454</v>
      </c>
      <c r="J8" s="2">
        <v>1.02</v>
      </c>
      <c r="K8" s="2">
        <v>10</v>
      </c>
      <c r="L8" s="2">
        <v>100</v>
      </c>
      <c r="M8" s="2">
        <v>110</v>
      </c>
      <c r="O8" s="2">
        <v>110</v>
      </c>
      <c r="P8" s="1" t="s">
        <v>274</v>
      </c>
      <c r="Q8" s="2">
        <v>60</v>
      </c>
      <c r="R8" s="2">
        <v>65</v>
      </c>
      <c r="S8" s="2">
        <v>67.5</v>
      </c>
      <c r="T8" s="2">
        <v>67.5</v>
      </c>
      <c r="U8" s="2">
        <v>177.5</v>
      </c>
      <c r="V8" s="2">
        <v>120</v>
      </c>
      <c r="W8" s="2">
        <v>130</v>
      </c>
      <c r="Y8" s="2">
        <v>130</v>
      </c>
      <c r="Z8" s="2">
        <v>307.5</v>
      </c>
      <c r="AA8" s="38">
        <v>332.03850299119949</v>
      </c>
      <c r="AB8" s="38">
        <v>338.67927305102347</v>
      </c>
      <c r="AC8" s="2">
        <v>2</v>
      </c>
      <c r="AD8" s="36" t="s">
        <v>318</v>
      </c>
    </row>
    <row r="9" spans="1:33" x14ac:dyDescent="0.2">
      <c r="A9" s="2" t="s">
        <v>24</v>
      </c>
      <c r="B9" s="37" t="s">
        <v>280</v>
      </c>
      <c r="C9" s="36" t="s">
        <v>183</v>
      </c>
      <c r="D9" s="2" t="s">
        <v>223</v>
      </c>
      <c r="E9" s="2">
        <v>72.3</v>
      </c>
      <c r="F9" s="2">
        <v>84</v>
      </c>
      <c r="G9" s="2">
        <v>6</v>
      </c>
      <c r="H9" s="2">
        <v>0.97339999675750732</v>
      </c>
      <c r="I9" s="223">
        <v>36581</v>
      </c>
      <c r="J9" s="2">
        <v>1.06</v>
      </c>
      <c r="K9" s="2">
        <v>12</v>
      </c>
      <c r="L9" s="2">
        <v>130</v>
      </c>
      <c r="M9" s="2">
        <v>145</v>
      </c>
      <c r="N9" s="2">
        <v>-155</v>
      </c>
      <c r="O9" s="2">
        <v>145</v>
      </c>
      <c r="P9" s="1" t="s">
        <v>269</v>
      </c>
      <c r="Q9" s="2">
        <v>60</v>
      </c>
      <c r="R9" s="2">
        <v>-65</v>
      </c>
      <c r="S9" s="2">
        <v>-70</v>
      </c>
      <c r="T9" s="2">
        <v>60</v>
      </c>
      <c r="U9" s="2">
        <v>205</v>
      </c>
      <c r="V9" s="2">
        <v>120</v>
      </c>
      <c r="W9" s="2">
        <v>130</v>
      </c>
      <c r="X9" s="2">
        <v>135</v>
      </c>
      <c r="Y9" s="2">
        <v>135</v>
      </c>
      <c r="Z9" s="2">
        <v>340</v>
      </c>
      <c r="AA9" s="38">
        <v>330.95599889755249</v>
      </c>
      <c r="AB9" s="38">
        <v>350.81335883140565</v>
      </c>
      <c r="AC9" s="2">
        <v>2</v>
      </c>
      <c r="AD9" s="36" t="s">
        <v>319</v>
      </c>
    </row>
    <row r="10" spans="1:33" x14ac:dyDescent="0.2">
      <c r="A10" s="2" t="s">
        <v>24</v>
      </c>
      <c r="B10" s="37" t="s">
        <v>284</v>
      </c>
      <c r="C10" s="36" t="s">
        <v>213</v>
      </c>
      <c r="D10" s="2" t="s">
        <v>223</v>
      </c>
      <c r="E10" s="2">
        <v>61.3</v>
      </c>
      <c r="F10" s="2">
        <v>63</v>
      </c>
      <c r="G10" s="2">
        <v>14</v>
      </c>
      <c r="H10" s="2">
        <v>1.0966000556945801</v>
      </c>
      <c r="I10" s="223">
        <v>36753</v>
      </c>
      <c r="J10" s="2">
        <v>1.08</v>
      </c>
      <c r="K10" s="2">
        <v>12</v>
      </c>
      <c r="L10" s="2">
        <v>80</v>
      </c>
      <c r="M10" s="2">
        <v>85</v>
      </c>
      <c r="N10" s="2">
        <v>92.5</v>
      </c>
      <c r="O10" s="2">
        <v>92.5</v>
      </c>
      <c r="P10" s="1" t="s">
        <v>251</v>
      </c>
      <c r="Q10" s="2">
        <v>75</v>
      </c>
      <c r="R10" s="2">
        <v>80</v>
      </c>
      <c r="S10" s="2">
        <v>82.5</v>
      </c>
      <c r="T10" s="2">
        <v>82.5</v>
      </c>
      <c r="U10" s="2">
        <v>175</v>
      </c>
      <c r="V10" s="2">
        <v>100</v>
      </c>
      <c r="W10" s="2">
        <v>105</v>
      </c>
      <c r="X10" s="2">
        <v>110</v>
      </c>
      <c r="Y10" s="2">
        <v>110</v>
      </c>
      <c r="Z10" s="2">
        <v>285</v>
      </c>
      <c r="AA10" s="38">
        <v>312.53101587295532</v>
      </c>
      <c r="AB10" s="38">
        <v>337.53349714279176</v>
      </c>
      <c r="AC10" s="2">
        <v>2</v>
      </c>
      <c r="AD10" s="36" t="s">
        <v>320</v>
      </c>
    </row>
    <row r="11" spans="1:33" x14ac:dyDescent="0.2">
      <c r="A11" s="2" t="s">
        <v>24</v>
      </c>
      <c r="B11" s="37" t="s">
        <v>287</v>
      </c>
      <c r="C11" s="36" t="s">
        <v>213</v>
      </c>
      <c r="D11" s="2" t="s">
        <v>223</v>
      </c>
      <c r="E11" s="2">
        <v>89.15</v>
      </c>
      <c r="F11" s="2" t="s">
        <v>167</v>
      </c>
      <c r="G11" s="2">
        <v>22</v>
      </c>
      <c r="H11" s="2">
        <v>0.86750000715255737</v>
      </c>
      <c r="I11" s="223">
        <v>32589</v>
      </c>
      <c r="J11" s="2">
        <v>1</v>
      </c>
      <c r="K11" s="2">
        <v>13</v>
      </c>
      <c r="L11" s="2">
        <v>110</v>
      </c>
      <c r="M11" s="2">
        <v>120</v>
      </c>
      <c r="N11" s="2">
        <v>-127.5</v>
      </c>
      <c r="O11" s="2">
        <v>120</v>
      </c>
      <c r="P11" s="1" t="s">
        <v>251</v>
      </c>
      <c r="Q11" s="2">
        <v>70</v>
      </c>
      <c r="R11" s="2">
        <v>80</v>
      </c>
      <c r="S11" s="2">
        <v>-85</v>
      </c>
      <c r="T11" s="2">
        <v>80</v>
      </c>
      <c r="U11" s="2">
        <v>200</v>
      </c>
      <c r="V11" s="2">
        <v>120</v>
      </c>
      <c r="W11" s="2">
        <v>140</v>
      </c>
      <c r="X11" s="2">
        <v>-150</v>
      </c>
      <c r="Y11" s="2">
        <v>140</v>
      </c>
      <c r="Z11" s="2">
        <v>340</v>
      </c>
      <c r="AA11" s="38">
        <v>294.95000243186951</v>
      </c>
      <c r="AB11" s="38">
        <v>294.95000243186951</v>
      </c>
      <c r="AC11" s="2">
        <v>2</v>
      </c>
      <c r="AD11" s="36" t="s">
        <v>321</v>
      </c>
    </row>
    <row r="12" spans="1:33" x14ac:dyDescent="0.2">
      <c r="A12" s="2" t="s">
        <v>24</v>
      </c>
      <c r="B12" s="37" t="s">
        <v>289</v>
      </c>
      <c r="C12" s="36" t="s">
        <v>183</v>
      </c>
      <c r="D12" s="2" t="s">
        <v>223</v>
      </c>
      <c r="E12" s="2">
        <v>80.400000000000006</v>
      </c>
      <c r="F12" s="2">
        <v>84</v>
      </c>
      <c r="G12" s="2">
        <v>33</v>
      </c>
      <c r="H12" s="2">
        <v>0.91250002384185791</v>
      </c>
      <c r="I12" s="223">
        <v>32165</v>
      </c>
      <c r="J12" s="2">
        <v>1</v>
      </c>
      <c r="K12" s="2">
        <v>13</v>
      </c>
      <c r="L12" s="2">
        <v>75</v>
      </c>
      <c r="M12" s="2">
        <v>80</v>
      </c>
      <c r="N12" s="2">
        <v>-90</v>
      </c>
      <c r="O12" s="2">
        <v>80</v>
      </c>
      <c r="P12" s="1" t="s">
        <v>290</v>
      </c>
      <c r="Q12" s="2">
        <v>40</v>
      </c>
      <c r="R12" s="2">
        <v>45</v>
      </c>
      <c r="S12" s="2">
        <v>-50</v>
      </c>
      <c r="T12" s="2">
        <v>45</v>
      </c>
      <c r="U12" s="2">
        <v>125</v>
      </c>
      <c r="V12" s="2">
        <v>100</v>
      </c>
      <c r="W12" s="2">
        <v>112.5</v>
      </c>
      <c r="X12" s="2">
        <v>117.5</v>
      </c>
      <c r="Y12" s="2">
        <v>117.5</v>
      </c>
      <c r="Z12" s="2">
        <v>242.5</v>
      </c>
      <c r="AA12" s="38">
        <v>221.28125578165054</v>
      </c>
      <c r="AB12" s="38">
        <v>221.28125578165054</v>
      </c>
      <c r="AC12" s="2">
        <v>2</v>
      </c>
      <c r="AD12" s="36" t="s">
        <v>322</v>
      </c>
    </row>
    <row r="13" spans="1:33" x14ac:dyDescent="0.2">
      <c r="A13" s="2" t="s">
        <v>24</v>
      </c>
      <c r="B13" s="37" t="s">
        <v>281</v>
      </c>
      <c r="C13" s="36" t="s">
        <v>213</v>
      </c>
      <c r="D13" s="2" t="s">
        <v>223</v>
      </c>
      <c r="E13" s="2">
        <v>97.35</v>
      </c>
      <c r="F13" s="2" t="s">
        <v>167</v>
      </c>
      <c r="G13" s="2">
        <v>10</v>
      </c>
      <c r="H13" s="2">
        <v>0.83950001001358032</v>
      </c>
      <c r="I13" s="223">
        <v>34242</v>
      </c>
      <c r="J13" s="2">
        <v>1</v>
      </c>
      <c r="K13" s="2">
        <v>15</v>
      </c>
      <c r="L13" s="2">
        <v>70</v>
      </c>
      <c r="M13" s="2">
        <v>-80</v>
      </c>
      <c r="N13" s="2">
        <v>-105</v>
      </c>
      <c r="O13" s="2">
        <v>70</v>
      </c>
      <c r="P13" s="1" t="s">
        <v>282</v>
      </c>
      <c r="Q13" s="2">
        <v>40</v>
      </c>
      <c r="R13" s="2">
        <v>50</v>
      </c>
      <c r="S13" s="2">
        <v>-55</v>
      </c>
      <c r="T13" s="2">
        <v>50</v>
      </c>
      <c r="U13" s="2">
        <v>120</v>
      </c>
      <c r="V13" s="2">
        <v>80</v>
      </c>
      <c r="W13" s="2">
        <v>100</v>
      </c>
      <c r="X13" s="2">
        <v>110</v>
      </c>
      <c r="Y13" s="2">
        <v>110</v>
      </c>
      <c r="Z13" s="2">
        <v>230</v>
      </c>
      <c r="AA13" s="38">
        <v>193.08500230312347</v>
      </c>
      <c r="AB13" s="38">
        <v>193.08500230312347</v>
      </c>
      <c r="AC13" s="2">
        <v>2</v>
      </c>
      <c r="AD13" s="36" t="s">
        <v>323</v>
      </c>
    </row>
    <row r="14" spans="1:33" x14ac:dyDescent="0.2">
      <c r="A14" s="2" t="s">
        <v>25</v>
      </c>
      <c r="B14" s="37" t="s">
        <v>301</v>
      </c>
      <c r="C14" s="36" t="s">
        <v>259</v>
      </c>
      <c r="D14" s="2" t="s">
        <v>222</v>
      </c>
      <c r="E14" s="2">
        <v>142.69999999999999</v>
      </c>
      <c r="F14" s="2" t="s">
        <v>165</v>
      </c>
      <c r="G14" s="2">
        <v>12</v>
      </c>
      <c r="H14" s="2">
        <v>0.55720001459121704</v>
      </c>
      <c r="I14" s="223">
        <v>32743</v>
      </c>
      <c r="J14" s="2">
        <v>1</v>
      </c>
      <c r="K14" s="2">
        <v>15</v>
      </c>
      <c r="L14" s="2">
        <v>280</v>
      </c>
      <c r="M14" s="2">
        <v>285</v>
      </c>
      <c r="O14" s="2">
        <v>285</v>
      </c>
      <c r="P14" s="1" t="s">
        <v>292</v>
      </c>
      <c r="Q14" s="2">
        <v>180</v>
      </c>
      <c r="R14" s="2">
        <v>185</v>
      </c>
      <c r="S14" s="2">
        <v>-190</v>
      </c>
      <c r="T14" s="2">
        <v>185</v>
      </c>
      <c r="U14" s="2">
        <v>470</v>
      </c>
      <c r="V14" s="2">
        <v>280</v>
      </c>
      <c r="X14" s="2">
        <v>0</v>
      </c>
      <c r="Y14" s="2">
        <v>280</v>
      </c>
      <c r="Z14" s="2">
        <v>750</v>
      </c>
      <c r="AA14" s="38">
        <v>417.90001094341278</v>
      </c>
      <c r="AB14" s="38">
        <v>417.90001094341278</v>
      </c>
      <c r="AC14" s="2">
        <v>2</v>
      </c>
      <c r="AD14" s="36" t="s">
        <v>324</v>
      </c>
    </row>
    <row r="15" spans="1:33" x14ac:dyDescent="0.2">
      <c r="A15" s="2" t="s">
        <v>25</v>
      </c>
      <c r="B15" s="37" t="s">
        <v>306</v>
      </c>
      <c r="C15" s="36" t="s">
        <v>213</v>
      </c>
      <c r="D15" s="2" t="s">
        <v>222</v>
      </c>
      <c r="E15" s="2">
        <v>104.85</v>
      </c>
      <c r="F15" s="2">
        <v>105</v>
      </c>
      <c r="G15" s="2">
        <v>24</v>
      </c>
      <c r="H15" s="2">
        <v>0.59789997339248657</v>
      </c>
      <c r="I15" s="223">
        <v>32597</v>
      </c>
      <c r="J15" s="2">
        <v>1</v>
      </c>
      <c r="K15" s="2">
        <v>15</v>
      </c>
      <c r="L15" s="2">
        <v>220</v>
      </c>
      <c r="M15" s="2">
        <v>232.5</v>
      </c>
      <c r="N15" s="2">
        <v>-242.5</v>
      </c>
      <c r="O15" s="2">
        <v>232.5</v>
      </c>
      <c r="P15" s="1" t="s">
        <v>307</v>
      </c>
      <c r="Q15" s="2">
        <v>155</v>
      </c>
      <c r="R15" s="2">
        <v>162.5</v>
      </c>
      <c r="S15" s="2">
        <v>167.5</v>
      </c>
      <c r="T15" s="2">
        <v>167.5</v>
      </c>
      <c r="U15" s="2">
        <v>400</v>
      </c>
      <c r="V15" s="2">
        <v>240</v>
      </c>
      <c r="W15" s="2">
        <v>260</v>
      </c>
      <c r="X15" s="2">
        <v>272.5</v>
      </c>
      <c r="Y15" s="2">
        <v>272.5</v>
      </c>
      <c r="Z15" s="2">
        <v>672.5</v>
      </c>
      <c r="AA15" s="38">
        <v>402.08773210644722</v>
      </c>
      <c r="AB15" s="38">
        <v>402.08773210644722</v>
      </c>
      <c r="AC15" s="2">
        <v>2</v>
      </c>
      <c r="AD15" s="36" t="s">
        <v>325</v>
      </c>
    </row>
    <row r="16" spans="1:33" x14ac:dyDescent="0.2">
      <c r="A16" s="2" t="s">
        <v>25</v>
      </c>
      <c r="B16" s="37" t="s">
        <v>296</v>
      </c>
      <c r="C16" s="36" t="s">
        <v>183</v>
      </c>
      <c r="D16" s="2" t="s">
        <v>222</v>
      </c>
      <c r="E16" s="2">
        <v>127.25</v>
      </c>
      <c r="F16" s="2" t="s">
        <v>165</v>
      </c>
      <c r="G16" s="2">
        <v>3</v>
      </c>
      <c r="H16" s="2">
        <v>0.56779998540878296</v>
      </c>
      <c r="I16" s="223">
        <v>32451</v>
      </c>
      <c r="J16" s="2">
        <v>1</v>
      </c>
      <c r="K16" s="2">
        <v>20</v>
      </c>
      <c r="L16" s="2">
        <v>230</v>
      </c>
      <c r="M16" s="2">
        <v>240</v>
      </c>
      <c r="N16" s="2">
        <v>250</v>
      </c>
      <c r="O16" s="2">
        <v>250</v>
      </c>
      <c r="P16" s="1" t="s">
        <v>297</v>
      </c>
      <c r="Q16" s="2">
        <v>150</v>
      </c>
      <c r="R16" s="2">
        <v>157.5</v>
      </c>
      <c r="S16" s="2">
        <v>165</v>
      </c>
      <c r="T16" s="2">
        <v>165</v>
      </c>
      <c r="U16" s="2">
        <v>415</v>
      </c>
      <c r="V16" s="2">
        <v>260</v>
      </c>
      <c r="W16" s="2">
        <v>285</v>
      </c>
      <c r="X16" s="2">
        <v>-300</v>
      </c>
      <c r="Y16" s="2">
        <v>285</v>
      </c>
      <c r="Z16" s="2">
        <v>700</v>
      </c>
      <c r="AA16" s="38">
        <v>397.45998978614807</v>
      </c>
      <c r="AB16" s="38">
        <v>397.45998978614807</v>
      </c>
      <c r="AC16" s="2">
        <v>2</v>
      </c>
      <c r="AD16" s="36" t="s">
        <v>326</v>
      </c>
    </row>
    <row r="17" spans="1:30" x14ac:dyDescent="0.2">
      <c r="A17" s="2" t="s">
        <v>25</v>
      </c>
      <c r="B17" s="37" t="s">
        <v>255</v>
      </c>
      <c r="C17" s="36" t="s">
        <v>183</v>
      </c>
      <c r="D17" s="2" t="s">
        <v>222</v>
      </c>
      <c r="E17" s="2">
        <v>73.2</v>
      </c>
      <c r="F17" s="2">
        <v>74</v>
      </c>
      <c r="G17" s="2">
        <v>26</v>
      </c>
      <c r="H17" s="2">
        <v>0.7249000072479248</v>
      </c>
      <c r="I17" s="223">
        <v>32008</v>
      </c>
      <c r="J17" s="2">
        <v>1</v>
      </c>
      <c r="K17" s="2">
        <v>13</v>
      </c>
      <c r="L17" s="2">
        <v>185</v>
      </c>
      <c r="M17" s="2">
        <v>195</v>
      </c>
      <c r="N17" s="2">
        <v>200</v>
      </c>
      <c r="O17" s="2">
        <v>200</v>
      </c>
      <c r="P17" s="1" t="s">
        <v>270</v>
      </c>
      <c r="Q17" s="2">
        <v>122.5</v>
      </c>
      <c r="R17" s="2">
        <v>-127.5</v>
      </c>
      <c r="S17" s="2">
        <v>127.5</v>
      </c>
      <c r="T17" s="2">
        <v>127.5</v>
      </c>
      <c r="U17" s="2">
        <v>327.5</v>
      </c>
      <c r="V17" s="2">
        <v>205</v>
      </c>
      <c r="W17" s="2">
        <v>220</v>
      </c>
      <c r="X17" s="2">
        <v>-225</v>
      </c>
      <c r="Y17" s="2">
        <v>220</v>
      </c>
      <c r="Z17" s="2">
        <v>547.5</v>
      </c>
      <c r="AA17" s="38">
        <v>396.88275396823883</v>
      </c>
      <c r="AB17" s="38">
        <v>396.88275396823883</v>
      </c>
      <c r="AC17" s="2">
        <v>2</v>
      </c>
      <c r="AD17" s="36" t="s">
        <v>327</v>
      </c>
    </row>
    <row r="18" spans="1:30" x14ac:dyDescent="0.2">
      <c r="A18" s="2" t="s">
        <v>25</v>
      </c>
      <c r="B18" s="37" t="s">
        <v>302</v>
      </c>
      <c r="C18" s="36" t="s">
        <v>183</v>
      </c>
      <c r="D18" s="2" t="s">
        <v>222</v>
      </c>
      <c r="E18" s="2">
        <v>73</v>
      </c>
      <c r="F18" s="2">
        <v>74</v>
      </c>
      <c r="G18" s="2">
        <v>17</v>
      </c>
      <c r="H18" s="2">
        <v>0.72640001773834229</v>
      </c>
      <c r="I18" s="223">
        <v>34123</v>
      </c>
      <c r="J18" s="2">
        <v>1</v>
      </c>
      <c r="K18" s="2">
        <v>14</v>
      </c>
      <c r="L18" s="2">
        <v>170</v>
      </c>
      <c r="M18" s="2">
        <v>-180</v>
      </c>
      <c r="N18" s="2">
        <v>180</v>
      </c>
      <c r="O18" s="2">
        <v>180</v>
      </c>
      <c r="P18" s="1" t="s">
        <v>299</v>
      </c>
      <c r="Q18" s="2">
        <v>117.5</v>
      </c>
      <c r="R18" s="2">
        <v>125</v>
      </c>
      <c r="S18" s="2">
        <v>-132.5</v>
      </c>
      <c r="T18" s="2">
        <v>125</v>
      </c>
      <c r="U18" s="2">
        <v>305</v>
      </c>
      <c r="V18" s="2">
        <v>215</v>
      </c>
      <c r="W18" s="2">
        <v>222.5</v>
      </c>
      <c r="X18" s="2">
        <v>-227.5</v>
      </c>
      <c r="Y18" s="2">
        <v>222.5</v>
      </c>
      <c r="Z18" s="2">
        <v>527.5</v>
      </c>
      <c r="AA18" s="38">
        <v>383.17600935697556</v>
      </c>
      <c r="AB18" s="38">
        <v>383.17600935697556</v>
      </c>
      <c r="AC18" s="2">
        <v>2</v>
      </c>
      <c r="AD18" s="36" t="s">
        <v>328</v>
      </c>
    </row>
    <row r="19" spans="1:30" x14ac:dyDescent="0.2">
      <c r="A19" s="2" t="s">
        <v>25</v>
      </c>
      <c r="B19" s="37" t="s">
        <v>303</v>
      </c>
      <c r="C19" s="36" t="s">
        <v>183</v>
      </c>
      <c r="D19" s="2" t="s">
        <v>222</v>
      </c>
      <c r="E19" s="2">
        <v>115.15</v>
      </c>
      <c r="F19" s="2">
        <v>120</v>
      </c>
      <c r="G19" s="2">
        <v>18</v>
      </c>
      <c r="H19" s="2">
        <v>0.58079999685287476</v>
      </c>
      <c r="I19" s="223">
        <v>33760</v>
      </c>
      <c r="J19" s="2">
        <v>1</v>
      </c>
      <c r="K19" s="2">
        <v>21</v>
      </c>
      <c r="L19" s="2">
        <v>190</v>
      </c>
      <c r="M19" s="2">
        <v>197.5</v>
      </c>
      <c r="N19" s="2">
        <v>210</v>
      </c>
      <c r="O19" s="2">
        <v>210</v>
      </c>
      <c r="P19" s="1" t="s">
        <v>297</v>
      </c>
      <c r="Q19" s="2">
        <v>155</v>
      </c>
      <c r="R19" s="2">
        <v>162.5</v>
      </c>
      <c r="S19" s="2">
        <v>-170</v>
      </c>
      <c r="T19" s="2">
        <v>162.5</v>
      </c>
      <c r="U19" s="2">
        <v>372.5</v>
      </c>
      <c r="V19" s="2">
        <v>240</v>
      </c>
      <c r="W19" s="2">
        <v>255</v>
      </c>
      <c r="X19" s="2">
        <v>265</v>
      </c>
      <c r="Y19" s="2">
        <v>265</v>
      </c>
      <c r="Z19" s="2">
        <v>637.5</v>
      </c>
      <c r="AA19" s="38">
        <v>370.25999799370766</v>
      </c>
      <c r="AB19" s="38">
        <v>370.25999799370766</v>
      </c>
      <c r="AC19" s="2">
        <v>2</v>
      </c>
      <c r="AD19" s="36" t="s">
        <v>329</v>
      </c>
    </row>
    <row r="20" spans="1:30" x14ac:dyDescent="0.2">
      <c r="A20" s="2" t="s">
        <v>25</v>
      </c>
      <c r="B20" s="37" t="s">
        <v>308</v>
      </c>
      <c r="C20" s="36" t="s">
        <v>183</v>
      </c>
      <c r="D20" s="2" t="s">
        <v>222</v>
      </c>
      <c r="E20" s="2">
        <v>73.2</v>
      </c>
      <c r="F20" s="2">
        <v>74</v>
      </c>
      <c r="G20" s="2">
        <v>28</v>
      </c>
      <c r="H20" s="2">
        <v>0.7249000072479248</v>
      </c>
      <c r="I20" s="223">
        <v>35370</v>
      </c>
      <c r="J20" s="2">
        <v>1.02</v>
      </c>
      <c r="K20" s="2">
        <v>13</v>
      </c>
      <c r="L20" s="2">
        <v>175</v>
      </c>
      <c r="M20" s="2">
        <v>-182.5</v>
      </c>
      <c r="N20" s="2">
        <v>-182.5</v>
      </c>
      <c r="O20" s="2">
        <v>175</v>
      </c>
      <c r="P20" s="1" t="s">
        <v>309</v>
      </c>
      <c r="Q20" s="2">
        <v>110</v>
      </c>
      <c r="R20" s="2">
        <v>117.5</v>
      </c>
      <c r="S20" s="2">
        <v>-125</v>
      </c>
      <c r="T20" s="2">
        <v>117.5</v>
      </c>
      <c r="U20" s="2">
        <v>292.5</v>
      </c>
      <c r="V20" s="2">
        <v>200</v>
      </c>
      <c r="W20" s="2">
        <v>210</v>
      </c>
      <c r="X20" s="2">
        <v>-215</v>
      </c>
      <c r="Y20" s="2">
        <v>210</v>
      </c>
      <c r="Z20" s="2">
        <v>502.5</v>
      </c>
      <c r="AA20" s="38">
        <v>364.26225364208221</v>
      </c>
      <c r="AB20" s="38">
        <v>371.54749871492385</v>
      </c>
      <c r="AC20" s="2">
        <v>2</v>
      </c>
      <c r="AD20" s="36" t="s">
        <v>330</v>
      </c>
    </row>
    <row r="21" spans="1:30" x14ac:dyDescent="0.2">
      <c r="A21" s="2" t="s">
        <v>25</v>
      </c>
      <c r="B21" s="37" t="s">
        <v>305</v>
      </c>
      <c r="C21" s="36" t="s">
        <v>213</v>
      </c>
      <c r="D21" s="2" t="s">
        <v>222</v>
      </c>
      <c r="E21" s="2">
        <v>118.6</v>
      </c>
      <c r="F21" s="2">
        <v>120</v>
      </c>
      <c r="G21" s="2">
        <v>23</v>
      </c>
      <c r="H21" s="2">
        <v>0.57649999856948853</v>
      </c>
      <c r="I21" s="223">
        <v>30711</v>
      </c>
      <c r="J21" s="2">
        <v>1</v>
      </c>
      <c r="K21" s="2">
        <v>17</v>
      </c>
      <c r="L21" s="2">
        <v>-210</v>
      </c>
      <c r="M21" s="2">
        <v>210</v>
      </c>
      <c r="N21" s="2">
        <v>220</v>
      </c>
      <c r="O21" s="2">
        <v>220</v>
      </c>
      <c r="P21" s="1" t="s">
        <v>304</v>
      </c>
      <c r="Q21" s="2">
        <v>150</v>
      </c>
      <c r="R21" s="2">
        <v>160</v>
      </c>
      <c r="S21" s="2">
        <v>165</v>
      </c>
      <c r="T21" s="2">
        <v>165</v>
      </c>
      <c r="U21" s="2">
        <v>385</v>
      </c>
      <c r="V21" s="2">
        <v>240</v>
      </c>
      <c r="W21" s="2">
        <v>-260</v>
      </c>
      <c r="X21" s="2">
        <v>-260</v>
      </c>
      <c r="Y21" s="2">
        <v>240</v>
      </c>
      <c r="Z21" s="2">
        <v>625</v>
      </c>
      <c r="AA21" s="38">
        <v>360.31249910593033</v>
      </c>
      <c r="AB21" s="38">
        <v>360.31249910593033</v>
      </c>
      <c r="AC21" s="2">
        <v>2</v>
      </c>
      <c r="AD21" s="36" t="s">
        <v>331</v>
      </c>
    </row>
    <row r="22" spans="1:30" x14ac:dyDescent="0.2">
      <c r="A22" s="2" t="s">
        <v>25</v>
      </c>
      <c r="B22" s="37" t="s">
        <v>294</v>
      </c>
      <c r="C22" s="36" t="s">
        <v>183</v>
      </c>
      <c r="D22" s="2" t="s">
        <v>222</v>
      </c>
      <c r="E22" s="2">
        <v>73.95</v>
      </c>
      <c r="F22" s="2">
        <v>74</v>
      </c>
      <c r="G22" s="2">
        <v>2</v>
      </c>
      <c r="H22" s="2">
        <v>0.71969997882843018</v>
      </c>
      <c r="I22" s="223">
        <v>26930</v>
      </c>
      <c r="J22" s="2">
        <v>1.0429999999999999</v>
      </c>
      <c r="K22" s="2">
        <v>12</v>
      </c>
      <c r="L22" s="2">
        <v>-160</v>
      </c>
      <c r="M22" s="2">
        <v>160</v>
      </c>
      <c r="N22" s="2">
        <v>-165</v>
      </c>
      <c r="O22" s="2">
        <v>160</v>
      </c>
      <c r="P22" s="1" t="s">
        <v>295</v>
      </c>
      <c r="Q22" s="2">
        <v>105</v>
      </c>
      <c r="R22" s="2">
        <v>-112.5</v>
      </c>
      <c r="S22" s="2">
        <v>-112.5</v>
      </c>
      <c r="T22" s="2">
        <v>105</v>
      </c>
      <c r="U22" s="2">
        <v>265</v>
      </c>
      <c r="V22" s="2">
        <v>200</v>
      </c>
      <c r="W22" s="2">
        <v>220</v>
      </c>
      <c r="X22" s="2">
        <v>-227.5</v>
      </c>
      <c r="Y22" s="2">
        <v>220</v>
      </c>
      <c r="Z22" s="2">
        <v>485</v>
      </c>
      <c r="AA22" s="38">
        <v>349.05448973178864</v>
      </c>
      <c r="AB22" s="38">
        <v>364.0638327902555</v>
      </c>
      <c r="AC22" s="2">
        <v>2</v>
      </c>
      <c r="AD22" s="36" t="s">
        <v>332</v>
      </c>
    </row>
    <row r="23" spans="1:30" x14ac:dyDescent="0.2">
      <c r="A23" s="2" t="s">
        <v>25</v>
      </c>
      <c r="B23" s="37" t="s">
        <v>311</v>
      </c>
      <c r="C23" s="36" t="s">
        <v>183</v>
      </c>
      <c r="D23" s="2" t="s">
        <v>222</v>
      </c>
      <c r="E23" s="2">
        <v>81.7</v>
      </c>
      <c r="F23" s="2">
        <v>83</v>
      </c>
      <c r="G23" s="2">
        <v>32</v>
      </c>
      <c r="H23" s="2">
        <v>0.67390000820159912</v>
      </c>
      <c r="I23" s="223">
        <v>29977</v>
      </c>
      <c r="J23" s="2">
        <v>1</v>
      </c>
      <c r="K23" s="2">
        <v>16</v>
      </c>
      <c r="L23" s="2">
        <v>150</v>
      </c>
      <c r="M23" s="2">
        <v>-160</v>
      </c>
      <c r="N23" s="2">
        <v>-160</v>
      </c>
      <c r="O23" s="2">
        <v>150</v>
      </c>
      <c r="P23" s="1" t="s">
        <v>312</v>
      </c>
      <c r="Q23" s="2">
        <v>100</v>
      </c>
      <c r="R23" s="2">
        <v>110</v>
      </c>
      <c r="S23" s="2">
        <v>-115</v>
      </c>
      <c r="T23" s="2">
        <v>110</v>
      </c>
      <c r="U23" s="2">
        <v>260</v>
      </c>
      <c r="V23" s="2">
        <v>230</v>
      </c>
      <c r="W23" s="2">
        <v>245</v>
      </c>
      <c r="X23" s="2">
        <v>255</v>
      </c>
      <c r="Y23" s="2">
        <v>255</v>
      </c>
      <c r="Z23" s="2">
        <v>515</v>
      </c>
      <c r="AA23" s="38">
        <v>347.05850422382355</v>
      </c>
      <c r="AB23" s="38">
        <v>347.05850422382355</v>
      </c>
      <c r="AC23" s="2">
        <v>2</v>
      </c>
      <c r="AD23" s="36" t="s">
        <v>333</v>
      </c>
    </row>
    <row r="24" spans="1:30" x14ac:dyDescent="0.2">
      <c r="A24" s="2" t="s">
        <v>25</v>
      </c>
      <c r="B24" s="37" t="s">
        <v>298</v>
      </c>
      <c r="C24" s="36" t="s">
        <v>213</v>
      </c>
      <c r="D24" s="2" t="s">
        <v>222</v>
      </c>
      <c r="E24" s="2">
        <v>92.5</v>
      </c>
      <c r="F24" s="2">
        <v>93</v>
      </c>
      <c r="G24" s="2">
        <v>5</v>
      </c>
      <c r="H24" s="2">
        <v>0.62980002164840698</v>
      </c>
      <c r="I24" s="223">
        <v>34095</v>
      </c>
      <c r="J24" s="2">
        <v>1</v>
      </c>
      <c r="K24" s="2">
        <v>13</v>
      </c>
      <c r="L24" s="2">
        <v>180</v>
      </c>
      <c r="M24" s="2">
        <v>190</v>
      </c>
      <c r="N24" s="2">
        <v>200</v>
      </c>
      <c r="O24" s="2">
        <v>200</v>
      </c>
      <c r="P24" s="1" t="s">
        <v>299</v>
      </c>
      <c r="Q24" s="2">
        <v>-115</v>
      </c>
      <c r="R24" s="2">
        <v>120</v>
      </c>
      <c r="S24" s="2">
        <v>-125</v>
      </c>
      <c r="T24" s="2">
        <v>120</v>
      </c>
      <c r="U24" s="2">
        <v>320</v>
      </c>
      <c r="V24" s="2">
        <v>220</v>
      </c>
      <c r="W24" s="2">
        <v>225</v>
      </c>
      <c r="X24" s="2">
        <v>230</v>
      </c>
      <c r="Y24" s="2">
        <v>230</v>
      </c>
      <c r="Z24" s="2">
        <v>550</v>
      </c>
      <c r="AA24" s="38">
        <v>346.39001190662384</v>
      </c>
      <c r="AB24" s="38">
        <v>346.39001190662384</v>
      </c>
      <c r="AC24" s="2">
        <v>2</v>
      </c>
      <c r="AD24" s="36" t="s">
        <v>334</v>
      </c>
    </row>
    <row r="25" spans="1:30" x14ac:dyDescent="0.2">
      <c r="A25" s="2" t="s">
        <v>25</v>
      </c>
      <c r="B25" s="37" t="s">
        <v>257</v>
      </c>
      <c r="C25" s="36" t="s">
        <v>183</v>
      </c>
      <c r="D25" s="2" t="s">
        <v>222</v>
      </c>
      <c r="E25" s="2">
        <v>88.65</v>
      </c>
      <c r="F25" s="2">
        <v>93</v>
      </c>
      <c r="G25" s="2">
        <v>20</v>
      </c>
      <c r="H25" s="2">
        <v>0.64340001344680786</v>
      </c>
      <c r="I25" s="223">
        <v>30208</v>
      </c>
      <c r="J25" s="2">
        <v>1</v>
      </c>
      <c r="K25" s="2">
        <v>14</v>
      </c>
      <c r="L25" s="2">
        <v>160</v>
      </c>
      <c r="M25" s="2">
        <v>170</v>
      </c>
      <c r="N25" s="2">
        <v>180</v>
      </c>
      <c r="O25" s="2">
        <v>180</v>
      </c>
      <c r="P25" s="1" t="s">
        <v>304</v>
      </c>
      <c r="Q25" s="2">
        <v>120</v>
      </c>
      <c r="R25" s="2">
        <v>127.5</v>
      </c>
      <c r="S25" s="2">
        <v>135</v>
      </c>
      <c r="T25" s="2">
        <v>135</v>
      </c>
      <c r="U25" s="2">
        <v>315</v>
      </c>
      <c r="V25" s="2">
        <v>185</v>
      </c>
      <c r="W25" s="2">
        <v>215</v>
      </c>
      <c r="X25" s="2">
        <v>-230</v>
      </c>
      <c r="Y25" s="2">
        <v>215</v>
      </c>
      <c r="Z25" s="2">
        <v>530</v>
      </c>
      <c r="AA25" s="38">
        <v>341.00200712680817</v>
      </c>
      <c r="AB25" s="38">
        <v>341.00200712680817</v>
      </c>
      <c r="AC25" s="2">
        <v>2</v>
      </c>
      <c r="AD25" s="36" t="s">
        <v>335</v>
      </c>
    </row>
    <row r="26" spans="1:30" x14ac:dyDescent="0.2">
      <c r="A26" s="2" t="s">
        <v>25</v>
      </c>
      <c r="B26" s="37" t="s">
        <v>300</v>
      </c>
      <c r="C26" s="36" t="s">
        <v>183</v>
      </c>
      <c r="D26" s="2" t="s">
        <v>222</v>
      </c>
      <c r="E26" s="2">
        <v>75.599999999999994</v>
      </c>
      <c r="F26" s="2">
        <v>83</v>
      </c>
      <c r="G26" s="2">
        <v>7</v>
      </c>
      <c r="H26" s="2">
        <v>0.70859998464584351</v>
      </c>
      <c r="I26" s="223">
        <v>31369</v>
      </c>
      <c r="J26" s="2">
        <v>1</v>
      </c>
      <c r="K26" s="2">
        <v>13</v>
      </c>
      <c r="L26" s="2">
        <v>147.5</v>
      </c>
      <c r="M26" s="2">
        <v>157.5</v>
      </c>
      <c r="N26" s="2">
        <v>162.5</v>
      </c>
      <c r="O26" s="2">
        <v>162.5</v>
      </c>
      <c r="P26" s="1" t="s">
        <v>270</v>
      </c>
      <c r="Q26" s="2">
        <v>95</v>
      </c>
      <c r="R26" s="2">
        <v>100</v>
      </c>
      <c r="S26" s="2">
        <v>105</v>
      </c>
      <c r="T26" s="2">
        <v>105</v>
      </c>
      <c r="U26" s="2">
        <v>267.5</v>
      </c>
      <c r="V26" s="2">
        <v>195</v>
      </c>
      <c r="W26" s="2">
        <v>-210</v>
      </c>
      <c r="X26" s="2">
        <v>210</v>
      </c>
      <c r="Y26" s="2">
        <v>210</v>
      </c>
      <c r="Z26" s="2">
        <v>477.5</v>
      </c>
      <c r="AA26" s="38">
        <v>338.35649266839027</v>
      </c>
      <c r="AB26" s="38">
        <v>338.35649266839027</v>
      </c>
      <c r="AC26" s="2">
        <v>2</v>
      </c>
      <c r="AD26" s="36" t="s">
        <v>336</v>
      </c>
    </row>
    <row r="27" spans="1:30" x14ac:dyDescent="0.2">
      <c r="A27" s="2" t="s">
        <v>25</v>
      </c>
      <c r="B27" s="37" t="s">
        <v>310</v>
      </c>
      <c r="C27" s="36" t="s">
        <v>259</v>
      </c>
      <c r="D27" s="2" t="s">
        <v>222</v>
      </c>
      <c r="E27" s="2">
        <v>96.05</v>
      </c>
      <c r="F27" s="2">
        <v>105</v>
      </c>
      <c r="G27" s="2">
        <v>31</v>
      </c>
      <c r="H27" s="2">
        <v>0.61900001764297485</v>
      </c>
      <c r="I27" s="223">
        <v>34821</v>
      </c>
      <c r="J27" s="2">
        <v>1.01</v>
      </c>
      <c r="K27" s="2">
        <v>15</v>
      </c>
      <c r="L27" s="2">
        <v>145</v>
      </c>
      <c r="M27" s="2">
        <v>155</v>
      </c>
      <c r="N27" s="2">
        <v>170</v>
      </c>
      <c r="O27" s="2">
        <v>170</v>
      </c>
      <c r="P27" s="1" t="s">
        <v>292</v>
      </c>
      <c r="Q27" s="2">
        <v>120</v>
      </c>
      <c r="R27" s="2">
        <v>130</v>
      </c>
      <c r="S27" s="2">
        <v>140</v>
      </c>
      <c r="T27" s="2">
        <v>140</v>
      </c>
      <c r="U27" s="2">
        <v>310</v>
      </c>
      <c r="V27" s="2">
        <v>190</v>
      </c>
      <c r="W27" s="2">
        <v>210</v>
      </c>
      <c r="X27" s="2">
        <v>230</v>
      </c>
      <c r="Y27" s="2">
        <v>230</v>
      </c>
      <c r="Z27" s="2">
        <v>540</v>
      </c>
      <c r="AA27" s="38">
        <v>334.26000952720642</v>
      </c>
      <c r="AB27" s="38">
        <v>337.6026096224785</v>
      </c>
      <c r="AC27" s="2">
        <v>2</v>
      </c>
      <c r="AD27" s="36" t="s">
        <v>337</v>
      </c>
    </row>
    <row r="28" spans="1:30" x14ac:dyDescent="0.2">
      <c r="A28" s="2" t="s">
        <v>24</v>
      </c>
      <c r="B28" s="37" t="s">
        <v>293</v>
      </c>
      <c r="C28" s="36" t="s">
        <v>259</v>
      </c>
      <c r="D28" s="2" t="s">
        <v>222</v>
      </c>
      <c r="E28" s="2">
        <v>81.7</v>
      </c>
      <c r="F28" s="2">
        <v>83</v>
      </c>
      <c r="G28" s="2">
        <v>21</v>
      </c>
      <c r="H28" s="2">
        <v>0.67390000820159912</v>
      </c>
      <c r="I28" s="223">
        <v>36305</v>
      </c>
      <c r="J28" s="2">
        <v>1.06</v>
      </c>
      <c r="K28" s="2">
        <v>12</v>
      </c>
      <c r="L28" s="2">
        <v>110</v>
      </c>
      <c r="M28" s="2">
        <v>115</v>
      </c>
      <c r="N28" s="2">
        <v>125</v>
      </c>
      <c r="O28" s="2">
        <v>125</v>
      </c>
      <c r="P28" s="1" t="s">
        <v>292</v>
      </c>
      <c r="Q28" s="2">
        <v>100</v>
      </c>
      <c r="R28" s="2">
        <v>105</v>
      </c>
      <c r="S28" s="2">
        <v>110</v>
      </c>
      <c r="T28" s="2">
        <v>110</v>
      </c>
      <c r="U28" s="2">
        <v>235</v>
      </c>
      <c r="V28" s="2">
        <v>150</v>
      </c>
      <c r="W28" s="2">
        <v>180</v>
      </c>
      <c r="X28" s="2">
        <v>200</v>
      </c>
      <c r="Y28" s="2">
        <v>200</v>
      </c>
      <c r="Z28" s="2">
        <v>435</v>
      </c>
      <c r="AA28" s="38">
        <v>293.14650356769562</v>
      </c>
      <c r="AB28" s="38">
        <v>310.73529378175738</v>
      </c>
      <c r="AC28" s="2">
        <v>2</v>
      </c>
      <c r="AD28" s="36" t="s">
        <v>338</v>
      </c>
    </row>
    <row r="29" spans="1:30" x14ac:dyDescent="0.2">
      <c r="A29" s="2" t="s">
        <v>24</v>
      </c>
      <c r="B29" s="37" t="s">
        <v>291</v>
      </c>
      <c r="C29" s="36" t="s">
        <v>259</v>
      </c>
      <c r="D29" s="2" t="s">
        <v>222</v>
      </c>
      <c r="E29" s="2">
        <v>86.45</v>
      </c>
      <c r="F29" s="2">
        <v>93</v>
      </c>
      <c r="G29" s="2">
        <v>19</v>
      </c>
      <c r="H29" s="2">
        <v>0.65210002660751343</v>
      </c>
      <c r="I29" s="223">
        <v>36849</v>
      </c>
      <c r="J29" s="2">
        <v>1.08</v>
      </c>
      <c r="K29" s="2">
        <v>14</v>
      </c>
      <c r="L29" s="2">
        <v>90</v>
      </c>
      <c r="M29" s="2">
        <v>-100</v>
      </c>
      <c r="N29" s="2">
        <v>100</v>
      </c>
      <c r="O29" s="2">
        <v>100</v>
      </c>
      <c r="P29" s="1" t="s">
        <v>292</v>
      </c>
      <c r="Q29" s="2">
        <v>60</v>
      </c>
      <c r="R29" s="2">
        <v>70</v>
      </c>
      <c r="S29" s="2">
        <v>75</v>
      </c>
      <c r="T29" s="2">
        <v>75</v>
      </c>
      <c r="U29" s="2">
        <v>175</v>
      </c>
      <c r="V29" s="2">
        <v>100</v>
      </c>
      <c r="W29" s="2">
        <v>120</v>
      </c>
      <c r="X29" s="2">
        <v>140</v>
      </c>
      <c r="Y29" s="2">
        <v>140</v>
      </c>
      <c r="Z29" s="2">
        <v>315</v>
      </c>
      <c r="AA29" s="38">
        <v>205.41150838136673</v>
      </c>
      <c r="AB29" s="38">
        <v>221.84442905187609</v>
      </c>
      <c r="AC29" s="2">
        <v>2</v>
      </c>
      <c r="AD29" s="36" t="s">
        <v>339</v>
      </c>
    </row>
    <row r="31" spans="1:30" s="189" customFormat="1" ht="25.5" x14ac:dyDescent="0.2">
      <c r="A31" s="190" t="s">
        <v>60</v>
      </c>
      <c r="B31" s="191" t="s">
        <v>340</v>
      </c>
      <c r="C31" s="192" t="s">
        <v>41</v>
      </c>
      <c r="D31" s="193" t="s">
        <v>2</v>
      </c>
      <c r="E31" s="193" t="str">
        <f>Lifting!$E$7</f>
        <v>Bwt (kg)</v>
      </c>
      <c r="F31" s="193" t="str">
        <f>IF(E31="Bwt (lb)","WtCls (lb)","WtCls (kg)")</f>
        <v>WtCls (kg)</v>
      </c>
      <c r="G31" s="193" t="s">
        <v>1</v>
      </c>
      <c r="H31" s="193" t="s">
        <v>5</v>
      </c>
      <c r="I31" s="222" t="s">
        <v>187</v>
      </c>
      <c r="J31" s="193" t="s">
        <v>4</v>
      </c>
      <c r="K31" s="193" t="s">
        <v>8</v>
      </c>
      <c r="L31" s="193" t="s">
        <v>9</v>
      </c>
      <c r="M31" s="193" t="s">
        <v>10</v>
      </c>
      <c r="N31" s="193" t="s">
        <v>11</v>
      </c>
      <c r="O31" s="193" t="s">
        <v>12</v>
      </c>
      <c r="P31" s="193" t="s">
        <v>13</v>
      </c>
      <c r="Q31" s="193" t="s">
        <v>14</v>
      </c>
      <c r="R31" s="193" t="s">
        <v>15</v>
      </c>
      <c r="S31" s="193" t="s">
        <v>16</v>
      </c>
      <c r="T31" s="193" t="s">
        <v>21</v>
      </c>
      <c r="U31" s="193" t="s">
        <v>17</v>
      </c>
      <c r="V31" s="193" t="s">
        <v>18</v>
      </c>
      <c r="W31" s="193" t="s">
        <v>19</v>
      </c>
      <c r="X31" s="193" t="s">
        <v>20</v>
      </c>
      <c r="Y31" s="193" t="s">
        <v>22</v>
      </c>
      <c r="Z31" s="194" t="s">
        <v>21</v>
      </c>
      <c r="AA31" s="194" t="s">
        <v>186</v>
      </c>
      <c r="AB31" s="194" t="s">
        <v>185</v>
      </c>
      <c r="AC31" s="193" t="s">
        <v>26</v>
      </c>
      <c r="AD31" s="193" t="s">
        <v>134</v>
      </c>
    </row>
    <row r="32" spans="1:30" x14ac:dyDescent="0.2">
      <c r="A32" s="2" t="s">
        <v>23</v>
      </c>
      <c r="B32" s="37" t="s">
        <v>268</v>
      </c>
      <c r="C32" s="36" t="s">
        <v>183</v>
      </c>
      <c r="D32" s="2" t="s">
        <v>223</v>
      </c>
      <c r="E32" s="2">
        <v>63.3</v>
      </c>
      <c r="F32" s="2">
        <v>72</v>
      </c>
      <c r="G32" s="2">
        <v>13</v>
      </c>
      <c r="H32" s="2">
        <v>1.070099949836731</v>
      </c>
      <c r="I32" s="223">
        <v>31989</v>
      </c>
      <c r="J32" s="2">
        <v>1</v>
      </c>
      <c r="P32" s="1" t="s">
        <v>269</v>
      </c>
      <c r="Q32" s="2">
        <v>80</v>
      </c>
      <c r="R32" s="2">
        <v>87.5</v>
      </c>
      <c r="S32" s="2">
        <v>92.5</v>
      </c>
      <c r="T32" s="2">
        <v>92.5</v>
      </c>
      <c r="Z32" s="2">
        <v>92.5</v>
      </c>
      <c r="AA32" s="38">
        <v>98.984245359897614</v>
      </c>
      <c r="AB32" s="38">
        <v>98.984245359897614</v>
      </c>
      <c r="AC32" s="2">
        <v>2</v>
      </c>
      <c r="AD32" s="36" t="s">
        <v>341</v>
      </c>
    </row>
    <row r="33" spans="1:30" x14ac:dyDescent="0.2">
      <c r="A33" s="2" t="s">
        <v>23</v>
      </c>
      <c r="B33" s="37" t="s">
        <v>264</v>
      </c>
      <c r="C33" s="36" t="s">
        <v>183</v>
      </c>
      <c r="D33" s="2" t="s">
        <v>223</v>
      </c>
      <c r="E33" s="2">
        <v>78.849999999999994</v>
      </c>
      <c r="F33" s="2">
        <v>84</v>
      </c>
      <c r="G33" s="2">
        <v>8</v>
      </c>
      <c r="H33" s="2">
        <v>0.92250001430511475</v>
      </c>
      <c r="I33" s="223">
        <v>34974</v>
      </c>
      <c r="J33" s="2">
        <v>1.01</v>
      </c>
      <c r="P33" s="1" t="s">
        <v>265</v>
      </c>
      <c r="Q33" s="2">
        <v>85</v>
      </c>
      <c r="R33" s="2">
        <v>90</v>
      </c>
      <c r="S33" s="2">
        <v>92.5</v>
      </c>
      <c r="T33" s="2">
        <v>92.5</v>
      </c>
      <c r="Z33" s="2">
        <v>92.5</v>
      </c>
      <c r="AA33" s="38">
        <v>85.331251323223114</v>
      </c>
      <c r="AB33" s="38">
        <v>86.184563836455339</v>
      </c>
      <c r="AC33" s="2">
        <v>2</v>
      </c>
      <c r="AD33" s="36" t="s">
        <v>342</v>
      </c>
    </row>
    <row r="34" spans="1:30" x14ac:dyDescent="0.2">
      <c r="A34" s="2" t="s">
        <v>23</v>
      </c>
      <c r="B34" s="37" t="s">
        <v>271</v>
      </c>
      <c r="C34" s="36" t="s">
        <v>183</v>
      </c>
      <c r="D34" s="2" t="s">
        <v>223</v>
      </c>
      <c r="E34" s="2">
        <v>83.85</v>
      </c>
      <c r="F34" s="2">
        <v>84</v>
      </c>
      <c r="G34" s="2">
        <v>27</v>
      </c>
      <c r="H34" s="2">
        <v>0.89249998331069946</v>
      </c>
      <c r="I34" s="223">
        <v>29773</v>
      </c>
      <c r="J34" s="2">
        <v>1</v>
      </c>
      <c r="P34" s="1" t="s">
        <v>272</v>
      </c>
      <c r="Q34" s="2">
        <v>85</v>
      </c>
      <c r="R34" s="2">
        <v>90</v>
      </c>
      <c r="S34" s="2">
        <v>95</v>
      </c>
      <c r="T34" s="2">
        <v>95</v>
      </c>
      <c r="Z34" s="2">
        <v>95</v>
      </c>
      <c r="AA34" s="38">
        <v>84.787498414516449</v>
      </c>
      <c r="AB34" s="38">
        <v>84.787498414516449</v>
      </c>
      <c r="AC34" s="2">
        <v>2</v>
      </c>
      <c r="AD34" s="36" t="s">
        <v>343</v>
      </c>
    </row>
    <row r="35" spans="1:30" x14ac:dyDescent="0.2">
      <c r="A35" s="2" t="s">
        <v>23</v>
      </c>
      <c r="B35" s="37" t="s">
        <v>266</v>
      </c>
      <c r="C35" s="36" t="s">
        <v>261</v>
      </c>
      <c r="D35" s="2" t="s">
        <v>223</v>
      </c>
      <c r="E35" s="2">
        <v>79.150000000000006</v>
      </c>
      <c r="F35" s="2">
        <v>84</v>
      </c>
      <c r="G35" s="2">
        <v>9</v>
      </c>
      <c r="H35" s="2">
        <v>0.92049998044967651</v>
      </c>
      <c r="I35" s="223">
        <v>33618</v>
      </c>
      <c r="J35" s="2">
        <v>1</v>
      </c>
      <c r="P35" s="1" t="s">
        <v>267</v>
      </c>
      <c r="Q35" s="2">
        <v>85</v>
      </c>
      <c r="R35" s="2">
        <v>90</v>
      </c>
      <c r="S35" s="2">
        <v>-92.5</v>
      </c>
      <c r="T35" s="2">
        <v>90</v>
      </c>
      <c r="Z35" s="2">
        <v>90</v>
      </c>
      <c r="AA35" s="38">
        <v>82.844998240470886</v>
      </c>
      <c r="AB35" s="38">
        <v>82.844998240470886</v>
      </c>
      <c r="AC35" s="2">
        <v>2</v>
      </c>
      <c r="AD35" s="36" t="s">
        <v>344</v>
      </c>
    </row>
    <row r="36" spans="1:30" x14ac:dyDescent="0.2">
      <c r="A36" s="2" t="s">
        <v>23</v>
      </c>
      <c r="B36" s="37" t="s">
        <v>254</v>
      </c>
      <c r="C36" s="36" t="s">
        <v>183</v>
      </c>
      <c r="D36" s="2" t="s">
        <v>223</v>
      </c>
      <c r="E36" s="2">
        <v>85.4</v>
      </c>
      <c r="F36" s="2" t="s">
        <v>167</v>
      </c>
      <c r="G36" s="2">
        <v>16</v>
      </c>
      <c r="H36" s="2">
        <v>0.88459998369216919</v>
      </c>
      <c r="I36" s="223">
        <v>31780</v>
      </c>
      <c r="J36" s="2">
        <v>1</v>
      </c>
      <c r="P36" s="1" t="s">
        <v>270</v>
      </c>
      <c r="Q36" s="2">
        <v>60</v>
      </c>
      <c r="R36" s="2">
        <v>65</v>
      </c>
      <c r="S36" s="2">
        <v>-70</v>
      </c>
      <c r="T36" s="2">
        <v>65</v>
      </c>
      <c r="Z36" s="2">
        <v>65</v>
      </c>
      <c r="AA36" s="38">
        <v>57.498998939990997</v>
      </c>
      <c r="AB36" s="38">
        <v>57.498998939990997</v>
      </c>
      <c r="AC36" s="2">
        <v>2</v>
      </c>
      <c r="AD36" s="36" t="s">
        <v>345</v>
      </c>
    </row>
    <row r="37" spans="1:30" x14ac:dyDescent="0.2">
      <c r="A37" s="2" t="s">
        <v>23</v>
      </c>
      <c r="B37" s="37" t="s">
        <v>273</v>
      </c>
      <c r="C37" s="36" t="s">
        <v>259</v>
      </c>
      <c r="D37" s="2" t="s">
        <v>223</v>
      </c>
      <c r="E37" s="2">
        <v>62.35</v>
      </c>
      <c r="F37" s="2">
        <v>63</v>
      </c>
      <c r="G37" s="2">
        <v>34</v>
      </c>
      <c r="H37" s="2">
        <v>1.0823999643325806</v>
      </c>
      <c r="I37" s="223">
        <v>25080</v>
      </c>
      <c r="J37" s="2">
        <v>1.113</v>
      </c>
      <c r="P37" s="1" t="s">
        <v>274</v>
      </c>
      <c r="Q37" s="2">
        <v>47.5</v>
      </c>
      <c r="R37" s="2">
        <v>50</v>
      </c>
      <c r="S37" s="2">
        <v>-52.5</v>
      </c>
      <c r="T37" s="2">
        <v>50</v>
      </c>
      <c r="Z37" s="2">
        <v>50</v>
      </c>
      <c r="AA37" s="38">
        <v>54.119998216629028</v>
      </c>
      <c r="AB37" s="38">
        <v>60.235558015108111</v>
      </c>
      <c r="AC37" s="2">
        <v>2</v>
      </c>
      <c r="AD37" s="36" t="s">
        <v>346</v>
      </c>
    </row>
    <row r="38" spans="1:30" x14ac:dyDescent="0.2">
      <c r="A38" s="2" t="s">
        <v>23</v>
      </c>
      <c r="B38" s="37" t="s">
        <v>275</v>
      </c>
      <c r="C38" s="36" t="s">
        <v>261</v>
      </c>
      <c r="D38" s="2" t="s">
        <v>222</v>
      </c>
      <c r="E38" s="2">
        <v>92.2</v>
      </c>
      <c r="F38" s="2">
        <v>93</v>
      </c>
      <c r="G38" s="2">
        <v>4</v>
      </c>
      <c r="H38" s="2">
        <v>0.63080000877380371</v>
      </c>
      <c r="I38" s="223">
        <v>34130</v>
      </c>
      <c r="J38" s="2">
        <v>1</v>
      </c>
      <c r="P38" s="1" t="s">
        <v>276</v>
      </c>
      <c r="Q38" s="2">
        <v>130</v>
      </c>
      <c r="R38" s="2">
        <v>135</v>
      </c>
      <c r="S38" s="2">
        <v>140</v>
      </c>
      <c r="T38" s="2">
        <v>140</v>
      </c>
      <c r="Z38" s="2">
        <v>140</v>
      </c>
      <c r="AA38" s="38">
        <v>88.31200122833252</v>
      </c>
      <c r="AB38" s="38">
        <v>88.31200122833252</v>
      </c>
      <c r="AC38" s="2">
        <v>2</v>
      </c>
      <c r="AD38" s="36" t="s">
        <v>347</v>
      </c>
    </row>
    <row r="39" spans="1:30" x14ac:dyDescent="0.2">
      <c r="A39" s="2" t="s">
        <v>23</v>
      </c>
      <c r="B39" s="37" t="s">
        <v>277</v>
      </c>
      <c r="C39" s="36" t="s">
        <v>183</v>
      </c>
      <c r="D39" s="2" t="s">
        <v>222</v>
      </c>
      <c r="E39" s="2">
        <v>79.7</v>
      </c>
      <c r="F39" s="2">
        <v>83</v>
      </c>
      <c r="G39" s="2">
        <v>29</v>
      </c>
      <c r="H39" s="2">
        <v>0.6843000054359436</v>
      </c>
      <c r="I39" s="223">
        <v>30579</v>
      </c>
      <c r="J39" s="2">
        <v>1</v>
      </c>
      <c r="P39" s="1" t="s">
        <v>278</v>
      </c>
      <c r="Q39" s="2">
        <v>115</v>
      </c>
      <c r="R39" s="2">
        <v>120</v>
      </c>
      <c r="S39" s="2">
        <v>125</v>
      </c>
      <c r="T39" s="2">
        <v>125</v>
      </c>
      <c r="Z39" s="2">
        <v>125</v>
      </c>
      <c r="AA39" s="38">
        <v>85.53750067949295</v>
      </c>
      <c r="AB39" s="38">
        <v>85.53750067949295</v>
      </c>
      <c r="AC39" s="2">
        <v>2</v>
      </c>
      <c r="AD39" s="36" t="s">
        <v>348</v>
      </c>
    </row>
  </sheetData>
  <mergeCells count="2">
    <mergeCell ref="C1:AD2"/>
    <mergeCell ref="A1:B2"/>
  </mergeCells>
  <phoneticPr fontId="14" type="noConversion"/>
  <conditionalFormatting sqref="Y3">
    <cfRule type="expression" dxfId="13" priority="72" stopIfTrue="1">
      <formula>AND(COLUMN(Y3)=#REF!)</formula>
    </cfRule>
  </conditionalFormatting>
  <conditionalFormatting sqref="Z4:Z30 Z32:Z64428">
    <cfRule type="expression" dxfId="12" priority="73" stopIfTrue="1">
      <formula>AND(AC4=1)</formula>
    </cfRule>
  </conditionalFormatting>
  <conditionalFormatting sqref="AA4:AA30 AA32:AA64428">
    <cfRule type="expression" dxfId="11" priority="74" stopIfTrue="1">
      <formula>AND($AC4=2)</formula>
    </cfRule>
  </conditionalFormatting>
  <conditionalFormatting sqref="AB4:AB30 AB32:AB64428">
    <cfRule type="expression" dxfId="10" priority="75" stopIfTrue="1">
      <formula>AND(AC4=3)</formula>
    </cfRule>
  </conditionalFormatting>
  <conditionalFormatting sqref="L1:X30 L32:X1048576">
    <cfRule type="cellIs" dxfId="9" priority="76" stopIfTrue="1" operator="lessThan">
      <formula>0</formula>
    </cfRule>
  </conditionalFormatting>
  <conditionalFormatting sqref="Y31">
    <cfRule type="expression" dxfId="8" priority="1" stopIfTrue="1">
      <formula>AND(COLUMN(Y31)=#REF!)</formula>
    </cfRule>
  </conditionalFormatting>
  <conditionalFormatting sqref="L31:X31">
    <cfRule type="cellIs" dxfId="7" priority="2" stopIfTrue="1" operator="lessThan">
      <formula>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8" fitToHeight="0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topLeftCell="B2" workbookViewId="0"/>
  </sheetViews>
  <sheetFormatPr defaultRowHeight="12.75" x14ac:dyDescent="0.2"/>
  <cols>
    <col min="1" max="1" width="9.140625" style="2" hidden="1" customWidth="1"/>
    <col min="2" max="2" width="9.140625" style="39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0" customWidth="1"/>
    <col min="9" max="11" width="6.140625" style="39" customWidth="1"/>
    <col min="14" max="14" width="9.140625" style="39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39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0">
        <f>IF(Setup!M3="Kg",Setup!K14,Setup!H14)</f>
        <v>2</v>
      </c>
      <c r="I1" s="39">
        <f>IF(Setup!M3="Kg",Setup!K15,Setup!H15)</f>
        <v>2</v>
      </c>
      <c r="J1" s="39">
        <f>IF(Setup!M3="Kg",Setup!K16,Setup!H16)</f>
        <v>2</v>
      </c>
      <c r="K1" s="39">
        <f>IF(Setup!M3="Kg",Setup!K17,Setup!H17)</f>
        <v>2</v>
      </c>
      <c r="L1">
        <v>1</v>
      </c>
      <c r="M1">
        <v>1</v>
      </c>
      <c r="N1" s="39">
        <v>1</v>
      </c>
      <c r="O1" s="39">
        <f t="shared" ref="O1:W1" si="0">D1</f>
        <v>0</v>
      </c>
      <c r="P1" s="39">
        <f t="shared" si="0"/>
        <v>14</v>
      </c>
      <c r="Q1" s="39">
        <f t="shared" si="0"/>
        <v>2</v>
      </c>
      <c r="R1" s="39">
        <f t="shared" si="0"/>
        <v>2</v>
      </c>
      <c r="S1" s="39">
        <f t="shared" si="0"/>
        <v>2</v>
      </c>
      <c r="T1" s="39">
        <f t="shared" si="0"/>
        <v>2</v>
      </c>
      <c r="U1" s="39">
        <f t="shared" si="0"/>
        <v>2</v>
      </c>
      <c r="V1" s="39">
        <f t="shared" si="0"/>
        <v>2</v>
      </c>
      <c r="W1" s="39">
        <f t="shared" si="0"/>
        <v>1</v>
      </c>
    </row>
    <row r="2" spans="1:23" s="49" customFormat="1" ht="18.75" customHeight="1" thickBot="1" x14ac:dyDescent="0.25">
      <c r="A2" s="41">
        <v>0</v>
      </c>
      <c r="B2" s="42" t="str">
        <f>Setup!M3</f>
        <v>Kg</v>
      </c>
      <c r="C2" s="43">
        <v>110</v>
      </c>
      <c r="D2" s="44">
        <f>IF(Setup!M3="Kg",Setup!L10,Setup!I10)</f>
        <v>45</v>
      </c>
      <c r="E2" s="45">
        <f>IF(Setup!M3="Kg",Setup!L11,Setup!I11)</f>
        <v>25</v>
      </c>
      <c r="F2" s="46">
        <f>IF(Setup!M3="Kg",Setup!L12,Setup!I12)</f>
        <v>20</v>
      </c>
      <c r="G2" s="47">
        <f>IF(Setup!M3="Kg",Setup!L13,Setup!I13)</f>
        <v>15</v>
      </c>
      <c r="H2" s="48">
        <f>IF(Setup!M3="Kg",Setup!L14,Setup!I14)</f>
        <v>10</v>
      </c>
      <c r="I2" s="42">
        <f>IF(Setup!M3="Kg",Setup!L15,Setup!I15)</f>
        <v>5</v>
      </c>
      <c r="J2" s="42">
        <f>IF(Setup!M3="Kg",Setup!L16,Setup!I16)</f>
        <v>2.5</v>
      </c>
      <c r="K2" s="42">
        <f>IF(Setup!M3="Kg",Setup!L17,Setup!I17)</f>
        <v>1.25</v>
      </c>
      <c r="N2" s="42" t="str">
        <f t="shared" ref="N2:W4" si="1">B2</f>
        <v>Kg</v>
      </c>
      <c r="O2" s="42">
        <f t="shared" si="1"/>
        <v>110</v>
      </c>
      <c r="P2" s="42">
        <f t="shared" si="1"/>
        <v>45</v>
      </c>
      <c r="Q2" s="42">
        <f t="shared" si="1"/>
        <v>25</v>
      </c>
      <c r="R2" s="42">
        <f t="shared" si="1"/>
        <v>20</v>
      </c>
      <c r="S2" s="42">
        <f t="shared" si="1"/>
        <v>15</v>
      </c>
      <c r="T2" s="42">
        <f t="shared" si="1"/>
        <v>10</v>
      </c>
      <c r="U2" s="42">
        <f t="shared" si="1"/>
        <v>5</v>
      </c>
      <c r="V2" s="42">
        <f t="shared" si="1"/>
        <v>2.5</v>
      </c>
      <c r="W2" s="42">
        <f t="shared" si="1"/>
        <v>1.25</v>
      </c>
    </row>
    <row r="3" spans="1:23" s="58" customFormat="1" x14ac:dyDescent="0.2">
      <c r="A3" s="50">
        <f>IF($B$2="Kg",B3-25,B3-55)</f>
        <v>0</v>
      </c>
      <c r="B3" s="51">
        <f>IF(B2="Kg",25,55)</f>
        <v>25</v>
      </c>
      <c r="C3" s="52">
        <f>IF($C$1=0,0,MAX(C1/2,INT(A3/(2*C2))))</f>
        <v>0</v>
      </c>
      <c r="D3" s="53">
        <f>IF($D$1=0,0,MIN(INT((A3-2*$C$2*C3)/(2*$D$2)),$D$1/2))</f>
        <v>0</v>
      </c>
      <c r="E3" s="54">
        <f>IF($E$1=0,0,MIN(INT((A3-2*$C$2*C3-2*$D$2*D3)/(2*$E$2)),$E$1/2))</f>
        <v>0</v>
      </c>
      <c r="F3" s="55">
        <f>IF($F$1=0,0,MIN(INT((A3-2*$C$2*C3-2*$D$2*D3-2*$E$2*E3)/(2*$F$2)),$F$1/2))</f>
        <v>0</v>
      </c>
      <c r="G3" s="56">
        <f>IF($G$1=0,0,MIN(INT((A3-2*$C$2*C3-2*$D$2*D3-2*$E$2*E3-2*$F$2*F3)/(2*$G$2)),$G$1/2))</f>
        <v>0</v>
      </c>
      <c r="H3" s="57">
        <f>IF($H$1=0,0,MIN(INT((A3-2*$C$2*C3-2*$D$2*D3-2*$E$2*E3-2*$F$2*F3-2*$G$2*G3)/(2*$H$2)),$H$1/2))</f>
        <v>0</v>
      </c>
      <c r="I3" s="51">
        <f>IF($I$1=0,0,MIN(INT((A3-2*$C$2*C3-2*$D$2*D3-2*$E$2*E3-2*$F$2*F3-2*$G$2*G3-2*$H$2*H3)/(2*$I$2)),$I$1/2))</f>
        <v>0</v>
      </c>
      <c r="J3" s="51">
        <f>IF($J$1=0,0,MIN(INT((A3-2*$C$2*C3-2*$D$2*D3-2*$E$2*E3-2*$F$2*F3-2*$G$2*G3-2*$H$2*H3-2*$I$2*I3)/(2*$J$2)),$J$1/2))</f>
        <v>0</v>
      </c>
      <c r="K3" s="51">
        <f>IF($K$1=0,0,MIN(INT((A3-2*$C$2*C3-2*$D$2*D3-2*$E$2*E3-2*$F$2*F3-2*$G$2*G3-2*$H$2*H3-2*$I$2*I3-2*$J$2*J3)/(2*$K$2)),$K$1/2))</f>
        <v>0</v>
      </c>
      <c r="N3" s="59">
        <f t="shared" si="1"/>
        <v>25</v>
      </c>
      <c r="O3" s="60">
        <f t="shared" si="1"/>
        <v>0</v>
      </c>
      <c r="P3" s="60">
        <f t="shared" si="1"/>
        <v>0</v>
      </c>
      <c r="Q3" s="60">
        <f t="shared" si="1"/>
        <v>0</v>
      </c>
      <c r="R3" s="60">
        <f t="shared" si="1"/>
        <v>0</v>
      </c>
      <c r="S3" s="60">
        <f t="shared" si="1"/>
        <v>0</v>
      </c>
      <c r="T3" s="60">
        <f t="shared" si="1"/>
        <v>0</v>
      </c>
      <c r="U3" s="60">
        <f t="shared" si="1"/>
        <v>0</v>
      </c>
      <c r="V3" s="60">
        <f t="shared" si="1"/>
        <v>0</v>
      </c>
      <c r="W3" s="60">
        <f t="shared" si="1"/>
        <v>0</v>
      </c>
    </row>
    <row r="4" spans="1:23" s="58" customFormat="1" x14ac:dyDescent="0.2">
      <c r="A4" s="50">
        <f>IF($B$2="Kg",B4-25,B4-55)</f>
        <v>2.5</v>
      </c>
      <c r="B4" s="51">
        <f>IF($B$2="Kg",B3+2.5,B3+5)</f>
        <v>27.5</v>
      </c>
      <c r="C4" s="52">
        <f>IF($C$1=0,0,MAX(C2/2,INT(A4/(2*C3))))</f>
        <v>0</v>
      </c>
      <c r="D4" s="53">
        <f>IF($D$1=0,0,MIN(INT((A4-2*$C$2*C4)/(2*$D$2)),$D$1/2))</f>
        <v>0</v>
      </c>
      <c r="E4" s="54">
        <f>IF($E$1=0,0,MIN(INT((A4-2*$C$2*C4-2*$D$2*D4)/(2*$E$2)),$E$1/2))</f>
        <v>0</v>
      </c>
      <c r="F4" s="55">
        <f>IF($F$1=0,0,MIN(INT((A4-2*$C$2*C4-2*$D$2*D4-2*$E$2*E4)/(2*$F$2)),$F$1/2))</f>
        <v>0</v>
      </c>
      <c r="G4" s="56">
        <f>IF($G$1=0,0,MIN(INT((A4-2*$C$2*C4-2*$D$2*D4-2*$E$2*E4-2*$F$2*F4)/(2*$G$2)),$G$1/2))</f>
        <v>0</v>
      </c>
      <c r="H4" s="57">
        <f>IF($H$1=0,0,MIN(INT((A4-2*$C$2*C4-2*$D$2*D4-2*$E$2*E4-2*$F$2*F4-2*$G$2*G4)/(2*$H$2)),$H$1/2))</f>
        <v>0</v>
      </c>
      <c r="I4" s="51">
        <f>IF($I$1=0,0,MIN(INT((A4-2*$C$2*C4-2*$D$2*D4-2*$E$2*E4-2*$F$2*F4-2*$G$2*G4-2*$H$2*H4)/(2*$I$2)),$I$1/2))</f>
        <v>0</v>
      </c>
      <c r="J4" s="51">
        <f>IF($J$1=0,0,MIN(INT((A4-2*$C$2*C4-2*$D$2*D4-2*$E$2*E4-2*$F$2*F4-2*$G$2*G4-2*$H$2*H4-2*$I$2*I4)/(2*$J$2)),$J$1/2))</f>
        <v>0</v>
      </c>
      <c r="K4" s="51">
        <f>IF($K$1=0,0,MIN(INT((A4-2*$C$2*C4-2*$D$2*D4-2*$E$2*E4-2*$F$2*F4-2*$G$2*G4-2*$H$2*H4-2*$I$2*I4-2*$J$2*J4)/(2*$K$2)),$K$1/2))</f>
        <v>1</v>
      </c>
      <c r="N4" s="59">
        <f t="shared" si="1"/>
        <v>27.5</v>
      </c>
      <c r="O4" s="60">
        <f t="shared" si="1"/>
        <v>0</v>
      </c>
      <c r="P4" s="60">
        <f t="shared" si="1"/>
        <v>0</v>
      </c>
      <c r="Q4" s="60">
        <f t="shared" si="1"/>
        <v>0</v>
      </c>
      <c r="R4" s="60">
        <f t="shared" si="1"/>
        <v>0</v>
      </c>
      <c r="S4" s="60">
        <f t="shared" si="1"/>
        <v>0</v>
      </c>
      <c r="T4" s="60">
        <f t="shared" si="1"/>
        <v>0</v>
      </c>
      <c r="U4" s="60">
        <f t="shared" si="1"/>
        <v>0</v>
      </c>
      <c r="V4" s="60">
        <f t="shared" si="1"/>
        <v>0</v>
      </c>
      <c r="W4" s="60">
        <f t="shared" si="1"/>
        <v>1</v>
      </c>
    </row>
    <row r="5" spans="1:23" s="58" customFormat="1" x14ac:dyDescent="0.2">
      <c r="A5" s="50">
        <f t="shared" ref="A5:A68" si="2">IF($B$2="Kg",B5-25,B5-55)</f>
        <v>5</v>
      </c>
      <c r="B5" s="51">
        <f t="shared" ref="B5:B68" si="3">IF($B$2="Kg",B4+2.5,B4+5)</f>
        <v>30</v>
      </c>
      <c r="C5" s="52">
        <f t="shared" ref="C5:C68" si="4">IF($C$1=0,0,MAX(C3/2,INT(A5/(2*C4))))</f>
        <v>0</v>
      </c>
      <c r="D5" s="53">
        <f t="shared" ref="D5:D68" si="5">IF($D$1=0,0,MIN(INT((A5-2*$C$2*C5)/(2*$D$2)),$D$1/2))</f>
        <v>0</v>
      </c>
      <c r="E5" s="54">
        <f t="shared" ref="E5:E68" si="6">IF($E$1=0,0,MIN(INT((A5-2*$C$2*C5-2*$D$2*D5)/(2*$E$2)),$E$1/2))</f>
        <v>0</v>
      </c>
      <c r="F5" s="55">
        <f t="shared" ref="F5:F68" si="7">IF($F$1=0,0,MIN(INT((A5-2*$C$2*C5-2*$D$2*D5-2*$E$2*E5)/(2*$F$2)),$F$1/2))</f>
        <v>0</v>
      </c>
      <c r="G5" s="56">
        <f t="shared" ref="G5:G68" si="8">IF($G$1=0,0,MIN(INT((A5-2*$C$2*C5-2*$D$2*D5-2*$E$2*E5-2*$F$2*F5)/(2*$G$2)),$G$1/2))</f>
        <v>0</v>
      </c>
      <c r="H5" s="57">
        <f t="shared" ref="H5:H68" si="9">IF($H$1=0,0,MIN(INT((A5-2*$C$2*C5-2*$D$2*D5-2*$E$2*E5-2*$F$2*F5-2*$G$2*G5)/(2*$H$2)),$H$1/2))</f>
        <v>0</v>
      </c>
      <c r="I5" s="51">
        <f t="shared" ref="I5:I68" si="10">IF($I$1=0,0,MIN(INT((A5-2*$C$2*C5-2*$D$2*D5-2*$E$2*E5-2*$F$2*F5-2*$G$2*G5-2*$H$2*H5)/(2*$I$2)),$I$1/2))</f>
        <v>0</v>
      </c>
      <c r="J5" s="51">
        <f t="shared" ref="J5:J68" si="11">IF($J$1=0,0,MIN(INT((A5-2*$C$2*C5-2*$D$2*D5-2*$E$2*E5-2*$F$2*F5-2*$G$2*G5-2*$H$2*H5-2*$I$2*I5)/(2*$J$2)),$J$1/2))</f>
        <v>1</v>
      </c>
      <c r="K5" s="51">
        <f t="shared" ref="K5:K68" si="12">IF($K$1=0,0,MIN(INT((A5-2*$C$2*C5-2*$D$2*D5-2*$E$2*E5-2*$F$2*F5-2*$G$2*G5-2*$H$2*H5-2*$I$2*I5-2*$J$2*J5)/(2*$K$2)),$K$1/2))</f>
        <v>0</v>
      </c>
      <c r="N5" s="59">
        <f t="shared" ref="N5:N68" si="13">B5</f>
        <v>30</v>
      </c>
      <c r="O5" s="60">
        <f t="shared" ref="O5:O68" si="14">C5</f>
        <v>0</v>
      </c>
      <c r="P5" s="60">
        <f t="shared" ref="P5:P68" si="15">D5</f>
        <v>0</v>
      </c>
      <c r="Q5" s="60">
        <f t="shared" ref="Q5:Q68" si="16">E5</f>
        <v>0</v>
      </c>
      <c r="R5" s="60">
        <f t="shared" ref="R5:R68" si="17">F5</f>
        <v>0</v>
      </c>
      <c r="S5" s="60">
        <f t="shared" ref="S5:S68" si="18">G5</f>
        <v>0</v>
      </c>
      <c r="T5" s="60">
        <f t="shared" ref="T5:T68" si="19">H5</f>
        <v>0</v>
      </c>
      <c r="U5" s="60">
        <f t="shared" ref="U5:U68" si="20">I5</f>
        <v>0</v>
      </c>
      <c r="V5" s="60">
        <f t="shared" ref="V5:V68" si="21">J5</f>
        <v>1</v>
      </c>
      <c r="W5" s="60">
        <f t="shared" ref="W5:W68" si="22">K5</f>
        <v>0</v>
      </c>
    </row>
    <row r="6" spans="1:23" s="58" customFormat="1" x14ac:dyDescent="0.2">
      <c r="A6" s="50">
        <f t="shared" si="2"/>
        <v>7.5</v>
      </c>
      <c r="B6" s="51">
        <f t="shared" si="3"/>
        <v>32.5</v>
      </c>
      <c r="C6" s="52">
        <f t="shared" si="4"/>
        <v>0</v>
      </c>
      <c r="D6" s="53">
        <f t="shared" si="5"/>
        <v>0</v>
      </c>
      <c r="E6" s="54">
        <f t="shared" si="6"/>
        <v>0</v>
      </c>
      <c r="F6" s="55">
        <f t="shared" si="7"/>
        <v>0</v>
      </c>
      <c r="G6" s="56">
        <f t="shared" si="8"/>
        <v>0</v>
      </c>
      <c r="H6" s="57">
        <f t="shared" si="9"/>
        <v>0</v>
      </c>
      <c r="I6" s="51">
        <f t="shared" si="10"/>
        <v>0</v>
      </c>
      <c r="J6" s="51">
        <f t="shared" si="11"/>
        <v>1</v>
      </c>
      <c r="K6" s="51">
        <f t="shared" si="12"/>
        <v>1</v>
      </c>
      <c r="N6" s="59">
        <f t="shared" si="13"/>
        <v>32.5</v>
      </c>
      <c r="O6" s="60">
        <f t="shared" si="14"/>
        <v>0</v>
      </c>
      <c r="P6" s="60">
        <f t="shared" si="15"/>
        <v>0</v>
      </c>
      <c r="Q6" s="60">
        <f t="shared" si="16"/>
        <v>0</v>
      </c>
      <c r="R6" s="60">
        <f t="shared" si="17"/>
        <v>0</v>
      </c>
      <c r="S6" s="60">
        <f t="shared" si="18"/>
        <v>0</v>
      </c>
      <c r="T6" s="60">
        <f t="shared" si="19"/>
        <v>0</v>
      </c>
      <c r="U6" s="60">
        <f t="shared" si="20"/>
        <v>0</v>
      </c>
      <c r="V6" s="60">
        <f t="shared" si="21"/>
        <v>1</v>
      </c>
      <c r="W6" s="60">
        <f t="shared" si="22"/>
        <v>1</v>
      </c>
    </row>
    <row r="7" spans="1:23" s="58" customFormat="1" x14ac:dyDescent="0.2">
      <c r="A7" s="50">
        <f t="shared" si="2"/>
        <v>10</v>
      </c>
      <c r="B7" s="51">
        <f t="shared" si="3"/>
        <v>35</v>
      </c>
      <c r="C7" s="52">
        <f t="shared" si="4"/>
        <v>0</v>
      </c>
      <c r="D7" s="53">
        <f t="shared" si="5"/>
        <v>0</v>
      </c>
      <c r="E7" s="54">
        <f t="shared" si="6"/>
        <v>0</v>
      </c>
      <c r="F7" s="55">
        <f t="shared" si="7"/>
        <v>0</v>
      </c>
      <c r="G7" s="56">
        <f t="shared" si="8"/>
        <v>0</v>
      </c>
      <c r="H7" s="57">
        <f t="shared" si="9"/>
        <v>0</v>
      </c>
      <c r="I7" s="51">
        <f t="shared" si="10"/>
        <v>1</v>
      </c>
      <c r="J7" s="51">
        <f t="shared" si="11"/>
        <v>0</v>
      </c>
      <c r="K7" s="51">
        <f t="shared" si="12"/>
        <v>0</v>
      </c>
      <c r="N7" s="59">
        <f t="shared" si="13"/>
        <v>35</v>
      </c>
      <c r="O7" s="60">
        <f t="shared" si="14"/>
        <v>0</v>
      </c>
      <c r="P7" s="60">
        <f t="shared" si="15"/>
        <v>0</v>
      </c>
      <c r="Q7" s="60">
        <f t="shared" si="16"/>
        <v>0</v>
      </c>
      <c r="R7" s="60">
        <f t="shared" si="17"/>
        <v>0</v>
      </c>
      <c r="S7" s="60">
        <f t="shared" si="18"/>
        <v>0</v>
      </c>
      <c r="T7" s="60">
        <f t="shared" si="19"/>
        <v>0</v>
      </c>
      <c r="U7" s="60">
        <f t="shared" si="20"/>
        <v>1</v>
      </c>
      <c r="V7" s="60">
        <f t="shared" si="21"/>
        <v>0</v>
      </c>
      <c r="W7" s="60">
        <f t="shared" si="22"/>
        <v>0</v>
      </c>
    </row>
    <row r="8" spans="1:23" s="58" customFormat="1" x14ac:dyDescent="0.2">
      <c r="A8" s="50">
        <f t="shared" si="2"/>
        <v>12.5</v>
      </c>
      <c r="B8" s="51">
        <f t="shared" si="3"/>
        <v>37.5</v>
      </c>
      <c r="C8" s="52">
        <f t="shared" si="4"/>
        <v>0</v>
      </c>
      <c r="D8" s="53">
        <f t="shared" si="5"/>
        <v>0</v>
      </c>
      <c r="E8" s="54">
        <f t="shared" si="6"/>
        <v>0</v>
      </c>
      <c r="F8" s="55">
        <f t="shared" si="7"/>
        <v>0</v>
      </c>
      <c r="G8" s="56">
        <f t="shared" si="8"/>
        <v>0</v>
      </c>
      <c r="H8" s="57">
        <f t="shared" si="9"/>
        <v>0</v>
      </c>
      <c r="I8" s="51">
        <f t="shared" si="10"/>
        <v>1</v>
      </c>
      <c r="J8" s="51">
        <f t="shared" si="11"/>
        <v>0</v>
      </c>
      <c r="K8" s="51">
        <f t="shared" si="12"/>
        <v>1</v>
      </c>
      <c r="N8" s="59">
        <f t="shared" si="13"/>
        <v>37.5</v>
      </c>
      <c r="O8" s="60">
        <f t="shared" si="14"/>
        <v>0</v>
      </c>
      <c r="P8" s="60">
        <f t="shared" si="15"/>
        <v>0</v>
      </c>
      <c r="Q8" s="60">
        <f t="shared" si="16"/>
        <v>0</v>
      </c>
      <c r="R8" s="60">
        <f t="shared" si="17"/>
        <v>0</v>
      </c>
      <c r="S8" s="60">
        <f t="shared" si="18"/>
        <v>0</v>
      </c>
      <c r="T8" s="60">
        <f t="shared" si="19"/>
        <v>0</v>
      </c>
      <c r="U8" s="60">
        <f t="shared" si="20"/>
        <v>1</v>
      </c>
      <c r="V8" s="60">
        <f t="shared" si="21"/>
        <v>0</v>
      </c>
      <c r="W8" s="60">
        <f t="shared" si="22"/>
        <v>1</v>
      </c>
    </row>
    <row r="9" spans="1:23" s="58" customFormat="1" x14ac:dyDescent="0.2">
      <c r="A9" s="50">
        <f t="shared" si="2"/>
        <v>15</v>
      </c>
      <c r="B9" s="51">
        <f t="shared" si="3"/>
        <v>40</v>
      </c>
      <c r="C9" s="52">
        <f t="shared" si="4"/>
        <v>0</v>
      </c>
      <c r="D9" s="53">
        <f t="shared" si="5"/>
        <v>0</v>
      </c>
      <c r="E9" s="54">
        <f t="shared" si="6"/>
        <v>0</v>
      </c>
      <c r="F9" s="55">
        <f t="shared" si="7"/>
        <v>0</v>
      </c>
      <c r="G9" s="56">
        <f t="shared" si="8"/>
        <v>0</v>
      </c>
      <c r="H9" s="57">
        <f t="shared" si="9"/>
        <v>0</v>
      </c>
      <c r="I9" s="51">
        <f t="shared" si="10"/>
        <v>1</v>
      </c>
      <c r="J9" s="51">
        <f t="shared" si="11"/>
        <v>1</v>
      </c>
      <c r="K9" s="51">
        <f t="shared" si="12"/>
        <v>0</v>
      </c>
      <c r="N9" s="59">
        <f t="shared" si="13"/>
        <v>40</v>
      </c>
      <c r="O9" s="60">
        <f t="shared" si="14"/>
        <v>0</v>
      </c>
      <c r="P9" s="60">
        <f t="shared" si="15"/>
        <v>0</v>
      </c>
      <c r="Q9" s="60">
        <f t="shared" si="16"/>
        <v>0</v>
      </c>
      <c r="R9" s="60">
        <f t="shared" si="17"/>
        <v>0</v>
      </c>
      <c r="S9" s="60">
        <f t="shared" si="18"/>
        <v>0</v>
      </c>
      <c r="T9" s="60">
        <f t="shared" si="19"/>
        <v>0</v>
      </c>
      <c r="U9" s="60">
        <f t="shared" si="20"/>
        <v>1</v>
      </c>
      <c r="V9" s="60">
        <f t="shared" si="21"/>
        <v>1</v>
      </c>
      <c r="W9" s="60">
        <f t="shared" si="22"/>
        <v>0</v>
      </c>
    </row>
    <row r="10" spans="1:23" s="58" customFormat="1" x14ac:dyDescent="0.2">
      <c r="A10" s="50">
        <f t="shared" si="2"/>
        <v>17.5</v>
      </c>
      <c r="B10" s="51">
        <f t="shared" si="3"/>
        <v>42.5</v>
      </c>
      <c r="C10" s="52">
        <f t="shared" si="4"/>
        <v>0</v>
      </c>
      <c r="D10" s="53">
        <f t="shared" si="5"/>
        <v>0</v>
      </c>
      <c r="E10" s="54">
        <f t="shared" si="6"/>
        <v>0</v>
      </c>
      <c r="F10" s="55">
        <f t="shared" si="7"/>
        <v>0</v>
      </c>
      <c r="G10" s="56">
        <f t="shared" si="8"/>
        <v>0</v>
      </c>
      <c r="H10" s="57">
        <f t="shared" si="9"/>
        <v>0</v>
      </c>
      <c r="I10" s="51">
        <f t="shared" si="10"/>
        <v>1</v>
      </c>
      <c r="J10" s="51">
        <f t="shared" si="11"/>
        <v>1</v>
      </c>
      <c r="K10" s="51">
        <f t="shared" si="12"/>
        <v>1</v>
      </c>
      <c r="N10" s="59">
        <f t="shared" si="13"/>
        <v>42.5</v>
      </c>
      <c r="O10" s="60">
        <f t="shared" si="14"/>
        <v>0</v>
      </c>
      <c r="P10" s="60">
        <f t="shared" si="15"/>
        <v>0</v>
      </c>
      <c r="Q10" s="60">
        <f t="shared" si="16"/>
        <v>0</v>
      </c>
      <c r="R10" s="60">
        <f t="shared" si="17"/>
        <v>0</v>
      </c>
      <c r="S10" s="60">
        <f t="shared" si="18"/>
        <v>0</v>
      </c>
      <c r="T10" s="60">
        <f t="shared" si="19"/>
        <v>0</v>
      </c>
      <c r="U10" s="60">
        <f t="shared" si="20"/>
        <v>1</v>
      </c>
      <c r="V10" s="60">
        <f t="shared" si="21"/>
        <v>1</v>
      </c>
      <c r="W10" s="60">
        <f t="shared" si="22"/>
        <v>1</v>
      </c>
    </row>
    <row r="11" spans="1:23" s="58" customFormat="1" x14ac:dyDescent="0.2">
      <c r="A11" s="50">
        <f t="shared" si="2"/>
        <v>20</v>
      </c>
      <c r="B11" s="51">
        <f t="shared" si="3"/>
        <v>45</v>
      </c>
      <c r="C11" s="52">
        <f t="shared" si="4"/>
        <v>0</v>
      </c>
      <c r="D11" s="53">
        <f t="shared" si="5"/>
        <v>0</v>
      </c>
      <c r="E11" s="54">
        <f t="shared" si="6"/>
        <v>0</v>
      </c>
      <c r="F11" s="55">
        <f t="shared" si="7"/>
        <v>0</v>
      </c>
      <c r="G11" s="56">
        <f t="shared" si="8"/>
        <v>0</v>
      </c>
      <c r="H11" s="57">
        <f t="shared" si="9"/>
        <v>1</v>
      </c>
      <c r="I11" s="51">
        <f t="shared" si="10"/>
        <v>0</v>
      </c>
      <c r="J11" s="51">
        <f t="shared" si="11"/>
        <v>0</v>
      </c>
      <c r="K11" s="51">
        <f t="shared" si="12"/>
        <v>0</v>
      </c>
      <c r="N11" s="59">
        <f t="shared" si="13"/>
        <v>45</v>
      </c>
      <c r="O11" s="60">
        <f t="shared" si="14"/>
        <v>0</v>
      </c>
      <c r="P11" s="60">
        <f t="shared" si="15"/>
        <v>0</v>
      </c>
      <c r="Q11" s="60">
        <f t="shared" si="16"/>
        <v>0</v>
      </c>
      <c r="R11" s="60">
        <f t="shared" si="17"/>
        <v>0</v>
      </c>
      <c r="S11" s="60">
        <f t="shared" si="18"/>
        <v>0</v>
      </c>
      <c r="T11" s="60">
        <f t="shared" si="19"/>
        <v>1</v>
      </c>
      <c r="U11" s="60">
        <f t="shared" si="20"/>
        <v>0</v>
      </c>
      <c r="V11" s="60">
        <f t="shared" si="21"/>
        <v>0</v>
      </c>
      <c r="W11" s="60">
        <f t="shared" si="22"/>
        <v>0</v>
      </c>
    </row>
    <row r="12" spans="1:23" s="58" customFormat="1" x14ac:dyDescent="0.2">
      <c r="A12" s="50">
        <f t="shared" si="2"/>
        <v>22.5</v>
      </c>
      <c r="B12" s="51">
        <f t="shared" si="3"/>
        <v>47.5</v>
      </c>
      <c r="C12" s="52">
        <f t="shared" si="4"/>
        <v>0</v>
      </c>
      <c r="D12" s="53">
        <f t="shared" si="5"/>
        <v>0</v>
      </c>
      <c r="E12" s="54">
        <f t="shared" si="6"/>
        <v>0</v>
      </c>
      <c r="F12" s="55">
        <f t="shared" si="7"/>
        <v>0</v>
      </c>
      <c r="G12" s="56">
        <f t="shared" si="8"/>
        <v>0</v>
      </c>
      <c r="H12" s="57">
        <f t="shared" si="9"/>
        <v>1</v>
      </c>
      <c r="I12" s="51">
        <f t="shared" si="10"/>
        <v>0</v>
      </c>
      <c r="J12" s="51">
        <f t="shared" si="11"/>
        <v>0</v>
      </c>
      <c r="K12" s="51">
        <f t="shared" si="12"/>
        <v>1</v>
      </c>
      <c r="N12" s="59">
        <f t="shared" si="13"/>
        <v>47.5</v>
      </c>
      <c r="O12" s="60">
        <f t="shared" si="14"/>
        <v>0</v>
      </c>
      <c r="P12" s="60">
        <f t="shared" si="15"/>
        <v>0</v>
      </c>
      <c r="Q12" s="60">
        <f t="shared" si="16"/>
        <v>0</v>
      </c>
      <c r="R12" s="60">
        <f t="shared" si="17"/>
        <v>0</v>
      </c>
      <c r="S12" s="60">
        <f t="shared" si="18"/>
        <v>0</v>
      </c>
      <c r="T12" s="60">
        <f t="shared" si="19"/>
        <v>1</v>
      </c>
      <c r="U12" s="60">
        <f t="shared" si="20"/>
        <v>0</v>
      </c>
      <c r="V12" s="60">
        <f t="shared" si="21"/>
        <v>0</v>
      </c>
      <c r="W12" s="60">
        <f t="shared" si="22"/>
        <v>1</v>
      </c>
    </row>
    <row r="13" spans="1:23" s="58" customFormat="1" x14ac:dyDescent="0.2">
      <c r="A13" s="50">
        <f t="shared" si="2"/>
        <v>25</v>
      </c>
      <c r="B13" s="51">
        <f t="shared" si="3"/>
        <v>50</v>
      </c>
      <c r="C13" s="52">
        <f t="shared" si="4"/>
        <v>0</v>
      </c>
      <c r="D13" s="53">
        <f t="shared" si="5"/>
        <v>0</v>
      </c>
      <c r="E13" s="54">
        <f t="shared" si="6"/>
        <v>0</v>
      </c>
      <c r="F13" s="55">
        <f t="shared" si="7"/>
        <v>0</v>
      </c>
      <c r="G13" s="56">
        <f t="shared" si="8"/>
        <v>0</v>
      </c>
      <c r="H13" s="57">
        <f t="shared" si="9"/>
        <v>1</v>
      </c>
      <c r="I13" s="51">
        <f t="shared" si="10"/>
        <v>0</v>
      </c>
      <c r="J13" s="51">
        <f t="shared" si="11"/>
        <v>1</v>
      </c>
      <c r="K13" s="51">
        <f t="shared" si="12"/>
        <v>0</v>
      </c>
      <c r="N13" s="59">
        <f t="shared" si="13"/>
        <v>50</v>
      </c>
      <c r="O13" s="60">
        <f t="shared" si="14"/>
        <v>0</v>
      </c>
      <c r="P13" s="60">
        <f t="shared" si="15"/>
        <v>0</v>
      </c>
      <c r="Q13" s="60">
        <f t="shared" si="16"/>
        <v>0</v>
      </c>
      <c r="R13" s="60">
        <f t="shared" si="17"/>
        <v>0</v>
      </c>
      <c r="S13" s="60">
        <f t="shared" si="18"/>
        <v>0</v>
      </c>
      <c r="T13" s="60">
        <f t="shared" si="19"/>
        <v>1</v>
      </c>
      <c r="U13" s="60">
        <f t="shared" si="20"/>
        <v>0</v>
      </c>
      <c r="V13" s="60">
        <f t="shared" si="21"/>
        <v>1</v>
      </c>
      <c r="W13" s="60">
        <f t="shared" si="22"/>
        <v>0</v>
      </c>
    </row>
    <row r="14" spans="1:23" s="58" customFormat="1" x14ac:dyDescent="0.2">
      <c r="A14" s="50">
        <f t="shared" si="2"/>
        <v>27.5</v>
      </c>
      <c r="B14" s="51">
        <f t="shared" si="3"/>
        <v>52.5</v>
      </c>
      <c r="C14" s="52">
        <f t="shared" si="4"/>
        <v>0</v>
      </c>
      <c r="D14" s="53">
        <f t="shared" si="5"/>
        <v>0</v>
      </c>
      <c r="E14" s="54">
        <f t="shared" si="6"/>
        <v>0</v>
      </c>
      <c r="F14" s="55">
        <f t="shared" si="7"/>
        <v>0</v>
      </c>
      <c r="G14" s="56">
        <f t="shared" si="8"/>
        <v>0</v>
      </c>
      <c r="H14" s="57">
        <f t="shared" si="9"/>
        <v>1</v>
      </c>
      <c r="I14" s="51">
        <f t="shared" si="10"/>
        <v>0</v>
      </c>
      <c r="J14" s="51">
        <f t="shared" si="11"/>
        <v>1</v>
      </c>
      <c r="K14" s="51">
        <f t="shared" si="12"/>
        <v>1</v>
      </c>
      <c r="N14" s="59">
        <f t="shared" si="13"/>
        <v>52.5</v>
      </c>
      <c r="O14" s="60">
        <f t="shared" si="14"/>
        <v>0</v>
      </c>
      <c r="P14" s="60">
        <f t="shared" si="15"/>
        <v>0</v>
      </c>
      <c r="Q14" s="60">
        <f t="shared" si="16"/>
        <v>0</v>
      </c>
      <c r="R14" s="60">
        <f t="shared" si="17"/>
        <v>0</v>
      </c>
      <c r="S14" s="60">
        <f t="shared" si="18"/>
        <v>0</v>
      </c>
      <c r="T14" s="60">
        <f t="shared" si="19"/>
        <v>1</v>
      </c>
      <c r="U14" s="60">
        <f t="shared" si="20"/>
        <v>0</v>
      </c>
      <c r="V14" s="60">
        <f t="shared" si="21"/>
        <v>1</v>
      </c>
      <c r="W14" s="60">
        <f t="shared" si="22"/>
        <v>1</v>
      </c>
    </row>
    <row r="15" spans="1:23" s="58" customFormat="1" x14ac:dyDescent="0.2">
      <c r="A15" s="50">
        <f t="shared" si="2"/>
        <v>30</v>
      </c>
      <c r="B15" s="51">
        <f t="shared" si="3"/>
        <v>55</v>
      </c>
      <c r="C15" s="52">
        <f t="shared" si="4"/>
        <v>0</v>
      </c>
      <c r="D15" s="53">
        <f t="shared" si="5"/>
        <v>0</v>
      </c>
      <c r="E15" s="54">
        <f t="shared" si="6"/>
        <v>0</v>
      </c>
      <c r="F15" s="55">
        <f t="shared" si="7"/>
        <v>0</v>
      </c>
      <c r="G15" s="56">
        <f t="shared" si="8"/>
        <v>1</v>
      </c>
      <c r="H15" s="57">
        <f t="shared" si="9"/>
        <v>0</v>
      </c>
      <c r="I15" s="51">
        <f t="shared" si="10"/>
        <v>0</v>
      </c>
      <c r="J15" s="51">
        <f t="shared" si="11"/>
        <v>0</v>
      </c>
      <c r="K15" s="51">
        <f t="shared" si="12"/>
        <v>0</v>
      </c>
      <c r="N15" s="59">
        <f t="shared" si="13"/>
        <v>55</v>
      </c>
      <c r="O15" s="60">
        <f t="shared" si="14"/>
        <v>0</v>
      </c>
      <c r="P15" s="60">
        <f t="shared" si="15"/>
        <v>0</v>
      </c>
      <c r="Q15" s="60">
        <f t="shared" si="16"/>
        <v>0</v>
      </c>
      <c r="R15" s="60">
        <f t="shared" si="17"/>
        <v>0</v>
      </c>
      <c r="S15" s="60">
        <f t="shared" si="18"/>
        <v>1</v>
      </c>
      <c r="T15" s="60">
        <f t="shared" si="19"/>
        <v>0</v>
      </c>
      <c r="U15" s="60">
        <f t="shared" si="20"/>
        <v>0</v>
      </c>
      <c r="V15" s="60">
        <f t="shared" si="21"/>
        <v>0</v>
      </c>
      <c r="W15" s="60">
        <f t="shared" si="22"/>
        <v>0</v>
      </c>
    </row>
    <row r="16" spans="1:23" s="58" customFormat="1" x14ac:dyDescent="0.2">
      <c r="A16" s="50">
        <f t="shared" si="2"/>
        <v>32.5</v>
      </c>
      <c r="B16" s="51">
        <f t="shared" si="3"/>
        <v>57.5</v>
      </c>
      <c r="C16" s="52">
        <f t="shared" si="4"/>
        <v>0</v>
      </c>
      <c r="D16" s="53">
        <f t="shared" si="5"/>
        <v>0</v>
      </c>
      <c r="E16" s="54">
        <f t="shared" si="6"/>
        <v>0</v>
      </c>
      <c r="F16" s="55">
        <f t="shared" si="7"/>
        <v>0</v>
      </c>
      <c r="G16" s="56">
        <f t="shared" si="8"/>
        <v>1</v>
      </c>
      <c r="H16" s="57">
        <f t="shared" si="9"/>
        <v>0</v>
      </c>
      <c r="I16" s="51">
        <f t="shared" si="10"/>
        <v>0</v>
      </c>
      <c r="J16" s="51">
        <f t="shared" si="11"/>
        <v>0</v>
      </c>
      <c r="K16" s="51">
        <f t="shared" si="12"/>
        <v>1</v>
      </c>
      <c r="N16" s="59">
        <f t="shared" si="13"/>
        <v>57.5</v>
      </c>
      <c r="O16" s="60">
        <f t="shared" si="14"/>
        <v>0</v>
      </c>
      <c r="P16" s="60">
        <f t="shared" si="15"/>
        <v>0</v>
      </c>
      <c r="Q16" s="60">
        <f t="shared" si="16"/>
        <v>0</v>
      </c>
      <c r="R16" s="60">
        <f t="shared" si="17"/>
        <v>0</v>
      </c>
      <c r="S16" s="60">
        <f t="shared" si="18"/>
        <v>1</v>
      </c>
      <c r="T16" s="60">
        <f t="shared" si="19"/>
        <v>0</v>
      </c>
      <c r="U16" s="60">
        <f t="shared" si="20"/>
        <v>0</v>
      </c>
      <c r="V16" s="60">
        <f t="shared" si="21"/>
        <v>0</v>
      </c>
      <c r="W16" s="60">
        <f t="shared" si="22"/>
        <v>1</v>
      </c>
    </row>
    <row r="17" spans="1:23" s="58" customFormat="1" x14ac:dyDescent="0.2">
      <c r="A17" s="50">
        <f t="shared" si="2"/>
        <v>35</v>
      </c>
      <c r="B17" s="51">
        <f t="shared" si="3"/>
        <v>60</v>
      </c>
      <c r="C17" s="52">
        <f t="shared" si="4"/>
        <v>0</v>
      </c>
      <c r="D17" s="53">
        <f t="shared" si="5"/>
        <v>0</v>
      </c>
      <c r="E17" s="54">
        <f t="shared" si="6"/>
        <v>0</v>
      </c>
      <c r="F17" s="55">
        <f t="shared" si="7"/>
        <v>0</v>
      </c>
      <c r="G17" s="56">
        <f t="shared" si="8"/>
        <v>1</v>
      </c>
      <c r="H17" s="57">
        <f t="shared" si="9"/>
        <v>0</v>
      </c>
      <c r="I17" s="51">
        <f t="shared" si="10"/>
        <v>0</v>
      </c>
      <c r="J17" s="51">
        <f t="shared" si="11"/>
        <v>1</v>
      </c>
      <c r="K17" s="51">
        <f t="shared" si="12"/>
        <v>0</v>
      </c>
      <c r="N17" s="59">
        <f t="shared" si="13"/>
        <v>60</v>
      </c>
      <c r="O17" s="60">
        <f t="shared" si="14"/>
        <v>0</v>
      </c>
      <c r="P17" s="60">
        <f t="shared" si="15"/>
        <v>0</v>
      </c>
      <c r="Q17" s="60">
        <f t="shared" si="16"/>
        <v>0</v>
      </c>
      <c r="R17" s="60">
        <f t="shared" si="17"/>
        <v>0</v>
      </c>
      <c r="S17" s="60">
        <f t="shared" si="18"/>
        <v>1</v>
      </c>
      <c r="T17" s="60">
        <f t="shared" si="19"/>
        <v>0</v>
      </c>
      <c r="U17" s="60">
        <f t="shared" si="20"/>
        <v>0</v>
      </c>
      <c r="V17" s="60">
        <f t="shared" si="21"/>
        <v>1</v>
      </c>
      <c r="W17" s="60">
        <f t="shared" si="22"/>
        <v>0</v>
      </c>
    </row>
    <row r="18" spans="1:23" s="58" customFormat="1" x14ac:dyDescent="0.2">
      <c r="A18" s="50">
        <f t="shared" si="2"/>
        <v>37.5</v>
      </c>
      <c r="B18" s="51">
        <f t="shared" si="3"/>
        <v>62.5</v>
      </c>
      <c r="C18" s="52">
        <f t="shared" si="4"/>
        <v>0</v>
      </c>
      <c r="D18" s="53">
        <f t="shared" si="5"/>
        <v>0</v>
      </c>
      <c r="E18" s="54">
        <f t="shared" si="6"/>
        <v>0</v>
      </c>
      <c r="F18" s="55">
        <f t="shared" si="7"/>
        <v>0</v>
      </c>
      <c r="G18" s="56">
        <f t="shared" si="8"/>
        <v>1</v>
      </c>
      <c r="H18" s="57">
        <f t="shared" si="9"/>
        <v>0</v>
      </c>
      <c r="I18" s="51">
        <f t="shared" si="10"/>
        <v>0</v>
      </c>
      <c r="J18" s="51">
        <f t="shared" si="11"/>
        <v>1</v>
      </c>
      <c r="K18" s="51">
        <f t="shared" si="12"/>
        <v>1</v>
      </c>
      <c r="N18" s="59">
        <f t="shared" si="13"/>
        <v>62.5</v>
      </c>
      <c r="O18" s="60">
        <f t="shared" si="14"/>
        <v>0</v>
      </c>
      <c r="P18" s="60">
        <f t="shared" si="15"/>
        <v>0</v>
      </c>
      <c r="Q18" s="60">
        <f t="shared" si="16"/>
        <v>0</v>
      </c>
      <c r="R18" s="60">
        <f t="shared" si="17"/>
        <v>0</v>
      </c>
      <c r="S18" s="60">
        <f t="shared" si="18"/>
        <v>1</v>
      </c>
      <c r="T18" s="60">
        <f t="shared" si="19"/>
        <v>0</v>
      </c>
      <c r="U18" s="60">
        <f t="shared" si="20"/>
        <v>0</v>
      </c>
      <c r="V18" s="60">
        <f t="shared" si="21"/>
        <v>1</v>
      </c>
      <c r="W18" s="60">
        <f t="shared" si="22"/>
        <v>1</v>
      </c>
    </row>
    <row r="19" spans="1:23" s="58" customFormat="1" x14ac:dyDescent="0.2">
      <c r="A19" s="50">
        <f t="shared" si="2"/>
        <v>40</v>
      </c>
      <c r="B19" s="51">
        <f t="shared" si="3"/>
        <v>65</v>
      </c>
      <c r="C19" s="52">
        <f t="shared" si="4"/>
        <v>0</v>
      </c>
      <c r="D19" s="53">
        <f t="shared" si="5"/>
        <v>0</v>
      </c>
      <c r="E19" s="54">
        <f t="shared" si="6"/>
        <v>0</v>
      </c>
      <c r="F19" s="55">
        <f t="shared" si="7"/>
        <v>1</v>
      </c>
      <c r="G19" s="56">
        <f t="shared" si="8"/>
        <v>0</v>
      </c>
      <c r="H19" s="57">
        <f t="shared" si="9"/>
        <v>0</v>
      </c>
      <c r="I19" s="51">
        <f t="shared" si="10"/>
        <v>0</v>
      </c>
      <c r="J19" s="51">
        <f t="shared" si="11"/>
        <v>0</v>
      </c>
      <c r="K19" s="51">
        <f t="shared" si="12"/>
        <v>0</v>
      </c>
      <c r="N19" s="59">
        <f t="shared" si="13"/>
        <v>65</v>
      </c>
      <c r="O19" s="60">
        <f t="shared" si="14"/>
        <v>0</v>
      </c>
      <c r="P19" s="60">
        <f t="shared" si="15"/>
        <v>0</v>
      </c>
      <c r="Q19" s="60">
        <f t="shared" si="16"/>
        <v>0</v>
      </c>
      <c r="R19" s="60">
        <f t="shared" si="17"/>
        <v>1</v>
      </c>
      <c r="S19" s="60">
        <f t="shared" si="18"/>
        <v>0</v>
      </c>
      <c r="T19" s="60">
        <f t="shared" si="19"/>
        <v>0</v>
      </c>
      <c r="U19" s="60">
        <f t="shared" si="20"/>
        <v>0</v>
      </c>
      <c r="V19" s="60">
        <f t="shared" si="21"/>
        <v>0</v>
      </c>
      <c r="W19" s="60">
        <f t="shared" si="22"/>
        <v>0</v>
      </c>
    </row>
    <row r="20" spans="1:23" s="58" customFormat="1" x14ac:dyDescent="0.2">
      <c r="A20" s="50">
        <f t="shared" si="2"/>
        <v>42.5</v>
      </c>
      <c r="B20" s="51">
        <f t="shared" si="3"/>
        <v>67.5</v>
      </c>
      <c r="C20" s="52">
        <f t="shared" si="4"/>
        <v>0</v>
      </c>
      <c r="D20" s="53">
        <f t="shared" si="5"/>
        <v>0</v>
      </c>
      <c r="E20" s="54">
        <f t="shared" si="6"/>
        <v>0</v>
      </c>
      <c r="F20" s="55">
        <f t="shared" si="7"/>
        <v>1</v>
      </c>
      <c r="G20" s="56">
        <f t="shared" si="8"/>
        <v>0</v>
      </c>
      <c r="H20" s="57">
        <f t="shared" si="9"/>
        <v>0</v>
      </c>
      <c r="I20" s="51">
        <f t="shared" si="10"/>
        <v>0</v>
      </c>
      <c r="J20" s="51">
        <f t="shared" si="11"/>
        <v>0</v>
      </c>
      <c r="K20" s="51">
        <f t="shared" si="12"/>
        <v>1</v>
      </c>
      <c r="N20" s="59">
        <f t="shared" si="13"/>
        <v>67.5</v>
      </c>
      <c r="O20" s="60">
        <f t="shared" si="14"/>
        <v>0</v>
      </c>
      <c r="P20" s="60">
        <f t="shared" si="15"/>
        <v>0</v>
      </c>
      <c r="Q20" s="60">
        <f t="shared" si="16"/>
        <v>0</v>
      </c>
      <c r="R20" s="60">
        <f t="shared" si="17"/>
        <v>1</v>
      </c>
      <c r="S20" s="60">
        <f t="shared" si="18"/>
        <v>0</v>
      </c>
      <c r="T20" s="60">
        <f t="shared" si="19"/>
        <v>0</v>
      </c>
      <c r="U20" s="60">
        <f t="shared" si="20"/>
        <v>0</v>
      </c>
      <c r="V20" s="60">
        <f t="shared" si="21"/>
        <v>0</v>
      </c>
      <c r="W20" s="60">
        <f t="shared" si="22"/>
        <v>1</v>
      </c>
    </row>
    <row r="21" spans="1:23" s="58" customFormat="1" x14ac:dyDescent="0.2">
      <c r="A21" s="50">
        <f t="shared" si="2"/>
        <v>45</v>
      </c>
      <c r="B21" s="51">
        <f t="shared" si="3"/>
        <v>70</v>
      </c>
      <c r="C21" s="52">
        <f t="shared" si="4"/>
        <v>0</v>
      </c>
      <c r="D21" s="53">
        <f t="shared" si="5"/>
        <v>0</v>
      </c>
      <c r="E21" s="54">
        <f t="shared" si="6"/>
        <v>0</v>
      </c>
      <c r="F21" s="55">
        <f t="shared" si="7"/>
        <v>1</v>
      </c>
      <c r="G21" s="56">
        <f t="shared" si="8"/>
        <v>0</v>
      </c>
      <c r="H21" s="57">
        <f t="shared" si="9"/>
        <v>0</v>
      </c>
      <c r="I21" s="51">
        <f t="shared" si="10"/>
        <v>0</v>
      </c>
      <c r="J21" s="51">
        <f t="shared" si="11"/>
        <v>1</v>
      </c>
      <c r="K21" s="51">
        <f t="shared" si="12"/>
        <v>0</v>
      </c>
      <c r="N21" s="59">
        <f t="shared" si="13"/>
        <v>70</v>
      </c>
      <c r="O21" s="60">
        <f t="shared" si="14"/>
        <v>0</v>
      </c>
      <c r="P21" s="60">
        <f t="shared" si="15"/>
        <v>0</v>
      </c>
      <c r="Q21" s="60">
        <f t="shared" si="16"/>
        <v>0</v>
      </c>
      <c r="R21" s="60">
        <f t="shared" si="17"/>
        <v>1</v>
      </c>
      <c r="S21" s="60">
        <f t="shared" si="18"/>
        <v>0</v>
      </c>
      <c r="T21" s="60">
        <f t="shared" si="19"/>
        <v>0</v>
      </c>
      <c r="U21" s="60">
        <f t="shared" si="20"/>
        <v>0</v>
      </c>
      <c r="V21" s="60">
        <f t="shared" si="21"/>
        <v>1</v>
      </c>
      <c r="W21" s="60">
        <f t="shared" si="22"/>
        <v>0</v>
      </c>
    </row>
    <row r="22" spans="1:23" s="58" customFormat="1" x14ac:dyDescent="0.2">
      <c r="A22" s="50">
        <f t="shared" si="2"/>
        <v>47.5</v>
      </c>
      <c r="B22" s="51">
        <f t="shared" si="3"/>
        <v>72.5</v>
      </c>
      <c r="C22" s="52">
        <f t="shared" si="4"/>
        <v>0</v>
      </c>
      <c r="D22" s="53">
        <f t="shared" si="5"/>
        <v>0</v>
      </c>
      <c r="E22" s="54">
        <f t="shared" si="6"/>
        <v>0</v>
      </c>
      <c r="F22" s="55">
        <f t="shared" si="7"/>
        <v>1</v>
      </c>
      <c r="G22" s="56">
        <f t="shared" si="8"/>
        <v>0</v>
      </c>
      <c r="H22" s="57">
        <f t="shared" si="9"/>
        <v>0</v>
      </c>
      <c r="I22" s="51">
        <f t="shared" si="10"/>
        <v>0</v>
      </c>
      <c r="J22" s="51">
        <f t="shared" si="11"/>
        <v>1</v>
      </c>
      <c r="K22" s="51">
        <f t="shared" si="12"/>
        <v>1</v>
      </c>
      <c r="N22" s="59">
        <f t="shared" si="13"/>
        <v>72.5</v>
      </c>
      <c r="O22" s="60">
        <f t="shared" si="14"/>
        <v>0</v>
      </c>
      <c r="P22" s="60">
        <f t="shared" si="15"/>
        <v>0</v>
      </c>
      <c r="Q22" s="60">
        <f t="shared" si="16"/>
        <v>0</v>
      </c>
      <c r="R22" s="60">
        <f t="shared" si="17"/>
        <v>1</v>
      </c>
      <c r="S22" s="60">
        <f t="shared" si="18"/>
        <v>0</v>
      </c>
      <c r="T22" s="60">
        <f t="shared" si="19"/>
        <v>0</v>
      </c>
      <c r="U22" s="60">
        <f t="shared" si="20"/>
        <v>0</v>
      </c>
      <c r="V22" s="60">
        <f t="shared" si="21"/>
        <v>1</v>
      </c>
      <c r="W22" s="60">
        <f t="shared" si="22"/>
        <v>1</v>
      </c>
    </row>
    <row r="23" spans="1:23" s="58" customFormat="1" x14ac:dyDescent="0.2">
      <c r="A23" s="50">
        <f t="shared" si="2"/>
        <v>50</v>
      </c>
      <c r="B23" s="51">
        <f t="shared" si="3"/>
        <v>75</v>
      </c>
      <c r="C23" s="52">
        <f t="shared" si="4"/>
        <v>0</v>
      </c>
      <c r="D23" s="53">
        <f t="shared" si="5"/>
        <v>0</v>
      </c>
      <c r="E23" s="54">
        <f t="shared" si="6"/>
        <v>1</v>
      </c>
      <c r="F23" s="55">
        <f t="shared" si="7"/>
        <v>0</v>
      </c>
      <c r="G23" s="56">
        <f t="shared" si="8"/>
        <v>0</v>
      </c>
      <c r="H23" s="57">
        <f t="shared" si="9"/>
        <v>0</v>
      </c>
      <c r="I23" s="51">
        <f t="shared" si="10"/>
        <v>0</v>
      </c>
      <c r="J23" s="51">
        <f t="shared" si="11"/>
        <v>0</v>
      </c>
      <c r="K23" s="51">
        <f t="shared" si="12"/>
        <v>0</v>
      </c>
      <c r="N23" s="59">
        <f t="shared" si="13"/>
        <v>75</v>
      </c>
      <c r="O23" s="60">
        <f t="shared" si="14"/>
        <v>0</v>
      </c>
      <c r="P23" s="60">
        <f t="shared" si="15"/>
        <v>0</v>
      </c>
      <c r="Q23" s="60">
        <f t="shared" si="16"/>
        <v>1</v>
      </c>
      <c r="R23" s="60">
        <f t="shared" si="17"/>
        <v>0</v>
      </c>
      <c r="S23" s="60">
        <f t="shared" si="18"/>
        <v>0</v>
      </c>
      <c r="T23" s="60">
        <f t="shared" si="19"/>
        <v>0</v>
      </c>
      <c r="U23" s="60">
        <f t="shared" si="20"/>
        <v>0</v>
      </c>
      <c r="V23" s="60">
        <f t="shared" si="21"/>
        <v>0</v>
      </c>
      <c r="W23" s="60">
        <f t="shared" si="22"/>
        <v>0</v>
      </c>
    </row>
    <row r="24" spans="1:23" s="58" customFormat="1" x14ac:dyDescent="0.2">
      <c r="A24" s="50">
        <f t="shared" si="2"/>
        <v>52.5</v>
      </c>
      <c r="B24" s="51">
        <f t="shared" si="3"/>
        <v>77.5</v>
      </c>
      <c r="C24" s="52">
        <f t="shared" si="4"/>
        <v>0</v>
      </c>
      <c r="D24" s="53">
        <f t="shared" si="5"/>
        <v>0</v>
      </c>
      <c r="E24" s="54">
        <f t="shared" si="6"/>
        <v>1</v>
      </c>
      <c r="F24" s="55">
        <f t="shared" si="7"/>
        <v>0</v>
      </c>
      <c r="G24" s="56">
        <f t="shared" si="8"/>
        <v>0</v>
      </c>
      <c r="H24" s="57">
        <f t="shared" si="9"/>
        <v>0</v>
      </c>
      <c r="I24" s="51">
        <f t="shared" si="10"/>
        <v>0</v>
      </c>
      <c r="J24" s="51">
        <f t="shared" si="11"/>
        <v>0</v>
      </c>
      <c r="K24" s="51">
        <f t="shared" si="12"/>
        <v>1</v>
      </c>
      <c r="N24" s="59">
        <f t="shared" si="13"/>
        <v>77.5</v>
      </c>
      <c r="O24" s="60">
        <f t="shared" si="14"/>
        <v>0</v>
      </c>
      <c r="P24" s="60">
        <f t="shared" si="15"/>
        <v>0</v>
      </c>
      <c r="Q24" s="60">
        <f t="shared" si="16"/>
        <v>1</v>
      </c>
      <c r="R24" s="60">
        <f t="shared" si="17"/>
        <v>0</v>
      </c>
      <c r="S24" s="60">
        <f t="shared" si="18"/>
        <v>0</v>
      </c>
      <c r="T24" s="60">
        <f t="shared" si="19"/>
        <v>0</v>
      </c>
      <c r="U24" s="60">
        <f t="shared" si="20"/>
        <v>0</v>
      </c>
      <c r="V24" s="60">
        <f t="shared" si="21"/>
        <v>0</v>
      </c>
      <c r="W24" s="60">
        <f t="shared" si="22"/>
        <v>1</v>
      </c>
    </row>
    <row r="25" spans="1:23" s="58" customFormat="1" x14ac:dyDescent="0.2">
      <c r="A25" s="50">
        <f t="shared" si="2"/>
        <v>55</v>
      </c>
      <c r="B25" s="51">
        <f t="shared" si="3"/>
        <v>80</v>
      </c>
      <c r="C25" s="52">
        <f t="shared" si="4"/>
        <v>0</v>
      </c>
      <c r="D25" s="53">
        <f t="shared" si="5"/>
        <v>0</v>
      </c>
      <c r="E25" s="54">
        <f t="shared" si="6"/>
        <v>1</v>
      </c>
      <c r="F25" s="55">
        <f t="shared" si="7"/>
        <v>0</v>
      </c>
      <c r="G25" s="56">
        <f t="shared" si="8"/>
        <v>0</v>
      </c>
      <c r="H25" s="57">
        <f t="shared" si="9"/>
        <v>0</v>
      </c>
      <c r="I25" s="51">
        <f t="shared" si="10"/>
        <v>0</v>
      </c>
      <c r="J25" s="51">
        <f t="shared" si="11"/>
        <v>1</v>
      </c>
      <c r="K25" s="51">
        <f t="shared" si="12"/>
        <v>0</v>
      </c>
      <c r="N25" s="59">
        <f t="shared" si="13"/>
        <v>80</v>
      </c>
      <c r="O25" s="60">
        <f t="shared" si="14"/>
        <v>0</v>
      </c>
      <c r="P25" s="60">
        <f t="shared" si="15"/>
        <v>0</v>
      </c>
      <c r="Q25" s="60">
        <f t="shared" si="16"/>
        <v>1</v>
      </c>
      <c r="R25" s="60">
        <f t="shared" si="17"/>
        <v>0</v>
      </c>
      <c r="S25" s="60">
        <f t="shared" si="18"/>
        <v>0</v>
      </c>
      <c r="T25" s="60">
        <f t="shared" si="19"/>
        <v>0</v>
      </c>
      <c r="U25" s="60">
        <f t="shared" si="20"/>
        <v>0</v>
      </c>
      <c r="V25" s="60">
        <f t="shared" si="21"/>
        <v>1</v>
      </c>
      <c r="W25" s="60">
        <f t="shared" si="22"/>
        <v>0</v>
      </c>
    </row>
    <row r="26" spans="1:23" s="58" customFormat="1" x14ac:dyDescent="0.2">
      <c r="A26" s="50">
        <f t="shared" si="2"/>
        <v>57.5</v>
      </c>
      <c r="B26" s="51">
        <f t="shared" si="3"/>
        <v>82.5</v>
      </c>
      <c r="C26" s="52">
        <f t="shared" si="4"/>
        <v>0</v>
      </c>
      <c r="D26" s="53">
        <f t="shared" si="5"/>
        <v>0</v>
      </c>
      <c r="E26" s="54">
        <f t="shared" si="6"/>
        <v>1</v>
      </c>
      <c r="F26" s="55">
        <f t="shared" si="7"/>
        <v>0</v>
      </c>
      <c r="G26" s="56">
        <f t="shared" si="8"/>
        <v>0</v>
      </c>
      <c r="H26" s="57">
        <f t="shared" si="9"/>
        <v>0</v>
      </c>
      <c r="I26" s="51">
        <f t="shared" si="10"/>
        <v>0</v>
      </c>
      <c r="J26" s="51">
        <f t="shared" si="11"/>
        <v>1</v>
      </c>
      <c r="K26" s="51">
        <f t="shared" si="12"/>
        <v>1</v>
      </c>
      <c r="N26" s="59">
        <f t="shared" si="13"/>
        <v>82.5</v>
      </c>
      <c r="O26" s="60">
        <f t="shared" si="14"/>
        <v>0</v>
      </c>
      <c r="P26" s="60">
        <f t="shared" si="15"/>
        <v>0</v>
      </c>
      <c r="Q26" s="60">
        <f t="shared" si="16"/>
        <v>1</v>
      </c>
      <c r="R26" s="60">
        <f t="shared" si="17"/>
        <v>0</v>
      </c>
      <c r="S26" s="60">
        <f t="shared" si="18"/>
        <v>0</v>
      </c>
      <c r="T26" s="60">
        <f t="shared" si="19"/>
        <v>0</v>
      </c>
      <c r="U26" s="60">
        <f t="shared" si="20"/>
        <v>0</v>
      </c>
      <c r="V26" s="60">
        <f t="shared" si="21"/>
        <v>1</v>
      </c>
      <c r="W26" s="60">
        <f t="shared" si="22"/>
        <v>1</v>
      </c>
    </row>
    <row r="27" spans="1:23" s="58" customFormat="1" x14ac:dyDescent="0.2">
      <c r="A27" s="50">
        <f t="shared" si="2"/>
        <v>60</v>
      </c>
      <c r="B27" s="51">
        <f t="shared" si="3"/>
        <v>85</v>
      </c>
      <c r="C27" s="52">
        <f t="shared" si="4"/>
        <v>0</v>
      </c>
      <c r="D27" s="53">
        <f t="shared" si="5"/>
        <v>0</v>
      </c>
      <c r="E27" s="54">
        <f t="shared" si="6"/>
        <v>1</v>
      </c>
      <c r="F27" s="55">
        <f t="shared" si="7"/>
        <v>0</v>
      </c>
      <c r="G27" s="56">
        <f t="shared" si="8"/>
        <v>0</v>
      </c>
      <c r="H27" s="57">
        <f t="shared" si="9"/>
        <v>0</v>
      </c>
      <c r="I27" s="51">
        <f t="shared" si="10"/>
        <v>1</v>
      </c>
      <c r="J27" s="51">
        <f t="shared" si="11"/>
        <v>0</v>
      </c>
      <c r="K27" s="51">
        <f t="shared" si="12"/>
        <v>0</v>
      </c>
      <c r="N27" s="59">
        <f t="shared" si="13"/>
        <v>85</v>
      </c>
      <c r="O27" s="60">
        <f t="shared" si="14"/>
        <v>0</v>
      </c>
      <c r="P27" s="60">
        <f t="shared" si="15"/>
        <v>0</v>
      </c>
      <c r="Q27" s="60">
        <f t="shared" si="16"/>
        <v>1</v>
      </c>
      <c r="R27" s="60">
        <f t="shared" si="17"/>
        <v>0</v>
      </c>
      <c r="S27" s="60">
        <f t="shared" si="18"/>
        <v>0</v>
      </c>
      <c r="T27" s="60">
        <f t="shared" si="19"/>
        <v>0</v>
      </c>
      <c r="U27" s="60">
        <f t="shared" si="20"/>
        <v>1</v>
      </c>
      <c r="V27" s="60">
        <f t="shared" si="21"/>
        <v>0</v>
      </c>
      <c r="W27" s="60">
        <f t="shared" si="22"/>
        <v>0</v>
      </c>
    </row>
    <row r="28" spans="1:23" s="58" customFormat="1" x14ac:dyDescent="0.2">
      <c r="A28" s="50">
        <f t="shared" si="2"/>
        <v>62.5</v>
      </c>
      <c r="B28" s="51">
        <f t="shared" si="3"/>
        <v>87.5</v>
      </c>
      <c r="C28" s="52">
        <f t="shared" si="4"/>
        <v>0</v>
      </c>
      <c r="D28" s="53">
        <f t="shared" si="5"/>
        <v>0</v>
      </c>
      <c r="E28" s="54">
        <f t="shared" si="6"/>
        <v>1</v>
      </c>
      <c r="F28" s="55">
        <f t="shared" si="7"/>
        <v>0</v>
      </c>
      <c r="G28" s="56">
        <f t="shared" si="8"/>
        <v>0</v>
      </c>
      <c r="H28" s="57">
        <f t="shared" si="9"/>
        <v>0</v>
      </c>
      <c r="I28" s="51">
        <f t="shared" si="10"/>
        <v>1</v>
      </c>
      <c r="J28" s="51">
        <f t="shared" si="11"/>
        <v>0</v>
      </c>
      <c r="K28" s="51">
        <f t="shared" si="12"/>
        <v>1</v>
      </c>
      <c r="N28" s="59">
        <f t="shared" si="13"/>
        <v>87.5</v>
      </c>
      <c r="O28" s="60">
        <f t="shared" si="14"/>
        <v>0</v>
      </c>
      <c r="P28" s="60">
        <f t="shared" si="15"/>
        <v>0</v>
      </c>
      <c r="Q28" s="60">
        <f t="shared" si="16"/>
        <v>1</v>
      </c>
      <c r="R28" s="60">
        <f t="shared" si="17"/>
        <v>0</v>
      </c>
      <c r="S28" s="60">
        <f t="shared" si="18"/>
        <v>0</v>
      </c>
      <c r="T28" s="60">
        <f t="shared" si="19"/>
        <v>0</v>
      </c>
      <c r="U28" s="60">
        <f t="shared" si="20"/>
        <v>1</v>
      </c>
      <c r="V28" s="60">
        <f t="shared" si="21"/>
        <v>0</v>
      </c>
      <c r="W28" s="60">
        <f t="shared" si="22"/>
        <v>1</v>
      </c>
    </row>
    <row r="29" spans="1:23" s="58" customFormat="1" x14ac:dyDescent="0.2">
      <c r="A29" s="50">
        <f t="shared" si="2"/>
        <v>65</v>
      </c>
      <c r="B29" s="51">
        <f t="shared" si="3"/>
        <v>90</v>
      </c>
      <c r="C29" s="52">
        <f t="shared" si="4"/>
        <v>0</v>
      </c>
      <c r="D29" s="53">
        <f t="shared" si="5"/>
        <v>0</v>
      </c>
      <c r="E29" s="54">
        <f t="shared" si="6"/>
        <v>1</v>
      </c>
      <c r="F29" s="55">
        <f t="shared" si="7"/>
        <v>0</v>
      </c>
      <c r="G29" s="56">
        <f t="shared" si="8"/>
        <v>0</v>
      </c>
      <c r="H29" s="57">
        <f t="shared" si="9"/>
        <v>0</v>
      </c>
      <c r="I29" s="51">
        <f t="shared" si="10"/>
        <v>1</v>
      </c>
      <c r="J29" s="51">
        <f t="shared" si="11"/>
        <v>1</v>
      </c>
      <c r="K29" s="51">
        <f t="shared" si="12"/>
        <v>0</v>
      </c>
      <c r="N29" s="59">
        <f t="shared" si="13"/>
        <v>90</v>
      </c>
      <c r="O29" s="60">
        <f t="shared" si="14"/>
        <v>0</v>
      </c>
      <c r="P29" s="60">
        <f t="shared" si="15"/>
        <v>0</v>
      </c>
      <c r="Q29" s="60">
        <f t="shared" si="16"/>
        <v>1</v>
      </c>
      <c r="R29" s="60">
        <f t="shared" si="17"/>
        <v>0</v>
      </c>
      <c r="S29" s="60">
        <f t="shared" si="18"/>
        <v>0</v>
      </c>
      <c r="T29" s="60">
        <f t="shared" si="19"/>
        <v>0</v>
      </c>
      <c r="U29" s="60">
        <f t="shared" si="20"/>
        <v>1</v>
      </c>
      <c r="V29" s="60">
        <f t="shared" si="21"/>
        <v>1</v>
      </c>
      <c r="W29" s="60">
        <f t="shared" si="22"/>
        <v>0</v>
      </c>
    </row>
    <row r="30" spans="1:23" s="58" customFormat="1" x14ac:dyDescent="0.2">
      <c r="A30" s="50">
        <f t="shared" si="2"/>
        <v>67.5</v>
      </c>
      <c r="B30" s="51">
        <f t="shared" si="3"/>
        <v>92.5</v>
      </c>
      <c r="C30" s="52">
        <f t="shared" si="4"/>
        <v>0</v>
      </c>
      <c r="D30" s="53">
        <f t="shared" si="5"/>
        <v>0</v>
      </c>
      <c r="E30" s="54">
        <f t="shared" si="6"/>
        <v>1</v>
      </c>
      <c r="F30" s="55">
        <f t="shared" si="7"/>
        <v>0</v>
      </c>
      <c r="G30" s="56">
        <f t="shared" si="8"/>
        <v>0</v>
      </c>
      <c r="H30" s="57">
        <f t="shared" si="9"/>
        <v>0</v>
      </c>
      <c r="I30" s="51">
        <f t="shared" si="10"/>
        <v>1</v>
      </c>
      <c r="J30" s="51">
        <f t="shared" si="11"/>
        <v>1</v>
      </c>
      <c r="K30" s="51">
        <f t="shared" si="12"/>
        <v>1</v>
      </c>
      <c r="N30" s="59">
        <f t="shared" si="13"/>
        <v>92.5</v>
      </c>
      <c r="O30" s="60">
        <f t="shared" si="14"/>
        <v>0</v>
      </c>
      <c r="P30" s="60">
        <f t="shared" si="15"/>
        <v>0</v>
      </c>
      <c r="Q30" s="60">
        <f t="shared" si="16"/>
        <v>1</v>
      </c>
      <c r="R30" s="60">
        <f t="shared" si="17"/>
        <v>0</v>
      </c>
      <c r="S30" s="60">
        <f t="shared" si="18"/>
        <v>0</v>
      </c>
      <c r="T30" s="60">
        <f t="shared" si="19"/>
        <v>0</v>
      </c>
      <c r="U30" s="60">
        <f t="shared" si="20"/>
        <v>1</v>
      </c>
      <c r="V30" s="60">
        <f t="shared" si="21"/>
        <v>1</v>
      </c>
      <c r="W30" s="60">
        <f t="shared" si="22"/>
        <v>1</v>
      </c>
    </row>
    <row r="31" spans="1:23" s="58" customFormat="1" x14ac:dyDescent="0.2">
      <c r="A31" s="50">
        <f t="shared" si="2"/>
        <v>70</v>
      </c>
      <c r="B31" s="51">
        <f t="shared" si="3"/>
        <v>95</v>
      </c>
      <c r="C31" s="52">
        <f t="shared" si="4"/>
        <v>0</v>
      </c>
      <c r="D31" s="53">
        <f t="shared" si="5"/>
        <v>0</v>
      </c>
      <c r="E31" s="54">
        <f t="shared" si="6"/>
        <v>1</v>
      </c>
      <c r="F31" s="55">
        <f t="shared" si="7"/>
        <v>0</v>
      </c>
      <c r="G31" s="56">
        <f t="shared" si="8"/>
        <v>0</v>
      </c>
      <c r="H31" s="57">
        <f t="shared" si="9"/>
        <v>1</v>
      </c>
      <c r="I31" s="51">
        <f t="shared" si="10"/>
        <v>0</v>
      </c>
      <c r="J31" s="51">
        <f t="shared" si="11"/>
        <v>0</v>
      </c>
      <c r="K31" s="51">
        <f t="shared" si="12"/>
        <v>0</v>
      </c>
      <c r="N31" s="59">
        <f t="shared" si="13"/>
        <v>95</v>
      </c>
      <c r="O31" s="60">
        <f t="shared" si="14"/>
        <v>0</v>
      </c>
      <c r="P31" s="60">
        <f t="shared" si="15"/>
        <v>0</v>
      </c>
      <c r="Q31" s="60">
        <f t="shared" si="16"/>
        <v>1</v>
      </c>
      <c r="R31" s="60">
        <f t="shared" si="17"/>
        <v>0</v>
      </c>
      <c r="S31" s="60">
        <f t="shared" si="18"/>
        <v>0</v>
      </c>
      <c r="T31" s="60">
        <f t="shared" si="19"/>
        <v>1</v>
      </c>
      <c r="U31" s="60">
        <f t="shared" si="20"/>
        <v>0</v>
      </c>
      <c r="V31" s="60">
        <f t="shared" si="21"/>
        <v>0</v>
      </c>
      <c r="W31" s="60">
        <f t="shared" si="22"/>
        <v>0</v>
      </c>
    </row>
    <row r="32" spans="1:23" s="58" customFormat="1" x14ac:dyDescent="0.2">
      <c r="A32" s="50">
        <f t="shared" si="2"/>
        <v>72.5</v>
      </c>
      <c r="B32" s="51">
        <f t="shared" si="3"/>
        <v>97.5</v>
      </c>
      <c r="C32" s="52">
        <f t="shared" si="4"/>
        <v>0</v>
      </c>
      <c r="D32" s="53">
        <f t="shared" si="5"/>
        <v>0</v>
      </c>
      <c r="E32" s="54">
        <f t="shared" si="6"/>
        <v>1</v>
      </c>
      <c r="F32" s="55">
        <f t="shared" si="7"/>
        <v>0</v>
      </c>
      <c r="G32" s="56">
        <f t="shared" si="8"/>
        <v>0</v>
      </c>
      <c r="H32" s="57">
        <f t="shared" si="9"/>
        <v>1</v>
      </c>
      <c r="I32" s="51">
        <f t="shared" si="10"/>
        <v>0</v>
      </c>
      <c r="J32" s="51">
        <f t="shared" si="11"/>
        <v>0</v>
      </c>
      <c r="K32" s="51">
        <f t="shared" si="12"/>
        <v>1</v>
      </c>
      <c r="N32" s="59">
        <f t="shared" si="13"/>
        <v>97.5</v>
      </c>
      <c r="O32" s="60">
        <f t="shared" si="14"/>
        <v>0</v>
      </c>
      <c r="P32" s="60">
        <f t="shared" si="15"/>
        <v>0</v>
      </c>
      <c r="Q32" s="60">
        <f t="shared" si="16"/>
        <v>1</v>
      </c>
      <c r="R32" s="60">
        <f t="shared" si="17"/>
        <v>0</v>
      </c>
      <c r="S32" s="60">
        <f t="shared" si="18"/>
        <v>0</v>
      </c>
      <c r="T32" s="60">
        <f t="shared" si="19"/>
        <v>1</v>
      </c>
      <c r="U32" s="60">
        <f t="shared" si="20"/>
        <v>0</v>
      </c>
      <c r="V32" s="60">
        <f t="shared" si="21"/>
        <v>0</v>
      </c>
      <c r="W32" s="60">
        <f t="shared" si="22"/>
        <v>1</v>
      </c>
    </row>
    <row r="33" spans="1:23" s="58" customFormat="1" x14ac:dyDescent="0.2">
      <c r="A33" s="50">
        <f t="shared" si="2"/>
        <v>75</v>
      </c>
      <c r="B33" s="51">
        <f t="shared" si="3"/>
        <v>100</v>
      </c>
      <c r="C33" s="52">
        <f t="shared" si="4"/>
        <v>0</v>
      </c>
      <c r="D33" s="53">
        <f t="shared" si="5"/>
        <v>0</v>
      </c>
      <c r="E33" s="54">
        <f t="shared" si="6"/>
        <v>1</v>
      </c>
      <c r="F33" s="55">
        <f t="shared" si="7"/>
        <v>0</v>
      </c>
      <c r="G33" s="56">
        <f t="shared" si="8"/>
        <v>0</v>
      </c>
      <c r="H33" s="57">
        <f t="shared" si="9"/>
        <v>1</v>
      </c>
      <c r="I33" s="51">
        <f t="shared" si="10"/>
        <v>0</v>
      </c>
      <c r="J33" s="51">
        <f t="shared" si="11"/>
        <v>1</v>
      </c>
      <c r="K33" s="51">
        <f t="shared" si="12"/>
        <v>0</v>
      </c>
      <c r="N33" s="59">
        <f t="shared" si="13"/>
        <v>100</v>
      </c>
      <c r="O33" s="60">
        <f t="shared" si="14"/>
        <v>0</v>
      </c>
      <c r="P33" s="60">
        <f t="shared" si="15"/>
        <v>0</v>
      </c>
      <c r="Q33" s="60">
        <f t="shared" si="16"/>
        <v>1</v>
      </c>
      <c r="R33" s="60">
        <f t="shared" si="17"/>
        <v>0</v>
      </c>
      <c r="S33" s="60">
        <f t="shared" si="18"/>
        <v>0</v>
      </c>
      <c r="T33" s="60">
        <f t="shared" si="19"/>
        <v>1</v>
      </c>
      <c r="U33" s="60">
        <f t="shared" si="20"/>
        <v>0</v>
      </c>
      <c r="V33" s="60">
        <f t="shared" si="21"/>
        <v>1</v>
      </c>
      <c r="W33" s="60">
        <f t="shared" si="22"/>
        <v>0</v>
      </c>
    </row>
    <row r="34" spans="1:23" s="58" customFormat="1" x14ac:dyDescent="0.2">
      <c r="A34" s="50">
        <f t="shared" si="2"/>
        <v>77.5</v>
      </c>
      <c r="B34" s="51">
        <f t="shared" si="3"/>
        <v>102.5</v>
      </c>
      <c r="C34" s="52">
        <f t="shared" si="4"/>
        <v>0</v>
      </c>
      <c r="D34" s="53">
        <f t="shared" si="5"/>
        <v>0</v>
      </c>
      <c r="E34" s="54">
        <f t="shared" si="6"/>
        <v>1</v>
      </c>
      <c r="F34" s="55">
        <f t="shared" si="7"/>
        <v>0</v>
      </c>
      <c r="G34" s="56">
        <f t="shared" si="8"/>
        <v>0</v>
      </c>
      <c r="H34" s="57">
        <f t="shared" si="9"/>
        <v>1</v>
      </c>
      <c r="I34" s="51">
        <f t="shared" si="10"/>
        <v>0</v>
      </c>
      <c r="J34" s="51">
        <f t="shared" si="11"/>
        <v>1</v>
      </c>
      <c r="K34" s="51">
        <f t="shared" si="12"/>
        <v>1</v>
      </c>
      <c r="N34" s="59">
        <f t="shared" si="13"/>
        <v>102.5</v>
      </c>
      <c r="O34" s="60">
        <f t="shared" si="14"/>
        <v>0</v>
      </c>
      <c r="P34" s="60">
        <f t="shared" si="15"/>
        <v>0</v>
      </c>
      <c r="Q34" s="60">
        <f t="shared" si="16"/>
        <v>1</v>
      </c>
      <c r="R34" s="60">
        <f t="shared" si="17"/>
        <v>0</v>
      </c>
      <c r="S34" s="60">
        <f t="shared" si="18"/>
        <v>0</v>
      </c>
      <c r="T34" s="60">
        <f t="shared" si="19"/>
        <v>1</v>
      </c>
      <c r="U34" s="60">
        <f t="shared" si="20"/>
        <v>0</v>
      </c>
      <c r="V34" s="60">
        <f t="shared" si="21"/>
        <v>1</v>
      </c>
      <c r="W34" s="60">
        <f t="shared" si="22"/>
        <v>1</v>
      </c>
    </row>
    <row r="35" spans="1:23" s="58" customFormat="1" x14ac:dyDescent="0.2">
      <c r="A35" s="50">
        <f t="shared" si="2"/>
        <v>80</v>
      </c>
      <c r="B35" s="51">
        <f t="shared" si="3"/>
        <v>105</v>
      </c>
      <c r="C35" s="52">
        <f t="shared" si="4"/>
        <v>0</v>
      </c>
      <c r="D35" s="53">
        <f t="shared" si="5"/>
        <v>0</v>
      </c>
      <c r="E35" s="54">
        <f t="shared" si="6"/>
        <v>1</v>
      </c>
      <c r="F35" s="55">
        <f t="shared" si="7"/>
        <v>0</v>
      </c>
      <c r="G35" s="56">
        <f t="shared" si="8"/>
        <v>1</v>
      </c>
      <c r="H35" s="57">
        <f t="shared" si="9"/>
        <v>0</v>
      </c>
      <c r="I35" s="51">
        <f t="shared" si="10"/>
        <v>0</v>
      </c>
      <c r="J35" s="51">
        <f t="shared" si="11"/>
        <v>0</v>
      </c>
      <c r="K35" s="51">
        <f t="shared" si="12"/>
        <v>0</v>
      </c>
      <c r="N35" s="59">
        <f t="shared" si="13"/>
        <v>105</v>
      </c>
      <c r="O35" s="60">
        <f t="shared" si="14"/>
        <v>0</v>
      </c>
      <c r="P35" s="60">
        <f t="shared" si="15"/>
        <v>0</v>
      </c>
      <c r="Q35" s="60">
        <f t="shared" si="16"/>
        <v>1</v>
      </c>
      <c r="R35" s="60">
        <f t="shared" si="17"/>
        <v>0</v>
      </c>
      <c r="S35" s="60">
        <f t="shared" si="18"/>
        <v>1</v>
      </c>
      <c r="T35" s="60">
        <f t="shared" si="19"/>
        <v>0</v>
      </c>
      <c r="U35" s="60">
        <f t="shared" si="20"/>
        <v>0</v>
      </c>
      <c r="V35" s="60">
        <f t="shared" si="21"/>
        <v>0</v>
      </c>
      <c r="W35" s="60">
        <f t="shared" si="22"/>
        <v>0</v>
      </c>
    </row>
    <row r="36" spans="1:23" s="58" customFormat="1" x14ac:dyDescent="0.2">
      <c r="A36" s="50">
        <f t="shared" si="2"/>
        <v>82.5</v>
      </c>
      <c r="B36" s="51">
        <f t="shared" si="3"/>
        <v>107.5</v>
      </c>
      <c r="C36" s="52">
        <f t="shared" si="4"/>
        <v>0</v>
      </c>
      <c r="D36" s="53">
        <f t="shared" si="5"/>
        <v>0</v>
      </c>
      <c r="E36" s="54">
        <f t="shared" si="6"/>
        <v>1</v>
      </c>
      <c r="F36" s="55">
        <f t="shared" si="7"/>
        <v>0</v>
      </c>
      <c r="G36" s="56">
        <f t="shared" si="8"/>
        <v>1</v>
      </c>
      <c r="H36" s="57">
        <f t="shared" si="9"/>
        <v>0</v>
      </c>
      <c r="I36" s="51">
        <f t="shared" si="10"/>
        <v>0</v>
      </c>
      <c r="J36" s="51">
        <f t="shared" si="11"/>
        <v>0</v>
      </c>
      <c r="K36" s="51">
        <f t="shared" si="12"/>
        <v>1</v>
      </c>
      <c r="N36" s="59">
        <f t="shared" si="13"/>
        <v>107.5</v>
      </c>
      <c r="O36" s="60">
        <f t="shared" si="14"/>
        <v>0</v>
      </c>
      <c r="P36" s="60">
        <f t="shared" si="15"/>
        <v>0</v>
      </c>
      <c r="Q36" s="60">
        <f t="shared" si="16"/>
        <v>1</v>
      </c>
      <c r="R36" s="60">
        <f t="shared" si="17"/>
        <v>0</v>
      </c>
      <c r="S36" s="60">
        <f t="shared" si="18"/>
        <v>1</v>
      </c>
      <c r="T36" s="60">
        <f t="shared" si="19"/>
        <v>0</v>
      </c>
      <c r="U36" s="60">
        <f t="shared" si="20"/>
        <v>0</v>
      </c>
      <c r="V36" s="60">
        <f t="shared" si="21"/>
        <v>0</v>
      </c>
      <c r="W36" s="60">
        <f t="shared" si="22"/>
        <v>1</v>
      </c>
    </row>
    <row r="37" spans="1:23" s="58" customFormat="1" x14ac:dyDescent="0.2">
      <c r="A37" s="50">
        <f t="shared" si="2"/>
        <v>85</v>
      </c>
      <c r="B37" s="51">
        <f t="shared" si="3"/>
        <v>110</v>
      </c>
      <c r="C37" s="52">
        <f t="shared" si="4"/>
        <v>0</v>
      </c>
      <c r="D37" s="53">
        <f t="shared" si="5"/>
        <v>0</v>
      </c>
      <c r="E37" s="54">
        <f t="shared" si="6"/>
        <v>1</v>
      </c>
      <c r="F37" s="55">
        <f t="shared" si="7"/>
        <v>0</v>
      </c>
      <c r="G37" s="56">
        <f t="shared" si="8"/>
        <v>1</v>
      </c>
      <c r="H37" s="57">
        <f t="shared" si="9"/>
        <v>0</v>
      </c>
      <c r="I37" s="51">
        <f t="shared" si="10"/>
        <v>0</v>
      </c>
      <c r="J37" s="51">
        <f t="shared" si="11"/>
        <v>1</v>
      </c>
      <c r="K37" s="51">
        <f t="shared" si="12"/>
        <v>0</v>
      </c>
      <c r="N37" s="59">
        <f t="shared" si="13"/>
        <v>110</v>
      </c>
      <c r="O37" s="60">
        <f t="shared" si="14"/>
        <v>0</v>
      </c>
      <c r="P37" s="60">
        <f t="shared" si="15"/>
        <v>0</v>
      </c>
      <c r="Q37" s="60">
        <f t="shared" si="16"/>
        <v>1</v>
      </c>
      <c r="R37" s="60">
        <f t="shared" si="17"/>
        <v>0</v>
      </c>
      <c r="S37" s="60">
        <f t="shared" si="18"/>
        <v>1</v>
      </c>
      <c r="T37" s="60">
        <f t="shared" si="19"/>
        <v>0</v>
      </c>
      <c r="U37" s="60">
        <f t="shared" si="20"/>
        <v>0</v>
      </c>
      <c r="V37" s="60">
        <f t="shared" si="21"/>
        <v>1</v>
      </c>
      <c r="W37" s="60">
        <f t="shared" si="22"/>
        <v>0</v>
      </c>
    </row>
    <row r="38" spans="1:23" s="58" customFormat="1" x14ac:dyDescent="0.2">
      <c r="A38" s="50">
        <f t="shared" si="2"/>
        <v>87.5</v>
      </c>
      <c r="B38" s="51">
        <f t="shared" si="3"/>
        <v>112.5</v>
      </c>
      <c r="C38" s="52">
        <f t="shared" si="4"/>
        <v>0</v>
      </c>
      <c r="D38" s="53">
        <f t="shared" si="5"/>
        <v>0</v>
      </c>
      <c r="E38" s="54">
        <f t="shared" si="6"/>
        <v>1</v>
      </c>
      <c r="F38" s="55">
        <f t="shared" si="7"/>
        <v>0</v>
      </c>
      <c r="G38" s="56">
        <f t="shared" si="8"/>
        <v>1</v>
      </c>
      <c r="H38" s="57">
        <f t="shared" si="9"/>
        <v>0</v>
      </c>
      <c r="I38" s="51">
        <f t="shared" si="10"/>
        <v>0</v>
      </c>
      <c r="J38" s="51">
        <f t="shared" si="11"/>
        <v>1</v>
      </c>
      <c r="K38" s="51">
        <f t="shared" si="12"/>
        <v>1</v>
      </c>
      <c r="N38" s="59">
        <f t="shared" si="13"/>
        <v>112.5</v>
      </c>
      <c r="O38" s="60">
        <f t="shared" si="14"/>
        <v>0</v>
      </c>
      <c r="P38" s="60">
        <f t="shared" si="15"/>
        <v>0</v>
      </c>
      <c r="Q38" s="60">
        <f t="shared" si="16"/>
        <v>1</v>
      </c>
      <c r="R38" s="60">
        <f t="shared" si="17"/>
        <v>0</v>
      </c>
      <c r="S38" s="60">
        <f t="shared" si="18"/>
        <v>1</v>
      </c>
      <c r="T38" s="60">
        <f t="shared" si="19"/>
        <v>0</v>
      </c>
      <c r="U38" s="60">
        <f t="shared" si="20"/>
        <v>0</v>
      </c>
      <c r="V38" s="60">
        <f t="shared" si="21"/>
        <v>1</v>
      </c>
      <c r="W38" s="60">
        <f t="shared" si="22"/>
        <v>1</v>
      </c>
    </row>
    <row r="39" spans="1:23" s="58" customFormat="1" x14ac:dyDescent="0.2">
      <c r="A39" s="50">
        <f t="shared" si="2"/>
        <v>90</v>
      </c>
      <c r="B39" s="51">
        <f t="shared" si="3"/>
        <v>115</v>
      </c>
      <c r="C39" s="52">
        <f t="shared" si="4"/>
        <v>0</v>
      </c>
      <c r="D39" s="53">
        <f t="shared" si="5"/>
        <v>0</v>
      </c>
      <c r="E39" s="54">
        <f t="shared" si="6"/>
        <v>1</v>
      </c>
      <c r="F39" s="55">
        <f t="shared" si="7"/>
        <v>1</v>
      </c>
      <c r="G39" s="56">
        <f t="shared" si="8"/>
        <v>0</v>
      </c>
      <c r="H39" s="57">
        <f t="shared" si="9"/>
        <v>0</v>
      </c>
      <c r="I39" s="51">
        <f t="shared" si="10"/>
        <v>0</v>
      </c>
      <c r="J39" s="51">
        <f t="shared" si="11"/>
        <v>0</v>
      </c>
      <c r="K39" s="51">
        <f t="shared" si="12"/>
        <v>0</v>
      </c>
      <c r="N39" s="59">
        <f t="shared" si="13"/>
        <v>115</v>
      </c>
      <c r="O39" s="60">
        <f t="shared" si="14"/>
        <v>0</v>
      </c>
      <c r="P39" s="60">
        <f t="shared" si="15"/>
        <v>0</v>
      </c>
      <c r="Q39" s="60">
        <f t="shared" si="16"/>
        <v>1</v>
      </c>
      <c r="R39" s="60">
        <f t="shared" si="17"/>
        <v>1</v>
      </c>
      <c r="S39" s="60">
        <f t="shared" si="18"/>
        <v>0</v>
      </c>
      <c r="T39" s="60">
        <f t="shared" si="19"/>
        <v>0</v>
      </c>
      <c r="U39" s="60">
        <f t="shared" si="20"/>
        <v>0</v>
      </c>
      <c r="V39" s="60">
        <f t="shared" si="21"/>
        <v>0</v>
      </c>
      <c r="W39" s="60">
        <f t="shared" si="22"/>
        <v>0</v>
      </c>
    </row>
    <row r="40" spans="1:23" s="58" customFormat="1" x14ac:dyDescent="0.2">
      <c r="A40" s="50">
        <f t="shared" si="2"/>
        <v>92.5</v>
      </c>
      <c r="B40" s="51">
        <f t="shared" si="3"/>
        <v>117.5</v>
      </c>
      <c r="C40" s="52">
        <f t="shared" si="4"/>
        <v>0</v>
      </c>
      <c r="D40" s="53">
        <f t="shared" si="5"/>
        <v>0</v>
      </c>
      <c r="E40" s="54">
        <f t="shared" si="6"/>
        <v>1</v>
      </c>
      <c r="F40" s="55">
        <f t="shared" si="7"/>
        <v>1</v>
      </c>
      <c r="G40" s="56">
        <f t="shared" si="8"/>
        <v>0</v>
      </c>
      <c r="H40" s="57">
        <f t="shared" si="9"/>
        <v>0</v>
      </c>
      <c r="I40" s="51">
        <f t="shared" si="10"/>
        <v>0</v>
      </c>
      <c r="J40" s="51">
        <f t="shared" si="11"/>
        <v>0</v>
      </c>
      <c r="K40" s="51">
        <f t="shared" si="12"/>
        <v>1</v>
      </c>
      <c r="N40" s="59">
        <f t="shared" si="13"/>
        <v>117.5</v>
      </c>
      <c r="O40" s="60">
        <f t="shared" si="14"/>
        <v>0</v>
      </c>
      <c r="P40" s="60">
        <f t="shared" si="15"/>
        <v>0</v>
      </c>
      <c r="Q40" s="60">
        <f t="shared" si="16"/>
        <v>1</v>
      </c>
      <c r="R40" s="60">
        <f t="shared" si="17"/>
        <v>1</v>
      </c>
      <c r="S40" s="60">
        <f t="shared" si="18"/>
        <v>0</v>
      </c>
      <c r="T40" s="60">
        <f t="shared" si="19"/>
        <v>0</v>
      </c>
      <c r="U40" s="60">
        <f t="shared" si="20"/>
        <v>0</v>
      </c>
      <c r="V40" s="60">
        <f t="shared" si="21"/>
        <v>0</v>
      </c>
      <c r="W40" s="60">
        <f t="shared" si="22"/>
        <v>1</v>
      </c>
    </row>
    <row r="41" spans="1:23" s="58" customFormat="1" x14ac:dyDescent="0.2">
      <c r="A41" s="50">
        <f t="shared" si="2"/>
        <v>95</v>
      </c>
      <c r="B41" s="51">
        <f t="shared" si="3"/>
        <v>120</v>
      </c>
      <c r="C41" s="52">
        <f t="shared" si="4"/>
        <v>0</v>
      </c>
      <c r="D41" s="53">
        <f t="shared" si="5"/>
        <v>0</v>
      </c>
      <c r="E41" s="54">
        <f t="shared" si="6"/>
        <v>1</v>
      </c>
      <c r="F41" s="55">
        <f t="shared" si="7"/>
        <v>1</v>
      </c>
      <c r="G41" s="56">
        <f t="shared" si="8"/>
        <v>0</v>
      </c>
      <c r="H41" s="57">
        <f t="shared" si="9"/>
        <v>0</v>
      </c>
      <c r="I41" s="51">
        <f t="shared" si="10"/>
        <v>0</v>
      </c>
      <c r="J41" s="51">
        <f t="shared" si="11"/>
        <v>1</v>
      </c>
      <c r="K41" s="51">
        <f t="shared" si="12"/>
        <v>0</v>
      </c>
      <c r="N41" s="59">
        <f t="shared" si="13"/>
        <v>120</v>
      </c>
      <c r="O41" s="60">
        <f t="shared" si="14"/>
        <v>0</v>
      </c>
      <c r="P41" s="60">
        <f t="shared" si="15"/>
        <v>0</v>
      </c>
      <c r="Q41" s="60">
        <f t="shared" si="16"/>
        <v>1</v>
      </c>
      <c r="R41" s="60">
        <f t="shared" si="17"/>
        <v>1</v>
      </c>
      <c r="S41" s="60">
        <f t="shared" si="18"/>
        <v>0</v>
      </c>
      <c r="T41" s="60">
        <f t="shared" si="19"/>
        <v>0</v>
      </c>
      <c r="U41" s="60">
        <f t="shared" si="20"/>
        <v>0</v>
      </c>
      <c r="V41" s="60">
        <f t="shared" si="21"/>
        <v>1</v>
      </c>
      <c r="W41" s="60">
        <f t="shared" si="22"/>
        <v>0</v>
      </c>
    </row>
    <row r="42" spans="1:23" s="58" customFormat="1" x14ac:dyDescent="0.2">
      <c r="A42" s="50">
        <f t="shared" si="2"/>
        <v>97.5</v>
      </c>
      <c r="B42" s="51">
        <f t="shared" si="3"/>
        <v>122.5</v>
      </c>
      <c r="C42" s="52">
        <f t="shared" si="4"/>
        <v>0</v>
      </c>
      <c r="D42" s="53">
        <f t="shared" si="5"/>
        <v>0</v>
      </c>
      <c r="E42" s="54">
        <f t="shared" si="6"/>
        <v>1</v>
      </c>
      <c r="F42" s="55">
        <f t="shared" si="7"/>
        <v>1</v>
      </c>
      <c r="G42" s="56">
        <f t="shared" si="8"/>
        <v>0</v>
      </c>
      <c r="H42" s="57">
        <f t="shared" si="9"/>
        <v>0</v>
      </c>
      <c r="I42" s="51">
        <f t="shared" si="10"/>
        <v>0</v>
      </c>
      <c r="J42" s="51">
        <f t="shared" si="11"/>
        <v>1</v>
      </c>
      <c r="K42" s="51">
        <f t="shared" si="12"/>
        <v>1</v>
      </c>
      <c r="N42" s="59">
        <f t="shared" si="13"/>
        <v>122.5</v>
      </c>
      <c r="O42" s="60">
        <f t="shared" si="14"/>
        <v>0</v>
      </c>
      <c r="P42" s="60">
        <f t="shared" si="15"/>
        <v>0</v>
      </c>
      <c r="Q42" s="60">
        <f t="shared" si="16"/>
        <v>1</v>
      </c>
      <c r="R42" s="60">
        <f t="shared" si="17"/>
        <v>1</v>
      </c>
      <c r="S42" s="60">
        <f t="shared" si="18"/>
        <v>0</v>
      </c>
      <c r="T42" s="60">
        <f t="shared" si="19"/>
        <v>0</v>
      </c>
      <c r="U42" s="60">
        <f t="shared" si="20"/>
        <v>0</v>
      </c>
      <c r="V42" s="60">
        <f t="shared" si="21"/>
        <v>1</v>
      </c>
      <c r="W42" s="60">
        <f t="shared" si="22"/>
        <v>1</v>
      </c>
    </row>
    <row r="43" spans="1:23" s="58" customFormat="1" x14ac:dyDescent="0.2">
      <c r="A43" s="50">
        <f t="shared" si="2"/>
        <v>100</v>
      </c>
      <c r="B43" s="51">
        <f t="shared" si="3"/>
        <v>125</v>
      </c>
      <c r="C43" s="52">
        <f t="shared" si="4"/>
        <v>0</v>
      </c>
      <c r="D43" s="53">
        <f t="shared" si="5"/>
        <v>0</v>
      </c>
      <c r="E43" s="54">
        <f t="shared" si="6"/>
        <v>2</v>
      </c>
      <c r="F43" s="55">
        <f t="shared" si="7"/>
        <v>0</v>
      </c>
      <c r="G43" s="56">
        <f t="shared" si="8"/>
        <v>0</v>
      </c>
      <c r="H43" s="57">
        <f t="shared" si="9"/>
        <v>0</v>
      </c>
      <c r="I43" s="51">
        <f t="shared" si="10"/>
        <v>0</v>
      </c>
      <c r="J43" s="51">
        <f t="shared" si="11"/>
        <v>0</v>
      </c>
      <c r="K43" s="51">
        <f t="shared" si="12"/>
        <v>0</v>
      </c>
      <c r="N43" s="59">
        <f t="shared" si="13"/>
        <v>125</v>
      </c>
      <c r="O43" s="60">
        <f t="shared" si="14"/>
        <v>0</v>
      </c>
      <c r="P43" s="60">
        <f t="shared" si="15"/>
        <v>0</v>
      </c>
      <c r="Q43" s="60">
        <f t="shared" si="16"/>
        <v>2</v>
      </c>
      <c r="R43" s="60">
        <f t="shared" si="17"/>
        <v>0</v>
      </c>
      <c r="S43" s="60">
        <f t="shared" si="18"/>
        <v>0</v>
      </c>
      <c r="T43" s="60">
        <f t="shared" si="19"/>
        <v>0</v>
      </c>
      <c r="U43" s="60">
        <f t="shared" si="20"/>
        <v>0</v>
      </c>
      <c r="V43" s="60">
        <f t="shared" si="21"/>
        <v>0</v>
      </c>
      <c r="W43" s="60">
        <f t="shared" si="22"/>
        <v>0</v>
      </c>
    </row>
    <row r="44" spans="1:23" s="58" customFormat="1" x14ac:dyDescent="0.2">
      <c r="A44" s="50">
        <f t="shared" si="2"/>
        <v>102.5</v>
      </c>
      <c r="B44" s="51">
        <f t="shared" si="3"/>
        <v>127.5</v>
      </c>
      <c r="C44" s="52">
        <f t="shared" si="4"/>
        <v>0</v>
      </c>
      <c r="D44" s="53">
        <f t="shared" si="5"/>
        <v>0</v>
      </c>
      <c r="E44" s="54">
        <f t="shared" si="6"/>
        <v>2</v>
      </c>
      <c r="F44" s="55">
        <f t="shared" si="7"/>
        <v>0</v>
      </c>
      <c r="G44" s="56">
        <f t="shared" si="8"/>
        <v>0</v>
      </c>
      <c r="H44" s="57">
        <f t="shared" si="9"/>
        <v>0</v>
      </c>
      <c r="I44" s="51">
        <f t="shared" si="10"/>
        <v>0</v>
      </c>
      <c r="J44" s="51">
        <f t="shared" si="11"/>
        <v>0</v>
      </c>
      <c r="K44" s="51">
        <f t="shared" si="12"/>
        <v>1</v>
      </c>
      <c r="N44" s="59">
        <f t="shared" si="13"/>
        <v>127.5</v>
      </c>
      <c r="O44" s="60">
        <f t="shared" si="14"/>
        <v>0</v>
      </c>
      <c r="P44" s="60">
        <f t="shared" si="15"/>
        <v>0</v>
      </c>
      <c r="Q44" s="60">
        <f t="shared" si="16"/>
        <v>2</v>
      </c>
      <c r="R44" s="60">
        <f t="shared" si="17"/>
        <v>0</v>
      </c>
      <c r="S44" s="60">
        <f t="shared" si="18"/>
        <v>0</v>
      </c>
      <c r="T44" s="60">
        <f t="shared" si="19"/>
        <v>0</v>
      </c>
      <c r="U44" s="60">
        <f t="shared" si="20"/>
        <v>0</v>
      </c>
      <c r="V44" s="60">
        <f t="shared" si="21"/>
        <v>0</v>
      </c>
      <c r="W44" s="60">
        <f t="shared" si="22"/>
        <v>1</v>
      </c>
    </row>
    <row r="45" spans="1:23" s="58" customFormat="1" x14ac:dyDescent="0.2">
      <c r="A45" s="50">
        <f t="shared" si="2"/>
        <v>105</v>
      </c>
      <c r="B45" s="51">
        <f t="shared" si="3"/>
        <v>130</v>
      </c>
      <c r="C45" s="52">
        <f t="shared" si="4"/>
        <v>0</v>
      </c>
      <c r="D45" s="53">
        <f t="shared" si="5"/>
        <v>0</v>
      </c>
      <c r="E45" s="54">
        <f t="shared" si="6"/>
        <v>2</v>
      </c>
      <c r="F45" s="55">
        <f t="shared" si="7"/>
        <v>0</v>
      </c>
      <c r="G45" s="56">
        <f t="shared" si="8"/>
        <v>0</v>
      </c>
      <c r="H45" s="57">
        <f t="shared" si="9"/>
        <v>0</v>
      </c>
      <c r="I45" s="51">
        <f t="shared" si="10"/>
        <v>0</v>
      </c>
      <c r="J45" s="51">
        <f t="shared" si="11"/>
        <v>1</v>
      </c>
      <c r="K45" s="51">
        <f t="shared" si="12"/>
        <v>0</v>
      </c>
      <c r="N45" s="59">
        <f t="shared" si="13"/>
        <v>130</v>
      </c>
      <c r="O45" s="60">
        <f t="shared" si="14"/>
        <v>0</v>
      </c>
      <c r="P45" s="60">
        <f t="shared" si="15"/>
        <v>0</v>
      </c>
      <c r="Q45" s="60">
        <f t="shared" si="16"/>
        <v>2</v>
      </c>
      <c r="R45" s="60">
        <f t="shared" si="17"/>
        <v>0</v>
      </c>
      <c r="S45" s="60">
        <f t="shared" si="18"/>
        <v>0</v>
      </c>
      <c r="T45" s="60">
        <f t="shared" si="19"/>
        <v>0</v>
      </c>
      <c r="U45" s="60">
        <f t="shared" si="20"/>
        <v>0</v>
      </c>
      <c r="V45" s="60">
        <f t="shared" si="21"/>
        <v>1</v>
      </c>
      <c r="W45" s="60">
        <f t="shared" si="22"/>
        <v>0</v>
      </c>
    </row>
    <row r="46" spans="1:23" s="58" customFormat="1" x14ac:dyDescent="0.2">
      <c r="A46" s="50">
        <f t="shared" si="2"/>
        <v>107.5</v>
      </c>
      <c r="B46" s="51">
        <f t="shared" si="3"/>
        <v>132.5</v>
      </c>
      <c r="C46" s="52">
        <f t="shared" si="4"/>
        <v>0</v>
      </c>
      <c r="D46" s="53">
        <f t="shared" si="5"/>
        <v>0</v>
      </c>
      <c r="E46" s="54">
        <f t="shared" si="6"/>
        <v>2</v>
      </c>
      <c r="F46" s="55">
        <f t="shared" si="7"/>
        <v>0</v>
      </c>
      <c r="G46" s="56">
        <f t="shared" si="8"/>
        <v>0</v>
      </c>
      <c r="H46" s="57">
        <f t="shared" si="9"/>
        <v>0</v>
      </c>
      <c r="I46" s="51">
        <f t="shared" si="10"/>
        <v>0</v>
      </c>
      <c r="J46" s="51">
        <f t="shared" si="11"/>
        <v>1</v>
      </c>
      <c r="K46" s="51">
        <f t="shared" si="12"/>
        <v>1</v>
      </c>
      <c r="N46" s="59">
        <f t="shared" si="13"/>
        <v>132.5</v>
      </c>
      <c r="O46" s="60">
        <f t="shared" si="14"/>
        <v>0</v>
      </c>
      <c r="P46" s="60">
        <f t="shared" si="15"/>
        <v>0</v>
      </c>
      <c r="Q46" s="60">
        <f t="shared" si="16"/>
        <v>2</v>
      </c>
      <c r="R46" s="60">
        <f t="shared" si="17"/>
        <v>0</v>
      </c>
      <c r="S46" s="60">
        <f t="shared" si="18"/>
        <v>0</v>
      </c>
      <c r="T46" s="60">
        <f t="shared" si="19"/>
        <v>0</v>
      </c>
      <c r="U46" s="60">
        <f t="shared" si="20"/>
        <v>0</v>
      </c>
      <c r="V46" s="60">
        <f t="shared" si="21"/>
        <v>1</v>
      </c>
      <c r="W46" s="60">
        <f t="shared" si="22"/>
        <v>1</v>
      </c>
    </row>
    <row r="47" spans="1:23" s="58" customFormat="1" x14ac:dyDescent="0.2">
      <c r="A47" s="50">
        <f t="shared" si="2"/>
        <v>110</v>
      </c>
      <c r="B47" s="51">
        <f t="shared" si="3"/>
        <v>135</v>
      </c>
      <c r="C47" s="52">
        <f t="shared" si="4"/>
        <v>0</v>
      </c>
      <c r="D47" s="53">
        <f t="shared" si="5"/>
        <v>0</v>
      </c>
      <c r="E47" s="54">
        <f t="shared" si="6"/>
        <v>2</v>
      </c>
      <c r="F47" s="55">
        <f t="shared" si="7"/>
        <v>0</v>
      </c>
      <c r="G47" s="56">
        <f t="shared" si="8"/>
        <v>0</v>
      </c>
      <c r="H47" s="57">
        <f t="shared" si="9"/>
        <v>0</v>
      </c>
      <c r="I47" s="51">
        <f t="shared" si="10"/>
        <v>1</v>
      </c>
      <c r="J47" s="51">
        <f t="shared" si="11"/>
        <v>0</v>
      </c>
      <c r="K47" s="51">
        <f t="shared" si="12"/>
        <v>0</v>
      </c>
      <c r="N47" s="59">
        <f t="shared" si="13"/>
        <v>135</v>
      </c>
      <c r="O47" s="60">
        <f t="shared" si="14"/>
        <v>0</v>
      </c>
      <c r="P47" s="60">
        <f t="shared" si="15"/>
        <v>0</v>
      </c>
      <c r="Q47" s="60">
        <f t="shared" si="16"/>
        <v>2</v>
      </c>
      <c r="R47" s="60">
        <f t="shared" si="17"/>
        <v>0</v>
      </c>
      <c r="S47" s="60">
        <f t="shared" si="18"/>
        <v>0</v>
      </c>
      <c r="T47" s="60">
        <f t="shared" si="19"/>
        <v>0</v>
      </c>
      <c r="U47" s="60">
        <f t="shared" si="20"/>
        <v>1</v>
      </c>
      <c r="V47" s="60">
        <f t="shared" si="21"/>
        <v>0</v>
      </c>
      <c r="W47" s="60">
        <f t="shared" si="22"/>
        <v>0</v>
      </c>
    </row>
    <row r="48" spans="1:23" s="58" customFormat="1" x14ac:dyDescent="0.2">
      <c r="A48" s="50">
        <f t="shared" si="2"/>
        <v>112.5</v>
      </c>
      <c r="B48" s="51">
        <f t="shared" si="3"/>
        <v>137.5</v>
      </c>
      <c r="C48" s="52">
        <f t="shared" si="4"/>
        <v>0</v>
      </c>
      <c r="D48" s="53">
        <f t="shared" si="5"/>
        <v>0</v>
      </c>
      <c r="E48" s="54">
        <f t="shared" si="6"/>
        <v>2</v>
      </c>
      <c r="F48" s="55">
        <f t="shared" si="7"/>
        <v>0</v>
      </c>
      <c r="G48" s="56">
        <f t="shared" si="8"/>
        <v>0</v>
      </c>
      <c r="H48" s="57">
        <f t="shared" si="9"/>
        <v>0</v>
      </c>
      <c r="I48" s="51">
        <f t="shared" si="10"/>
        <v>1</v>
      </c>
      <c r="J48" s="51">
        <f t="shared" si="11"/>
        <v>0</v>
      </c>
      <c r="K48" s="51">
        <f t="shared" si="12"/>
        <v>1</v>
      </c>
      <c r="N48" s="59">
        <f t="shared" si="13"/>
        <v>137.5</v>
      </c>
      <c r="O48" s="60">
        <f t="shared" si="14"/>
        <v>0</v>
      </c>
      <c r="P48" s="60">
        <f t="shared" si="15"/>
        <v>0</v>
      </c>
      <c r="Q48" s="60">
        <f t="shared" si="16"/>
        <v>2</v>
      </c>
      <c r="R48" s="60">
        <f t="shared" si="17"/>
        <v>0</v>
      </c>
      <c r="S48" s="60">
        <f t="shared" si="18"/>
        <v>0</v>
      </c>
      <c r="T48" s="60">
        <f t="shared" si="19"/>
        <v>0</v>
      </c>
      <c r="U48" s="60">
        <f t="shared" si="20"/>
        <v>1</v>
      </c>
      <c r="V48" s="60">
        <f t="shared" si="21"/>
        <v>0</v>
      </c>
      <c r="W48" s="60">
        <f t="shared" si="22"/>
        <v>1</v>
      </c>
    </row>
    <row r="49" spans="1:23" s="58" customFormat="1" x14ac:dyDescent="0.2">
      <c r="A49" s="50">
        <f t="shared" si="2"/>
        <v>115</v>
      </c>
      <c r="B49" s="51">
        <f t="shared" si="3"/>
        <v>140</v>
      </c>
      <c r="C49" s="52">
        <f t="shared" si="4"/>
        <v>0</v>
      </c>
      <c r="D49" s="53">
        <f t="shared" si="5"/>
        <v>0</v>
      </c>
      <c r="E49" s="54">
        <f t="shared" si="6"/>
        <v>2</v>
      </c>
      <c r="F49" s="55">
        <f t="shared" si="7"/>
        <v>0</v>
      </c>
      <c r="G49" s="56">
        <f t="shared" si="8"/>
        <v>0</v>
      </c>
      <c r="H49" s="57">
        <f t="shared" si="9"/>
        <v>0</v>
      </c>
      <c r="I49" s="51">
        <f t="shared" si="10"/>
        <v>1</v>
      </c>
      <c r="J49" s="51">
        <f t="shared" si="11"/>
        <v>1</v>
      </c>
      <c r="K49" s="51">
        <f t="shared" si="12"/>
        <v>0</v>
      </c>
      <c r="N49" s="59">
        <f t="shared" si="13"/>
        <v>140</v>
      </c>
      <c r="O49" s="60">
        <f t="shared" si="14"/>
        <v>0</v>
      </c>
      <c r="P49" s="60">
        <f t="shared" si="15"/>
        <v>0</v>
      </c>
      <c r="Q49" s="60">
        <f t="shared" si="16"/>
        <v>2</v>
      </c>
      <c r="R49" s="60">
        <f t="shared" si="17"/>
        <v>0</v>
      </c>
      <c r="S49" s="60">
        <f t="shared" si="18"/>
        <v>0</v>
      </c>
      <c r="T49" s="60">
        <f t="shared" si="19"/>
        <v>0</v>
      </c>
      <c r="U49" s="60">
        <f t="shared" si="20"/>
        <v>1</v>
      </c>
      <c r="V49" s="60">
        <f t="shared" si="21"/>
        <v>1</v>
      </c>
      <c r="W49" s="60">
        <f t="shared" si="22"/>
        <v>0</v>
      </c>
    </row>
    <row r="50" spans="1:23" s="58" customFormat="1" x14ac:dyDescent="0.2">
      <c r="A50" s="50">
        <f t="shared" si="2"/>
        <v>117.5</v>
      </c>
      <c r="B50" s="51">
        <f t="shared" si="3"/>
        <v>142.5</v>
      </c>
      <c r="C50" s="52">
        <f t="shared" si="4"/>
        <v>0</v>
      </c>
      <c r="D50" s="53">
        <f t="shared" si="5"/>
        <v>0</v>
      </c>
      <c r="E50" s="54">
        <f t="shared" si="6"/>
        <v>2</v>
      </c>
      <c r="F50" s="55">
        <f t="shared" si="7"/>
        <v>0</v>
      </c>
      <c r="G50" s="56">
        <f t="shared" si="8"/>
        <v>0</v>
      </c>
      <c r="H50" s="57">
        <f t="shared" si="9"/>
        <v>0</v>
      </c>
      <c r="I50" s="51">
        <f t="shared" si="10"/>
        <v>1</v>
      </c>
      <c r="J50" s="51">
        <f t="shared" si="11"/>
        <v>1</v>
      </c>
      <c r="K50" s="51">
        <f t="shared" si="12"/>
        <v>1</v>
      </c>
      <c r="N50" s="59">
        <f t="shared" si="13"/>
        <v>142.5</v>
      </c>
      <c r="O50" s="60">
        <f t="shared" si="14"/>
        <v>0</v>
      </c>
      <c r="P50" s="60">
        <f t="shared" si="15"/>
        <v>0</v>
      </c>
      <c r="Q50" s="60">
        <f t="shared" si="16"/>
        <v>2</v>
      </c>
      <c r="R50" s="60">
        <f t="shared" si="17"/>
        <v>0</v>
      </c>
      <c r="S50" s="60">
        <f t="shared" si="18"/>
        <v>0</v>
      </c>
      <c r="T50" s="60">
        <f t="shared" si="19"/>
        <v>0</v>
      </c>
      <c r="U50" s="60">
        <f t="shared" si="20"/>
        <v>1</v>
      </c>
      <c r="V50" s="60">
        <f t="shared" si="21"/>
        <v>1</v>
      </c>
      <c r="W50" s="60">
        <f t="shared" si="22"/>
        <v>1</v>
      </c>
    </row>
    <row r="51" spans="1:23" s="58" customFormat="1" x14ac:dyDescent="0.2">
      <c r="A51" s="50">
        <f t="shared" si="2"/>
        <v>120</v>
      </c>
      <c r="B51" s="51">
        <f t="shared" si="3"/>
        <v>145</v>
      </c>
      <c r="C51" s="52">
        <f t="shared" si="4"/>
        <v>0</v>
      </c>
      <c r="D51" s="53">
        <f t="shared" si="5"/>
        <v>0</v>
      </c>
      <c r="E51" s="54">
        <f t="shared" si="6"/>
        <v>2</v>
      </c>
      <c r="F51" s="55">
        <f t="shared" si="7"/>
        <v>0</v>
      </c>
      <c r="G51" s="56">
        <f t="shared" si="8"/>
        <v>0</v>
      </c>
      <c r="H51" s="57">
        <f t="shared" si="9"/>
        <v>1</v>
      </c>
      <c r="I51" s="51">
        <f t="shared" si="10"/>
        <v>0</v>
      </c>
      <c r="J51" s="51">
        <f t="shared" si="11"/>
        <v>0</v>
      </c>
      <c r="K51" s="51">
        <f t="shared" si="12"/>
        <v>0</v>
      </c>
      <c r="N51" s="59">
        <f t="shared" si="13"/>
        <v>145</v>
      </c>
      <c r="O51" s="60">
        <f t="shared" si="14"/>
        <v>0</v>
      </c>
      <c r="P51" s="60">
        <f t="shared" si="15"/>
        <v>0</v>
      </c>
      <c r="Q51" s="60">
        <f t="shared" si="16"/>
        <v>2</v>
      </c>
      <c r="R51" s="60">
        <f t="shared" si="17"/>
        <v>0</v>
      </c>
      <c r="S51" s="60">
        <f t="shared" si="18"/>
        <v>0</v>
      </c>
      <c r="T51" s="60">
        <f t="shared" si="19"/>
        <v>1</v>
      </c>
      <c r="U51" s="60">
        <f t="shared" si="20"/>
        <v>0</v>
      </c>
      <c r="V51" s="60">
        <f t="shared" si="21"/>
        <v>0</v>
      </c>
      <c r="W51" s="60">
        <f t="shared" si="22"/>
        <v>0</v>
      </c>
    </row>
    <row r="52" spans="1:23" s="58" customFormat="1" x14ac:dyDescent="0.2">
      <c r="A52" s="50">
        <f t="shared" si="2"/>
        <v>122.5</v>
      </c>
      <c r="B52" s="51">
        <f t="shared" si="3"/>
        <v>147.5</v>
      </c>
      <c r="C52" s="52">
        <f t="shared" si="4"/>
        <v>0</v>
      </c>
      <c r="D52" s="53">
        <f t="shared" si="5"/>
        <v>0</v>
      </c>
      <c r="E52" s="54">
        <f t="shared" si="6"/>
        <v>2</v>
      </c>
      <c r="F52" s="55">
        <f t="shared" si="7"/>
        <v>0</v>
      </c>
      <c r="G52" s="56">
        <f t="shared" si="8"/>
        <v>0</v>
      </c>
      <c r="H52" s="57">
        <f t="shared" si="9"/>
        <v>1</v>
      </c>
      <c r="I52" s="51">
        <f t="shared" si="10"/>
        <v>0</v>
      </c>
      <c r="J52" s="51">
        <f t="shared" si="11"/>
        <v>0</v>
      </c>
      <c r="K52" s="51">
        <f t="shared" si="12"/>
        <v>1</v>
      </c>
      <c r="N52" s="59">
        <f t="shared" si="13"/>
        <v>147.5</v>
      </c>
      <c r="O52" s="60">
        <f t="shared" si="14"/>
        <v>0</v>
      </c>
      <c r="P52" s="60">
        <f t="shared" si="15"/>
        <v>0</v>
      </c>
      <c r="Q52" s="60">
        <f t="shared" si="16"/>
        <v>2</v>
      </c>
      <c r="R52" s="60">
        <f t="shared" si="17"/>
        <v>0</v>
      </c>
      <c r="S52" s="60">
        <f t="shared" si="18"/>
        <v>0</v>
      </c>
      <c r="T52" s="60">
        <f t="shared" si="19"/>
        <v>1</v>
      </c>
      <c r="U52" s="60">
        <f t="shared" si="20"/>
        <v>0</v>
      </c>
      <c r="V52" s="60">
        <f t="shared" si="21"/>
        <v>0</v>
      </c>
      <c r="W52" s="60">
        <f t="shared" si="22"/>
        <v>1</v>
      </c>
    </row>
    <row r="53" spans="1:23" s="58" customFormat="1" x14ac:dyDescent="0.2">
      <c r="A53" s="50">
        <f t="shared" si="2"/>
        <v>125</v>
      </c>
      <c r="B53" s="51">
        <f t="shared" si="3"/>
        <v>150</v>
      </c>
      <c r="C53" s="52">
        <f t="shared" si="4"/>
        <v>0</v>
      </c>
      <c r="D53" s="53">
        <f t="shared" si="5"/>
        <v>0</v>
      </c>
      <c r="E53" s="54">
        <f t="shared" si="6"/>
        <v>2</v>
      </c>
      <c r="F53" s="55">
        <f t="shared" si="7"/>
        <v>0</v>
      </c>
      <c r="G53" s="56">
        <f t="shared" si="8"/>
        <v>0</v>
      </c>
      <c r="H53" s="57">
        <f t="shared" si="9"/>
        <v>1</v>
      </c>
      <c r="I53" s="51">
        <f t="shared" si="10"/>
        <v>0</v>
      </c>
      <c r="J53" s="51">
        <f t="shared" si="11"/>
        <v>1</v>
      </c>
      <c r="K53" s="51">
        <f t="shared" si="12"/>
        <v>0</v>
      </c>
      <c r="N53" s="59">
        <f t="shared" si="13"/>
        <v>150</v>
      </c>
      <c r="O53" s="60">
        <f t="shared" si="14"/>
        <v>0</v>
      </c>
      <c r="P53" s="60">
        <f t="shared" si="15"/>
        <v>0</v>
      </c>
      <c r="Q53" s="60">
        <f t="shared" si="16"/>
        <v>2</v>
      </c>
      <c r="R53" s="60">
        <f t="shared" si="17"/>
        <v>0</v>
      </c>
      <c r="S53" s="60">
        <f t="shared" si="18"/>
        <v>0</v>
      </c>
      <c r="T53" s="60">
        <f t="shared" si="19"/>
        <v>1</v>
      </c>
      <c r="U53" s="60">
        <f t="shared" si="20"/>
        <v>0</v>
      </c>
      <c r="V53" s="60">
        <f t="shared" si="21"/>
        <v>1</v>
      </c>
      <c r="W53" s="60">
        <f t="shared" si="22"/>
        <v>0</v>
      </c>
    </row>
    <row r="54" spans="1:23" s="58" customFormat="1" x14ac:dyDescent="0.2">
      <c r="A54" s="50">
        <f t="shared" si="2"/>
        <v>127.5</v>
      </c>
      <c r="B54" s="51">
        <f t="shared" si="3"/>
        <v>152.5</v>
      </c>
      <c r="C54" s="52">
        <f t="shared" si="4"/>
        <v>0</v>
      </c>
      <c r="D54" s="53">
        <f t="shared" si="5"/>
        <v>0</v>
      </c>
      <c r="E54" s="54">
        <f t="shared" si="6"/>
        <v>2</v>
      </c>
      <c r="F54" s="55">
        <f t="shared" si="7"/>
        <v>0</v>
      </c>
      <c r="G54" s="56">
        <f t="shared" si="8"/>
        <v>0</v>
      </c>
      <c r="H54" s="57">
        <f t="shared" si="9"/>
        <v>1</v>
      </c>
      <c r="I54" s="51">
        <f t="shared" si="10"/>
        <v>0</v>
      </c>
      <c r="J54" s="51">
        <f t="shared" si="11"/>
        <v>1</v>
      </c>
      <c r="K54" s="51">
        <f t="shared" si="12"/>
        <v>1</v>
      </c>
      <c r="N54" s="59">
        <f t="shared" si="13"/>
        <v>152.5</v>
      </c>
      <c r="O54" s="60">
        <f t="shared" si="14"/>
        <v>0</v>
      </c>
      <c r="P54" s="60">
        <f t="shared" si="15"/>
        <v>0</v>
      </c>
      <c r="Q54" s="60">
        <f t="shared" si="16"/>
        <v>2</v>
      </c>
      <c r="R54" s="60">
        <f t="shared" si="17"/>
        <v>0</v>
      </c>
      <c r="S54" s="60">
        <f t="shared" si="18"/>
        <v>0</v>
      </c>
      <c r="T54" s="60">
        <f t="shared" si="19"/>
        <v>1</v>
      </c>
      <c r="U54" s="60">
        <f t="shared" si="20"/>
        <v>0</v>
      </c>
      <c r="V54" s="60">
        <f t="shared" si="21"/>
        <v>1</v>
      </c>
      <c r="W54" s="60">
        <f t="shared" si="22"/>
        <v>1</v>
      </c>
    </row>
    <row r="55" spans="1:23" s="58" customFormat="1" x14ac:dyDescent="0.2">
      <c r="A55" s="50">
        <f t="shared" si="2"/>
        <v>130</v>
      </c>
      <c r="B55" s="51">
        <f t="shared" si="3"/>
        <v>155</v>
      </c>
      <c r="C55" s="52">
        <f t="shared" si="4"/>
        <v>0</v>
      </c>
      <c r="D55" s="53">
        <f t="shared" si="5"/>
        <v>0</v>
      </c>
      <c r="E55" s="54">
        <f t="shared" si="6"/>
        <v>2</v>
      </c>
      <c r="F55" s="55">
        <f t="shared" si="7"/>
        <v>0</v>
      </c>
      <c r="G55" s="56">
        <f t="shared" si="8"/>
        <v>1</v>
      </c>
      <c r="H55" s="57">
        <f t="shared" si="9"/>
        <v>0</v>
      </c>
      <c r="I55" s="51">
        <f t="shared" si="10"/>
        <v>0</v>
      </c>
      <c r="J55" s="51">
        <f t="shared" si="11"/>
        <v>0</v>
      </c>
      <c r="K55" s="51">
        <f t="shared" si="12"/>
        <v>0</v>
      </c>
      <c r="N55" s="59">
        <f t="shared" si="13"/>
        <v>155</v>
      </c>
      <c r="O55" s="60">
        <f t="shared" si="14"/>
        <v>0</v>
      </c>
      <c r="P55" s="60">
        <f t="shared" si="15"/>
        <v>0</v>
      </c>
      <c r="Q55" s="60">
        <f t="shared" si="16"/>
        <v>2</v>
      </c>
      <c r="R55" s="60">
        <f t="shared" si="17"/>
        <v>0</v>
      </c>
      <c r="S55" s="60">
        <f t="shared" si="18"/>
        <v>1</v>
      </c>
      <c r="T55" s="60">
        <f t="shared" si="19"/>
        <v>0</v>
      </c>
      <c r="U55" s="60">
        <f t="shared" si="20"/>
        <v>0</v>
      </c>
      <c r="V55" s="60">
        <f t="shared" si="21"/>
        <v>0</v>
      </c>
      <c r="W55" s="60">
        <f t="shared" si="22"/>
        <v>0</v>
      </c>
    </row>
    <row r="56" spans="1:23" s="58" customFormat="1" x14ac:dyDescent="0.2">
      <c r="A56" s="50">
        <f t="shared" si="2"/>
        <v>132.5</v>
      </c>
      <c r="B56" s="51">
        <f t="shared" si="3"/>
        <v>157.5</v>
      </c>
      <c r="C56" s="52">
        <f t="shared" si="4"/>
        <v>0</v>
      </c>
      <c r="D56" s="53">
        <f t="shared" si="5"/>
        <v>0</v>
      </c>
      <c r="E56" s="54">
        <f t="shared" si="6"/>
        <v>2</v>
      </c>
      <c r="F56" s="55">
        <f t="shared" si="7"/>
        <v>0</v>
      </c>
      <c r="G56" s="56">
        <f t="shared" si="8"/>
        <v>1</v>
      </c>
      <c r="H56" s="57">
        <f t="shared" si="9"/>
        <v>0</v>
      </c>
      <c r="I56" s="51">
        <f t="shared" si="10"/>
        <v>0</v>
      </c>
      <c r="J56" s="51">
        <f t="shared" si="11"/>
        <v>0</v>
      </c>
      <c r="K56" s="51">
        <f t="shared" si="12"/>
        <v>1</v>
      </c>
      <c r="N56" s="59">
        <f t="shared" si="13"/>
        <v>157.5</v>
      </c>
      <c r="O56" s="60">
        <f t="shared" si="14"/>
        <v>0</v>
      </c>
      <c r="P56" s="60">
        <f t="shared" si="15"/>
        <v>0</v>
      </c>
      <c r="Q56" s="60">
        <f t="shared" si="16"/>
        <v>2</v>
      </c>
      <c r="R56" s="60">
        <f t="shared" si="17"/>
        <v>0</v>
      </c>
      <c r="S56" s="60">
        <f t="shared" si="18"/>
        <v>1</v>
      </c>
      <c r="T56" s="60">
        <f t="shared" si="19"/>
        <v>0</v>
      </c>
      <c r="U56" s="60">
        <f t="shared" si="20"/>
        <v>0</v>
      </c>
      <c r="V56" s="60">
        <f t="shared" si="21"/>
        <v>0</v>
      </c>
      <c r="W56" s="60">
        <f t="shared" si="22"/>
        <v>1</v>
      </c>
    </row>
    <row r="57" spans="1:23" s="58" customFormat="1" x14ac:dyDescent="0.2">
      <c r="A57" s="50">
        <f t="shared" si="2"/>
        <v>135</v>
      </c>
      <c r="B57" s="51">
        <f t="shared" si="3"/>
        <v>160</v>
      </c>
      <c r="C57" s="52">
        <f t="shared" si="4"/>
        <v>0</v>
      </c>
      <c r="D57" s="53">
        <f t="shared" si="5"/>
        <v>0</v>
      </c>
      <c r="E57" s="54">
        <f t="shared" si="6"/>
        <v>2</v>
      </c>
      <c r="F57" s="55">
        <f t="shared" si="7"/>
        <v>0</v>
      </c>
      <c r="G57" s="56">
        <f t="shared" si="8"/>
        <v>1</v>
      </c>
      <c r="H57" s="57">
        <f t="shared" si="9"/>
        <v>0</v>
      </c>
      <c r="I57" s="51">
        <f t="shared" si="10"/>
        <v>0</v>
      </c>
      <c r="J57" s="51">
        <f t="shared" si="11"/>
        <v>1</v>
      </c>
      <c r="K57" s="51">
        <f t="shared" si="12"/>
        <v>0</v>
      </c>
      <c r="N57" s="59">
        <f t="shared" si="13"/>
        <v>160</v>
      </c>
      <c r="O57" s="60">
        <f t="shared" si="14"/>
        <v>0</v>
      </c>
      <c r="P57" s="60">
        <f t="shared" si="15"/>
        <v>0</v>
      </c>
      <c r="Q57" s="60">
        <f t="shared" si="16"/>
        <v>2</v>
      </c>
      <c r="R57" s="60">
        <f t="shared" si="17"/>
        <v>0</v>
      </c>
      <c r="S57" s="60">
        <f t="shared" si="18"/>
        <v>1</v>
      </c>
      <c r="T57" s="60">
        <f t="shared" si="19"/>
        <v>0</v>
      </c>
      <c r="U57" s="60">
        <f t="shared" si="20"/>
        <v>0</v>
      </c>
      <c r="V57" s="60">
        <f t="shared" si="21"/>
        <v>1</v>
      </c>
      <c r="W57" s="60">
        <f t="shared" si="22"/>
        <v>0</v>
      </c>
    </row>
    <row r="58" spans="1:23" s="58" customFormat="1" x14ac:dyDescent="0.2">
      <c r="A58" s="50">
        <f t="shared" si="2"/>
        <v>137.5</v>
      </c>
      <c r="B58" s="51">
        <f t="shared" si="3"/>
        <v>162.5</v>
      </c>
      <c r="C58" s="52">
        <f t="shared" si="4"/>
        <v>0</v>
      </c>
      <c r="D58" s="53">
        <f t="shared" si="5"/>
        <v>0</v>
      </c>
      <c r="E58" s="54">
        <f t="shared" si="6"/>
        <v>2</v>
      </c>
      <c r="F58" s="55">
        <f t="shared" si="7"/>
        <v>0</v>
      </c>
      <c r="G58" s="56">
        <f t="shared" si="8"/>
        <v>1</v>
      </c>
      <c r="H58" s="57">
        <f t="shared" si="9"/>
        <v>0</v>
      </c>
      <c r="I58" s="51">
        <f t="shared" si="10"/>
        <v>0</v>
      </c>
      <c r="J58" s="51">
        <f t="shared" si="11"/>
        <v>1</v>
      </c>
      <c r="K58" s="51">
        <f t="shared" si="12"/>
        <v>1</v>
      </c>
      <c r="N58" s="59">
        <f t="shared" si="13"/>
        <v>162.5</v>
      </c>
      <c r="O58" s="60">
        <f t="shared" si="14"/>
        <v>0</v>
      </c>
      <c r="P58" s="60">
        <f t="shared" si="15"/>
        <v>0</v>
      </c>
      <c r="Q58" s="60">
        <f t="shared" si="16"/>
        <v>2</v>
      </c>
      <c r="R58" s="60">
        <f t="shared" si="17"/>
        <v>0</v>
      </c>
      <c r="S58" s="60">
        <f t="shared" si="18"/>
        <v>1</v>
      </c>
      <c r="T58" s="60">
        <f t="shared" si="19"/>
        <v>0</v>
      </c>
      <c r="U58" s="60">
        <f t="shared" si="20"/>
        <v>0</v>
      </c>
      <c r="V58" s="60">
        <f t="shared" si="21"/>
        <v>1</v>
      </c>
      <c r="W58" s="60">
        <f t="shared" si="22"/>
        <v>1</v>
      </c>
    </row>
    <row r="59" spans="1:23" s="58" customFormat="1" x14ac:dyDescent="0.2">
      <c r="A59" s="50">
        <f t="shared" si="2"/>
        <v>140</v>
      </c>
      <c r="B59" s="51">
        <f t="shared" si="3"/>
        <v>165</v>
      </c>
      <c r="C59" s="52">
        <f t="shared" si="4"/>
        <v>0</v>
      </c>
      <c r="D59" s="53">
        <f t="shared" si="5"/>
        <v>0</v>
      </c>
      <c r="E59" s="54">
        <f t="shared" si="6"/>
        <v>2</v>
      </c>
      <c r="F59" s="55">
        <f t="shared" si="7"/>
        <v>1</v>
      </c>
      <c r="G59" s="56">
        <f t="shared" si="8"/>
        <v>0</v>
      </c>
      <c r="H59" s="57">
        <f t="shared" si="9"/>
        <v>0</v>
      </c>
      <c r="I59" s="51">
        <f t="shared" si="10"/>
        <v>0</v>
      </c>
      <c r="J59" s="51">
        <f t="shared" si="11"/>
        <v>0</v>
      </c>
      <c r="K59" s="51">
        <f t="shared" si="12"/>
        <v>0</v>
      </c>
      <c r="N59" s="59">
        <f t="shared" si="13"/>
        <v>165</v>
      </c>
      <c r="O59" s="60">
        <f t="shared" si="14"/>
        <v>0</v>
      </c>
      <c r="P59" s="60">
        <f t="shared" si="15"/>
        <v>0</v>
      </c>
      <c r="Q59" s="60">
        <f t="shared" si="16"/>
        <v>2</v>
      </c>
      <c r="R59" s="60">
        <f t="shared" si="17"/>
        <v>1</v>
      </c>
      <c r="S59" s="60">
        <f t="shared" si="18"/>
        <v>0</v>
      </c>
      <c r="T59" s="60">
        <f t="shared" si="19"/>
        <v>0</v>
      </c>
      <c r="U59" s="60">
        <f t="shared" si="20"/>
        <v>0</v>
      </c>
      <c r="V59" s="60">
        <f t="shared" si="21"/>
        <v>0</v>
      </c>
      <c r="W59" s="60">
        <f t="shared" si="22"/>
        <v>0</v>
      </c>
    </row>
    <row r="60" spans="1:23" s="58" customFormat="1" x14ac:dyDescent="0.2">
      <c r="A60" s="50">
        <f t="shared" si="2"/>
        <v>142.5</v>
      </c>
      <c r="B60" s="51">
        <f t="shared" si="3"/>
        <v>167.5</v>
      </c>
      <c r="C60" s="52">
        <f t="shared" si="4"/>
        <v>0</v>
      </c>
      <c r="D60" s="53">
        <f t="shared" si="5"/>
        <v>0</v>
      </c>
      <c r="E60" s="54">
        <f t="shared" si="6"/>
        <v>2</v>
      </c>
      <c r="F60" s="55">
        <f t="shared" si="7"/>
        <v>1</v>
      </c>
      <c r="G60" s="56">
        <f t="shared" si="8"/>
        <v>0</v>
      </c>
      <c r="H60" s="57">
        <f t="shared" si="9"/>
        <v>0</v>
      </c>
      <c r="I60" s="51">
        <f t="shared" si="10"/>
        <v>0</v>
      </c>
      <c r="J60" s="51">
        <f t="shared" si="11"/>
        <v>0</v>
      </c>
      <c r="K60" s="51">
        <f t="shared" si="12"/>
        <v>1</v>
      </c>
      <c r="N60" s="59">
        <f t="shared" si="13"/>
        <v>167.5</v>
      </c>
      <c r="O60" s="60">
        <f t="shared" si="14"/>
        <v>0</v>
      </c>
      <c r="P60" s="60">
        <f t="shared" si="15"/>
        <v>0</v>
      </c>
      <c r="Q60" s="60">
        <f t="shared" si="16"/>
        <v>2</v>
      </c>
      <c r="R60" s="60">
        <f t="shared" si="17"/>
        <v>1</v>
      </c>
      <c r="S60" s="60">
        <f t="shared" si="18"/>
        <v>0</v>
      </c>
      <c r="T60" s="60">
        <f t="shared" si="19"/>
        <v>0</v>
      </c>
      <c r="U60" s="60">
        <f t="shared" si="20"/>
        <v>0</v>
      </c>
      <c r="V60" s="60">
        <f t="shared" si="21"/>
        <v>0</v>
      </c>
      <c r="W60" s="60">
        <f t="shared" si="22"/>
        <v>1</v>
      </c>
    </row>
    <row r="61" spans="1:23" s="58" customFormat="1" x14ac:dyDescent="0.2">
      <c r="A61" s="50">
        <f t="shared" si="2"/>
        <v>145</v>
      </c>
      <c r="B61" s="51">
        <f t="shared" si="3"/>
        <v>170</v>
      </c>
      <c r="C61" s="52">
        <f t="shared" si="4"/>
        <v>0</v>
      </c>
      <c r="D61" s="53">
        <f t="shared" si="5"/>
        <v>0</v>
      </c>
      <c r="E61" s="54">
        <f t="shared" si="6"/>
        <v>2</v>
      </c>
      <c r="F61" s="55">
        <f t="shared" si="7"/>
        <v>1</v>
      </c>
      <c r="G61" s="56">
        <f t="shared" si="8"/>
        <v>0</v>
      </c>
      <c r="H61" s="57">
        <f t="shared" si="9"/>
        <v>0</v>
      </c>
      <c r="I61" s="51">
        <f t="shared" si="10"/>
        <v>0</v>
      </c>
      <c r="J61" s="51">
        <f t="shared" si="11"/>
        <v>1</v>
      </c>
      <c r="K61" s="51">
        <f t="shared" si="12"/>
        <v>0</v>
      </c>
      <c r="N61" s="59">
        <f t="shared" si="13"/>
        <v>170</v>
      </c>
      <c r="O61" s="60">
        <f t="shared" si="14"/>
        <v>0</v>
      </c>
      <c r="P61" s="60">
        <f t="shared" si="15"/>
        <v>0</v>
      </c>
      <c r="Q61" s="60">
        <f t="shared" si="16"/>
        <v>2</v>
      </c>
      <c r="R61" s="60">
        <f t="shared" si="17"/>
        <v>1</v>
      </c>
      <c r="S61" s="60">
        <f t="shared" si="18"/>
        <v>0</v>
      </c>
      <c r="T61" s="60">
        <f t="shared" si="19"/>
        <v>0</v>
      </c>
      <c r="U61" s="60">
        <f t="shared" si="20"/>
        <v>0</v>
      </c>
      <c r="V61" s="60">
        <f t="shared" si="21"/>
        <v>1</v>
      </c>
      <c r="W61" s="60">
        <f t="shared" si="22"/>
        <v>0</v>
      </c>
    </row>
    <row r="62" spans="1:23" s="58" customFormat="1" x14ac:dyDescent="0.2">
      <c r="A62" s="50">
        <f t="shared" si="2"/>
        <v>147.5</v>
      </c>
      <c r="B62" s="51">
        <f t="shared" si="3"/>
        <v>172.5</v>
      </c>
      <c r="C62" s="52">
        <f t="shared" si="4"/>
        <v>0</v>
      </c>
      <c r="D62" s="53">
        <f t="shared" si="5"/>
        <v>0</v>
      </c>
      <c r="E62" s="54">
        <f t="shared" si="6"/>
        <v>2</v>
      </c>
      <c r="F62" s="55">
        <f t="shared" si="7"/>
        <v>1</v>
      </c>
      <c r="G62" s="56">
        <f t="shared" si="8"/>
        <v>0</v>
      </c>
      <c r="H62" s="57">
        <f t="shared" si="9"/>
        <v>0</v>
      </c>
      <c r="I62" s="51">
        <f t="shared" si="10"/>
        <v>0</v>
      </c>
      <c r="J62" s="51">
        <f t="shared" si="11"/>
        <v>1</v>
      </c>
      <c r="K62" s="51">
        <f t="shared" si="12"/>
        <v>1</v>
      </c>
      <c r="N62" s="59">
        <f t="shared" si="13"/>
        <v>172.5</v>
      </c>
      <c r="O62" s="60">
        <f t="shared" si="14"/>
        <v>0</v>
      </c>
      <c r="P62" s="60">
        <f t="shared" si="15"/>
        <v>0</v>
      </c>
      <c r="Q62" s="60">
        <f t="shared" si="16"/>
        <v>2</v>
      </c>
      <c r="R62" s="60">
        <f t="shared" si="17"/>
        <v>1</v>
      </c>
      <c r="S62" s="60">
        <f t="shared" si="18"/>
        <v>0</v>
      </c>
      <c r="T62" s="60">
        <f t="shared" si="19"/>
        <v>0</v>
      </c>
      <c r="U62" s="60">
        <f t="shared" si="20"/>
        <v>0</v>
      </c>
      <c r="V62" s="60">
        <f t="shared" si="21"/>
        <v>1</v>
      </c>
      <c r="W62" s="60">
        <f t="shared" si="22"/>
        <v>1</v>
      </c>
    </row>
    <row r="63" spans="1:23" s="58" customFormat="1" x14ac:dyDescent="0.2">
      <c r="A63" s="50">
        <f t="shared" si="2"/>
        <v>150</v>
      </c>
      <c r="B63" s="51">
        <f t="shared" si="3"/>
        <v>175</v>
      </c>
      <c r="C63" s="52">
        <f t="shared" si="4"/>
        <v>0</v>
      </c>
      <c r="D63" s="53">
        <f t="shared" si="5"/>
        <v>0</v>
      </c>
      <c r="E63" s="54">
        <f t="shared" si="6"/>
        <v>3</v>
      </c>
      <c r="F63" s="55">
        <f t="shared" si="7"/>
        <v>0</v>
      </c>
      <c r="G63" s="56">
        <f t="shared" si="8"/>
        <v>0</v>
      </c>
      <c r="H63" s="57">
        <f t="shared" si="9"/>
        <v>0</v>
      </c>
      <c r="I63" s="51">
        <f t="shared" si="10"/>
        <v>0</v>
      </c>
      <c r="J63" s="51">
        <f t="shared" si="11"/>
        <v>0</v>
      </c>
      <c r="K63" s="51">
        <f t="shared" si="12"/>
        <v>0</v>
      </c>
      <c r="N63" s="59">
        <f t="shared" si="13"/>
        <v>175</v>
      </c>
      <c r="O63" s="60">
        <f t="shared" si="14"/>
        <v>0</v>
      </c>
      <c r="P63" s="60">
        <f t="shared" si="15"/>
        <v>0</v>
      </c>
      <c r="Q63" s="60">
        <f t="shared" si="16"/>
        <v>3</v>
      </c>
      <c r="R63" s="60">
        <f t="shared" si="17"/>
        <v>0</v>
      </c>
      <c r="S63" s="60">
        <f t="shared" si="18"/>
        <v>0</v>
      </c>
      <c r="T63" s="60">
        <f t="shared" si="19"/>
        <v>0</v>
      </c>
      <c r="U63" s="60">
        <f t="shared" si="20"/>
        <v>0</v>
      </c>
      <c r="V63" s="60">
        <f t="shared" si="21"/>
        <v>0</v>
      </c>
      <c r="W63" s="60">
        <f t="shared" si="22"/>
        <v>0</v>
      </c>
    </row>
    <row r="64" spans="1:23" s="58" customFormat="1" x14ac:dyDescent="0.2">
      <c r="A64" s="50">
        <f t="shared" si="2"/>
        <v>152.5</v>
      </c>
      <c r="B64" s="51">
        <f t="shared" si="3"/>
        <v>177.5</v>
      </c>
      <c r="C64" s="52">
        <f t="shared" si="4"/>
        <v>0</v>
      </c>
      <c r="D64" s="53">
        <f t="shared" si="5"/>
        <v>0</v>
      </c>
      <c r="E64" s="54">
        <f t="shared" si="6"/>
        <v>3</v>
      </c>
      <c r="F64" s="55">
        <f t="shared" si="7"/>
        <v>0</v>
      </c>
      <c r="G64" s="56">
        <f t="shared" si="8"/>
        <v>0</v>
      </c>
      <c r="H64" s="57">
        <f t="shared" si="9"/>
        <v>0</v>
      </c>
      <c r="I64" s="51">
        <f t="shared" si="10"/>
        <v>0</v>
      </c>
      <c r="J64" s="51">
        <f t="shared" si="11"/>
        <v>0</v>
      </c>
      <c r="K64" s="51">
        <f t="shared" si="12"/>
        <v>1</v>
      </c>
      <c r="N64" s="59">
        <f t="shared" si="13"/>
        <v>177.5</v>
      </c>
      <c r="O64" s="60">
        <f t="shared" si="14"/>
        <v>0</v>
      </c>
      <c r="P64" s="60">
        <f t="shared" si="15"/>
        <v>0</v>
      </c>
      <c r="Q64" s="60">
        <f t="shared" si="16"/>
        <v>3</v>
      </c>
      <c r="R64" s="60">
        <f t="shared" si="17"/>
        <v>0</v>
      </c>
      <c r="S64" s="60">
        <f t="shared" si="18"/>
        <v>0</v>
      </c>
      <c r="T64" s="60">
        <f t="shared" si="19"/>
        <v>0</v>
      </c>
      <c r="U64" s="60">
        <f t="shared" si="20"/>
        <v>0</v>
      </c>
      <c r="V64" s="60">
        <f t="shared" si="21"/>
        <v>0</v>
      </c>
      <c r="W64" s="60">
        <f t="shared" si="22"/>
        <v>1</v>
      </c>
    </row>
    <row r="65" spans="1:23" s="58" customFormat="1" x14ac:dyDescent="0.2">
      <c r="A65" s="50">
        <f t="shared" si="2"/>
        <v>155</v>
      </c>
      <c r="B65" s="51">
        <f t="shared" si="3"/>
        <v>180</v>
      </c>
      <c r="C65" s="52">
        <f t="shared" si="4"/>
        <v>0</v>
      </c>
      <c r="D65" s="53">
        <f t="shared" si="5"/>
        <v>0</v>
      </c>
      <c r="E65" s="54">
        <f t="shared" si="6"/>
        <v>3</v>
      </c>
      <c r="F65" s="55">
        <f t="shared" si="7"/>
        <v>0</v>
      </c>
      <c r="G65" s="56">
        <f t="shared" si="8"/>
        <v>0</v>
      </c>
      <c r="H65" s="57">
        <f t="shared" si="9"/>
        <v>0</v>
      </c>
      <c r="I65" s="51">
        <f t="shared" si="10"/>
        <v>0</v>
      </c>
      <c r="J65" s="51">
        <f t="shared" si="11"/>
        <v>1</v>
      </c>
      <c r="K65" s="51">
        <f t="shared" si="12"/>
        <v>0</v>
      </c>
      <c r="N65" s="59">
        <f t="shared" si="13"/>
        <v>180</v>
      </c>
      <c r="O65" s="60">
        <f t="shared" si="14"/>
        <v>0</v>
      </c>
      <c r="P65" s="60">
        <f t="shared" si="15"/>
        <v>0</v>
      </c>
      <c r="Q65" s="60">
        <f t="shared" si="16"/>
        <v>3</v>
      </c>
      <c r="R65" s="60">
        <f t="shared" si="17"/>
        <v>0</v>
      </c>
      <c r="S65" s="60">
        <f t="shared" si="18"/>
        <v>0</v>
      </c>
      <c r="T65" s="60">
        <f t="shared" si="19"/>
        <v>0</v>
      </c>
      <c r="U65" s="60">
        <f t="shared" si="20"/>
        <v>0</v>
      </c>
      <c r="V65" s="60">
        <f t="shared" si="21"/>
        <v>1</v>
      </c>
      <c r="W65" s="60">
        <f t="shared" si="22"/>
        <v>0</v>
      </c>
    </row>
    <row r="66" spans="1:23" s="58" customFormat="1" x14ac:dyDescent="0.2">
      <c r="A66" s="50">
        <f t="shared" si="2"/>
        <v>157.5</v>
      </c>
      <c r="B66" s="51">
        <f t="shared" si="3"/>
        <v>182.5</v>
      </c>
      <c r="C66" s="52">
        <f t="shared" si="4"/>
        <v>0</v>
      </c>
      <c r="D66" s="53">
        <f t="shared" si="5"/>
        <v>0</v>
      </c>
      <c r="E66" s="54">
        <f t="shared" si="6"/>
        <v>3</v>
      </c>
      <c r="F66" s="55">
        <f t="shared" si="7"/>
        <v>0</v>
      </c>
      <c r="G66" s="56">
        <f t="shared" si="8"/>
        <v>0</v>
      </c>
      <c r="H66" s="57">
        <f t="shared" si="9"/>
        <v>0</v>
      </c>
      <c r="I66" s="51">
        <f t="shared" si="10"/>
        <v>0</v>
      </c>
      <c r="J66" s="51">
        <f t="shared" si="11"/>
        <v>1</v>
      </c>
      <c r="K66" s="51">
        <f t="shared" si="12"/>
        <v>1</v>
      </c>
      <c r="N66" s="59">
        <f t="shared" si="13"/>
        <v>182.5</v>
      </c>
      <c r="O66" s="60">
        <f t="shared" si="14"/>
        <v>0</v>
      </c>
      <c r="P66" s="60">
        <f t="shared" si="15"/>
        <v>0</v>
      </c>
      <c r="Q66" s="60">
        <f t="shared" si="16"/>
        <v>3</v>
      </c>
      <c r="R66" s="60">
        <f t="shared" si="17"/>
        <v>0</v>
      </c>
      <c r="S66" s="60">
        <f t="shared" si="18"/>
        <v>0</v>
      </c>
      <c r="T66" s="60">
        <f t="shared" si="19"/>
        <v>0</v>
      </c>
      <c r="U66" s="60">
        <f t="shared" si="20"/>
        <v>0</v>
      </c>
      <c r="V66" s="60">
        <f t="shared" si="21"/>
        <v>1</v>
      </c>
      <c r="W66" s="60">
        <f t="shared" si="22"/>
        <v>1</v>
      </c>
    </row>
    <row r="67" spans="1:23" s="58" customFormat="1" x14ac:dyDescent="0.2">
      <c r="A67" s="50">
        <f t="shared" si="2"/>
        <v>160</v>
      </c>
      <c r="B67" s="51">
        <f t="shared" si="3"/>
        <v>185</v>
      </c>
      <c r="C67" s="52">
        <f t="shared" si="4"/>
        <v>0</v>
      </c>
      <c r="D67" s="53">
        <f t="shared" si="5"/>
        <v>0</v>
      </c>
      <c r="E67" s="54">
        <f t="shared" si="6"/>
        <v>3</v>
      </c>
      <c r="F67" s="55">
        <f t="shared" si="7"/>
        <v>0</v>
      </c>
      <c r="G67" s="56">
        <f t="shared" si="8"/>
        <v>0</v>
      </c>
      <c r="H67" s="57">
        <f t="shared" si="9"/>
        <v>0</v>
      </c>
      <c r="I67" s="51">
        <f t="shared" si="10"/>
        <v>1</v>
      </c>
      <c r="J67" s="51">
        <f t="shared" si="11"/>
        <v>0</v>
      </c>
      <c r="K67" s="51">
        <f t="shared" si="12"/>
        <v>0</v>
      </c>
      <c r="N67" s="59">
        <f t="shared" si="13"/>
        <v>185</v>
      </c>
      <c r="O67" s="60">
        <f t="shared" si="14"/>
        <v>0</v>
      </c>
      <c r="P67" s="60">
        <f t="shared" si="15"/>
        <v>0</v>
      </c>
      <c r="Q67" s="60">
        <f t="shared" si="16"/>
        <v>3</v>
      </c>
      <c r="R67" s="60">
        <f t="shared" si="17"/>
        <v>0</v>
      </c>
      <c r="S67" s="60">
        <f t="shared" si="18"/>
        <v>0</v>
      </c>
      <c r="T67" s="60">
        <f t="shared" si="19"/>
        <v>0</v>
      </c>
      <c r="U67" s="60">
        <f t="shared" si="20"/>
        <v>1</v>
      </c>
      <c r="V67" s="60">
        <f t="shared" si="21"/>
        <v>0</v>
      </c>
      <c r="W67" s="60">
        <f t="shared" si="22"/>
        <v>0</v>
      </c>
    </row>
    <row r="68" spans="1:23" s="58" customFormat="1" x14ac:dyDescent="0.2">
      <c r="A68" s="50">
        <f t="shared" si="2"/>
        <v>162.5</v>
      </c>
      <c r="B68" s="51">
        <f t="shared" si="3"/>
        <v>187.5</v>
      </c>
      <c r="C68" s="52">
        <f t="shared" si="4"/>
        <v>0</v>
      </c>
      <c r="D68" s="53">
        <f t="shared" si="5"/>
        <v>0</v>
      </c>
      <c r="E68" s="54">
        <f t="shared" si="6"/>
        <v>3</v>
      </c>
      <c r="F68" s="55">
        <f t="shared" si="7"/>
        <v>0</v>
      </c>
      <c r="G68" s="56">
        <f t="shared" si="8"/>
        <v>0</v>
      </c>
      <c r="H68" s="57">
        <f t="shared" si="9"/>
        <v>0</v>
      </c>
      <c r="I68" s="51">
        <f t="shared" si="10"/>
        <v>1</v>
      </c>
      <c r="J68" s="51">
        <f t="shared" si="11"/>
        <v>0</v>
      </c>
      <c r="K68" s="51">
        <f t="shared" si="12"/>
        <v>1</v>
      </c>
      <c r="N68" s="59">
        <f t="shared" si="13"/>
        <v>187.5</v>
      </c>
      <c r="O68" s="60">
        <f t="shared" si="14"/>
        <v>0</v>
      </c>
      <c r="P68" s="60">
        <f t="shared" si="15"/>
        <v>0</v>
      </c>
      <c r="Q68" s="60">
        <f t="shared" si="16"/>
        <v>3</v>
      </c>
      <c r="R68" s="60">
        <f t="shared" si="17"/>
        <v>0</v>
      </c>
      <c r="S68" s="60">
        <f t="shared" si="18"/>
        <v>0</v>
      </c>
      <c r="T68" s="60">
        <f t="shared" si="19"/>
        <v>0</v>
      </c>
      <c r="U68" s="60">
        <f t="shared" si="20"/>
        <v>1</v>
      </c>
      <c r="V68" s="60">
        <f t="shared" si="21"/>
        <v>0</v>
      </c>
      <c r="W68" s="60">
        <f t="shared" si="22"/>
        <v>1</v>
      </c>
    </row>
    <row r="69" spans="1:23" s="58" customFormat="1" x14ac:dyDescent="0.2">
      <c r="A69" s="50">
        <f t="shared" ref="A69:A132" si="23">IF($B$2="Kg",B69-25,B69-55)</f>
        <v>165</v>
      </c>
      <c r="B69" s="51">
        <f t="shared" ref="B69:B132" si="24">IF($B$2="Kg",B68+2.5,B68+5)</f>
        <v>190</v>
      </c>
      <c r="C69" s="52">
        <f t="shared" ref="C69:C132" si="25">IF($C$1=0,0,MAX(C67/2,INT(A69/(2*C68))))</f>
        <v>0</v>
      </c>
      <c r="D69" s="53">
        <f t="shared" ref="D69:D132" si="26">IF($D$1=0,0,MIN(INT((A69-2*$C$2*C69)/(2*$D$2)),$D$1/2))</f>
        <v>0</v>
      </c>
      <c r="E69" s="54">
        <f t="shared" ref="E69:E132" si="27">IF($E$1=0,0,MIN(INT((A69-2*$C$2*C69-2*$D$2*D69)/(2*$E$2)),$E$1/2))</f>
        <v>3</v>
      </c>
      <c r="F69" s="55">
        <f t="shared" ref="F69:F132" si="28">IF($F$1=0,0,MIN(INT((A69-2*$C$2*C69-2*$D$2*D69-2*$E$2*E69)/(2*$F$2)),$F$1/2))</f>
        <v>0</v>
      </c>
      <c r="G69" s="56">
        <f t="shared" ref="G69:G132" si="29">IF($G$1=0,0,MIN(INT((A69-2*$C$2*C69-2*$D$2*D69-2*$E$2*E69-2*$F$2*F69)/(2*$G$2)),$G$1/2))</f>
        <v>0</v>
      </c>
      <c r="H69" s="57">
        <f t="shared" ref="H69:H132" si="30">IF($H$1=0,0,MIN(INT((A69-2*$C$2*C69-2*$D$2*D69-2*$E$2*E69-2*$F$2*F69-2*$G$2*G69)/(2*$H$2)),$H$1/2))</f>
        <v>0</v>
      </c>
      <c r="I69" s="51">
        <f t="shared" ref="I69:I132" si="31">IF($I$1=0,0,MIN(INT((A69-2*$C$2*C69-2*$D$2*D69-2*$E$2*E69-2*$F$2*F69-2*$G$2*G69-2*$H$2*H69)/(2*$I$2)),$I$1/2))</f>
        <v>1</v>
      </c>
      <c r="J69" s="51">
        <f t="shared" ref="J69:J132" si="32">IF($J$1=0,0,MIN(INT((A69-2*$C$2*C69-2*$D$2*D69-2*$E$2*E69-2*$F$2*F69-2*$G$2*G69-2*$H$2*H69-2*$I$2*I69)/(2*$J$2)),$J$1/2))</f>
        <v>1</v>
      </c>
      <c r="K69" s="51">
        <f t="shared" ref="K69:K132" si="33">IF($K$1=0,0,MIN(INT((A69-2*$C$2*C69-2*$D$2*D69-2*$E$2*E69-2*$F$2*F69-2*$G$2*G69-2*$H$2*H69-2*$I$2*I69-2*$J$2*J69)/(2*$K$2)),$K$1/2))</f>
        <v>0</v>
      </c>
      <c r="N69" s="59">
        <f t="shared" ref="N69:N132" si="34">B69</f>
        <v>190</v>
      </c>
      <c r="O69" s="60">
        <f t="shared" ref="O69:O132" si="35">C69</f>
        <v>0</v>
      </c>
      <c r="P69" s="60">
        <f t="shared" ref="P69:P132" si="36">D69</f>
        <v>0</v>
      </c>
      <c r="Q69" s="60">
        <f t="shared" ref="Q69:Q132" si="37">E69</f>
        <v>3</v>
      </c>
      <c r="R69" s="60">
        <f t="shared" ref="R69:R132" si="38">F69</f>
        <v>0</v>
      </c>
      <c r="S69" s="60">
        <f t="shared" ref="S69:S132" si="39">G69</f>
        <v>0</v>
      </c>
      <c r="T69" s="60">
        <f t="shared" ref="T69:T132" si="40">H69</f>
        <v>0</v>
      </c>
      <c r="U69" s="60">
        <f t="shared" ref="U69:U132" si="41">I69</f>
        <v>1</v>
      </c>
      <c r="V69" s="60">
        <f t="shared" ref="V69:V132" si="42">J69</f>
        <v>1</v>
      </c>
      <c r="W69" s="60">
        <f t="shared" ref="W69:W132" si="43">K69</f>
        <v>0</v>
      </c>
    </row>
    <row r="70" spans="1:23" s="58" customFormat="1" x14ac:dyDescent="0.2">
      <c r="A70" s="50">
        <f t="shared" si="23"/>
        <v>167.5</v>
      </c>
      <c r="B70" s="51">
        <f t="shared" si="24"/>
        <v>192.5</v>
      </c>
      <c r="C70" s="52">
        <f t="shared" si="25"/>
        <v>0</v>
      </c>
      <c r="D70" s="53">
        <f t="shared" si="26"/>
        <v>0</v>
      </c>
      <c r="E70" s="54">
        <f t="shared" si="27"/>
        <v>3</v>
      </c>
      <c r="F70" s="55">
        <f t="shared" si="28"/>
        <v>0</v>
      </c>
      <c r="G70" s="56">
        <f t="shared" si="29"/>
        <v>0</v>
      </c>
      <c r="H70" s="57">
        <f t="shared" si="30"/>
        <v>0</v>
      </c>
      <c r="I70" s="51">
        <f t="shared" si="31"/>
        <v>1</v>
      </c>
      <c r="J70" s="51">
        <f t="shared" si="32"/>
        <v>1</v>
      </c>
      <c r="K70" s="51">
        <f t="shared" si="33"/>
        <v>1</v>
      </c>
      <c r="N70" s="59">
        <f t="shared" si="34"/>
        <v>192.5</v>
      </c>
      <c r="O70" s="60">
        <f t="shared" si="35"/>
        <v>0</v>
      </c>
      <c r="P70" s="60">
        <f t="shared" si="36"/>
        <v>0</v>
      </c>
      <c r="Q70" s="60">
        <f t="shared" si="37"/>
        <v>3</v>
      </c>
      <c r="R70" s="60">
        <f t="shared" si="38"/>
        <v>0</v>
      </c>
      <c r="S70" s="60">
        <f t="shared" si="39"/>
        <v>0</v>
      </c>
      <c r="T70" s="60">
        <f t="shared" si="40"/>
        <v>0</v>
      </c>
      <c r="U70" s="60">
        <f t="shared" si="41"/>
        <v>1</v>
      </c>
      <c r="V70" s="60">
        <f t="shared" si="42"/>
        <v>1</v>
      </c>
      <c r="W70" s="60">
        <f t="shared" si="43"/>
        <v>1</v>
      </c>
    </row>
    <row r="71" spans="1:23" s="58" customFormat="1" x14ac:dyDescent="0.2">
      <c r="A71" s="50">
        <f t="shared" si="23"/>
        <v>170</v>
      </c>
      <c r="B71" s="51">
        <f t="shared" si="24"/>
        <v>195</v>
      </c>
      <c r="C71" s="52">
        <f t="shared" si="25"/>
        <v>0</v>
      </c>
      <c r="D71" s="53">
        <f t="shared" si="26"/>
        <v>0</v>
      </c>
      <c r="E71" s="54">
        <f t="shared" si="27"/>
        <v>3</v>
      </c>
      <c r="F71" s="55">
        <f t="shared" si="28"/>
        <v>0</v>
      </c>
      <c r="G71" s="56">
        <f t="shared" si="29"/>
        <v>0</v>
      </c>
      <c r="H71" s="57">
        <f t="shared" si="30"/>
        <v>1</v>
      </c>
      <c r="I71" s="51">
        <f t="shared" si="31"/>
        <v>0</v>
      </c>
      <c r="J71" s="51">
        <f t="shared" si="32"/>
        <v>0</v>
      </c>
      <c r="K71" s="51">
        <f t="shared" si="33"/>
        <v>0</v>
      </c>
      <c r="N71" s="59">
        <f t="shared" si="34"/>
        <v>195</v>
      </c>
      <c r="O71" s="60">
        <f t="shared" si="35"/>
        <v>0</v>
      </c>
      <c r="P71" s="60">
        <f t="shared" si="36"/>
        <v>0</v>
      </c>
      <c r="Q71" s="60">
        <f t="shared" si="37"/>
        <v>3</v>
      </c>
      <c r="R71" s="60">
        <f t="shared" si="38"/>
        <v>0</v>
      </c>
      <c r="S71" s="60">
        <f t="shared" si="39"/>
        <v>0</v>
      </c>
      <c r="T71" s="60">
        <f t="shared" si="40"/>
        <v>1</v>
      </c>
      <c r="U71" s="60">
        <f t="shared" si="41"/>
        <v>0</v>
      </c>
      <c r="V71" s="60">
        <f t="shared" si="42"/>
        <v>0</v>
      </c>
      <c r="W71" s="60">
        <f t="shared" si="43"/>
        <v>0</v>
      </c>
    </row>
    <row r="72" spans="1:23" s="58" customFormat="1" x14ac:dyDescent="0.2">
      <c r="A72" s="50">
        <f t="shared" si="23"/>
        <v>172.5</v>
      </c>
      <c r="B72" s="51">
        <f t="shared" si="24"/>
        <v>197.5</v>
      </c>
      <c r="C72" s="52">
        <f t="shared" si="25"/>
        <v>0</v>
      </c>
      <c r="D72" s="53">
        <f t="shared" si="26"/>
        <v>0</v>
      </c>
      <c r="E72" s="54">
        <f t="shared" si="27"/>
        <v>3</v>
      </c>
      <c r="F72" s="55">
        <f t="shared" si="28"/>
        <v>0</v>
      </c>
      <c r="G72" s="56">
        <f t="shared" si="29"/>
        <v>0</v>
      </c>
      <c r="H72" s="57">
        <f t="shared" si="30"/>
        <v>1</v>
      </c>
      <c r="I72" s="51">
        <f t="shared" si="31"/>
        <v>0</v>
      </c>
      <c r="J72" s="51">
        <f t="shared" si="32"/>
        <v>0</v>
      </c>
      <c r="K72" s="51">
        <f t="shared" si="33"/>
        <v>1</v>
      </c>
      <c r="N72" s="59">
        <f t="shared" si="34"/>
        <v>197.5</v>
      </c>
      <c r="O72" s="60">
        <f t="shared" si="35"/>
        <v>0</v>
      </c>
      <c r="P72" s="60">
        <f t="shared" si="36"/>
        <v>0</v>
      </c>
      <c r="Q72" s="60">
        <f t="shared" si="37"/>
        <v>3</v>
      </c>
      <c r="R72" s="60">
        <f t="shared" si="38"/>
        <v>0</v>
      </c>
      <c r="S72" s="60">
        <f t="shared" si="39"/>
        <v>0</v>
      </c>
      <c r="T72" s="60">
        <f t="shared" si="40"/>
        <v>1</v>
      </c>
      <c r="U72" s="60">
        <f t="shared" si="41"/>
        <v>0</v>
      </c>
      <c r="V72" s="60">
        <f t="shared" si="42"/>
        <v>0</v>
      </c>
      <c r="W72" s="60">
        <f t="shared" si="43"/>
        <v>1</v>
      </c>
    </row>
    <row r="73" spans="1:23" s="58" customFormat="1" x14ac:dyDescent="0.2">
      <c r="A73" s="50">
        <f t="shared" si="23"/>
        <v>175</v>
      </c>
      <c r="B73" s="51">
        <f t="shared" si="24"/>
        <v>200</v>
      </c>
      <c r="C73" s="52">
        <f t="shared" si="25"/>
        <v>0</v>
      </c>
      <c r="D73" s="53">
        <f t="shared" si="26"/>
        <v>0</v>
      </c>
      <c r="E73" s="54">
        <f t="shared" si="27"/>
        <v>3</v>
      </c>
      <c r="F73" s="55">
        <f t="shared" si="28"/>
        <v>0</v>
      </c>
      <c r="G73" s="56">
        <f t="shared" si="29"/>
        <v>0</v>
      </c>
      <c r="H73" s="57">
        <f t="shared" si="30"/>
        <v>1</v>
      </c>
      <c r="I73" s="51">
        <f t="shared" si="31"/>
        <v>0</v>
      </c>
      <c r="J73" s="51">
        <f t="shared" si="32"/>
        <v>1</v>
      </c>
      <c r="K73" s="51">
        <f t="shared" si="33"/>
        <v>0</v>
      </c>
      <c r="N73" s="59">
        <f t="shared" si="34"/>
        <v>200</v>
      </c>
      <c r="O73" s="60">
        <f t="shared" si="35"/>
        <v>0</v>
      </c>
      <c r="P73" s="60">
        <f t="shared" si="36"/>
        <v>0</v>
      </c>
      <c r="Q73" s="60">
        <f t="shared" si="37"/>
        <v>3</v>
      </c>
      <c r="R73" s="60">
        <f t="shared" si="38"/>
        <v>0</v>
      </c>
      <c r="S73" s="60">
        <f t="shared" si="39"/>
        <v>0</v>
      </c>
      <c r="T73" s="60">
        <f t="shared" si="40"/>
        <v>1</v>
      </c>
      <c r="U73" s="60">
        <f t="shared" si="41"/>
        <v>0</v>
      </c>
      <c r="V73" s="60">
        <f t="shared" si="42"/>
        <v>1</v>
      </c>
      <c r="W73" s="60">
        <f t="shared" si="43"/>
        <v>0</v>
      </c>
    </row>
    <row r="74" spans="1:23" s="58" customFormat="1" x14ac:dyDescent="0.2">
      <c r="A74" s="50">
        <f t="shared" si="23"/>
        <v>177.5</v>
      </c>
      <c r="B74" s="51">
        <f t="shared" si="24"/>
        <v>202.5</v>
      </c>
      <c r="C74" s="52">
        <f t="shared" si="25"/>
        <v>0</v>
      </c>
      <c r="D74" s="53">
        <f t="shared" si="26"/>
        <v>0</v>
      </c>
      <c r="E74" s="54">
        <f t="shared" si="27"/>
        <v>3</v>
      </c>
      <c r="F74" s="55">
        <f t="shared" si="28"/>
        <v>0</v>
      </c>
      <c r="G74" s="56">
        <f t="shared" si="29"/>
        <v>0</v>
      </c>
      <c r="H74" s="57">
        <f t="shared" si="30"/>
        <v>1</v>
      </c>
      <c r="I74" s="51">
        <f t="shared" si="31"/>
        <v>0</v>
      </c>
      <c r="J74" s="51">
        <f t="shared" si="32"/>
        <v>1</v>
      </c>
      <c r="K74" s="51">
        <f t="shared" si="33"/>
        <v>1</v>
      </c>
      <c r="N74" s="59">
        <f t="shared" si="34"/>
        <v>202.5</v>
      </c>
      <c r="O74" s="60">
        <f t="shared" si="35"/>
        <v>0</v>
      </c>
      <c r="P74" s="60">
        <f t="shared" si="36"/>
        <v>0</v>
      </c>
      <c r="Q74" s="60">
        <f t="shared" si="37"/>
        <v>3</v>
      </c>
      <c r="R74" s="60">
        <f t="shared" si="38"/>
        <v>0</v>
      </c>
      <c r="S74" s="60">
        <f t="shared" si="39"/>
        <v>0</v>
      </c>
      <c r="T74" s="60">
        <f t="shared" si="40"/>
        <v>1</v>
      </c>
      <c r="U74" s="60">
        <f t="shared" si="41"/>
        <v>0</v>
      </c>
      <c r="V74" s="60">
        <f t="shared" si="42"/>
        <v>1</v>
      </c>
      <c r="W74" s="60">
        <f t="shared" si="43"/>
        <v>1</v>
      </c>
    </row>
    <row r="75" spans="1:23" s="58" customFormat="1" x14ac:dyDescent="0.2">
      <c r="A75" s="50">
        <f t="shared" si="23"/>
        <v>180</v>
      </c>
      <c r="B75" s="51">
        <f t="shared" si="24"/>
        <v>205</v>
      </c>
      <c r="C75" s="52">
        <f t="shared" si="25"/>
        <v>0</v>
      </c>
      <c r="D75" s="53">
        <f t="shared" si="26"/>
        <v>0</v>
      </c>
      <c r="E75" s="54">
        <f t="shared" si="27"/>
        <v>3</v>
      </c>
      <c r="F75" s="55">
        <f t="shared" si="28"/>
        <v>0</v>
      </c>
      <c r="G75" s="56">
        <f t="shared" si="29"/>
        <v>1</v>
      </c>
      <c r="H75" s="57">
        <f t="shared" si="30"/>
        <v>0</v>
      </c>
      <c r="I75" s="51">
        <f t="shared" si="31"/>
        <v>0</v>
      </c>
      <c r="J75" s="51">
        <f t="shared" si="32"/>
        <v>0</v>
      </c>
      <c r="K75" s="51">
        <f t="shared" si="33"/>
        <v>0</v>
      </c>
      <c r="N75" s="59">
        <f t="shared" si="34"/>
        <v>205</v>
      </c>
      <c r="O75" s="60">
        <f t="shared" si="35"/>
        <v>0</v>
      </c>
      <c r="P75" s="60">
        <f t="shared" si="36"/>
        <v>0</v>
      </c>
      <c r="Q75" s="60">
        <f t="shared" si="37"/>
        <v>3</v>
      </c>
      <c r="R75" s="60">
        <f t="shared" si="38"/>
        <v>0</v>
      </c>
      <c r="S75" s="60">
        <f t="shared" si="39"/>
        <v>1</v>
      </c>
      <c r="T75" s="60">
        <f t="shared" si="40"/>
        <v>0</v>
      </c>
      <c r="U75" s="60">
        <f t="shared" si="41"/>
        <v>0</v>
      </c>
      <c r="V75" s="60">
        <f t="shared" si="42"/>
        <v>0</v>
      </c>
      <c r="W75" s="60">
        <f t="shared" si="43"/>
        <v>0</v>
      </c>
    </row>
    <row r="76" spans="1:23" s="58" customFormat="1" x14ac:dyDescent="0.2">
      <c r="A76" s="50">
        <f t="shared" si="23"/>
        <v>182.5</v>
      </c>
      <c r="B76" s="51">
        <f t="shared" si="24"/>
        <v>207.5</v>
      </c>
      <c r="C76" s="52">
        <f t="shared" si="25"/>
        <v>0</v>
      </c>
      <c r="D76" s="53">
        <f t="shared" si="26"/>
        <v>0</v>
      </c>
      <c r="E76" s="54">
        <f t="shared" si="27"/>
        <v>3</v>
      </c>
      <c r="F76" s="55">
        <f t="shared" si="28"/>
        <v>0</v>
      </c>
      <c r="G76" s="56">
        <f t="shared" si="29"/>
        <v>1</v>
      </c>
      <c r="H76" s="57">
        <f t="shared" si="30"/>
        <v>0</v>
      </c>
      <c r="I76" s="51">
        <f t="shared" si="31"/>
        <v>0</v>
      </c>
      <c r="J76" s="51">
        <f t="shared" si="32"/>
        <v>0</v>
      </c>
      <c r="K76" s="51">
        <f t="shared" si="33"/>
        <v>1</v>
      </c>
      <c r="N76" s="59">
        <f t="shared" si="34"/>
        <v>207.5</v>
      </c>
      <c r="O76" s="60">
        <f t="shared" si="35"/>
        <v>0</v>
      </c>
      <c r="P76" s="60">
        <f t="shared" si="36"/>
        <v>0</v>
      </c>
      <c r="Q76" s="60">
        <f t="shared" si="37"/>
        <v>3</v>
      </c>
      <c r="R76" s="60">
        <f t="shared" si="38"/>
        <v>0</v>
      </c>
      <c r="S76" s="60">
        <f t="shared" si="39"/>
        <v>1</v>
      </c>
      <c r="T76" s="60">
        <f t="shared" si="40"/>
        <v>0</v>
      </c>
      <c r="U76" s="60">
        <f t="shared" si="41"/>
        <v>0</v>
      </c>
      <c r="V76" s="60">
        <f t="shared" si="42"/>
        <v>0</v>
      </c>
      <c r="W76" s="60">
        <f t="shared" si="43"/>
        <v>1</v>
      </c>
    </row>
    <row r="77" spans="1:23" s="58" customFormat="1" x14ac:dyDescent="0.2">
      <c r="A77" s="50">
        <f t="shared" si="23"/>
        <v>185</v>
      </c>
      <c r="B77" s="51">
        <f t="shared" si="24"/>
        <v>210</v>
      </c>
      <c r="C77" s="52">
        <f t="shared" si="25"/>
        <v>0</v>
      </c>
      <c r="D77" s="53">
        <f t="shared" si="26"/>
        <v>0</v>
      </c>
      <c r="E77" s="54">
        <f t="shared" si="27"/>
        <v>3</v>
      </c>
      <c r="F77" s="55">
        <f t="shared" si="28"/>
        <v>0</v>
      </c>
      <c r="G77" s="56">
        <f t="shared" si="29"/>
        <v>1</v>
      </c>
      <c r="H77" s="57">
        <f t="shared" si="30"/>
        <v>0</v>
      </c>
      <c r="I77" s="51">
        <f t="shared" si="31"/>
        <v>0</v>
      </c>
      <c r="J77" s="51">
        <f t="shared" si="32"/>
        <v>1</v>
      </c>
      <c r="K77" s="51">
        <f t="shared" si="33"/>
        <v>0</v>
      </c>
      <c r="N77" s="59">
        <f t="shared" si="34"/>
        <v>210</v>
      </c>
      <c r="O77" s="60">
        <f t="shared" si="35"/>
        <v>0</v>
      </c>
      <c r="P77" s="60">
        <f t="shared" si="36"/>
        <v>0</v>
      </c>
      <c r="Q77" s="60">
        <f t="shared" si="37"/>
        <v>3</v>
      </c>
      <c r="R77" s="60">
        <f t="shared" si="38"/>
        <v>0</v>
      </c>
      <c r="S77" s="60">
        <f t="shared" si="39"/>
        <v>1</v>
      </c>
      <c r="T77" s="60">
        <f t="shared" si="40"/>
        <v>0</v>
      </c>
      <c r="U77" s="60">
        <f t="shared" si="41"/>
        <v>0</v>
      </c>
      <c r="V77" s="60">
        <f t="shared" si="42"/>
        <v>1</v>
      </c>
      <c r="W77" s="60">
        <f t="shared" si="43"/>
        <v>0</v>
      </c>
    </row>
    <row r="78" spans="1:23" s="58" customFormat="1" x14ac:dyDescent="0.2">
      <c r="A78" s="50">
        <f t="shared" si="23"/>
        <v>187.5</v>
      </c>
      <c r="B78" s="51">
        <f t="shared" si="24"/>
        <v>212.5</v>
      </c>
      <c r="C78" s="52">
        <f t="shared" si="25"/>
        <v>0</v>
      </c>
      <c r="D78" s="53">
        <f t="shared" si="26"/>
        <v>0</v>
      </c>
      <c r="E78" s="54">
        <f t="shared" si="27"/>
        <v>3</v>
      </c>
      <c r="F78" s="55">
        <f t="shared" si="28"/>
        <v>0</v>
      </c>
      <c r="G78" s="56">
        <f t="shared" si="29"/>
        <v>1</v>
      </c>
      <c r="H78" s="57">
        <f t="shared" si="30"/>
        <v>0</v>
      </c>
      <c r="I78" s="51">
        <f t="shared" si="31"/>
        <v>0</v>
      </c>
      <c r="J78" s="51">
        <f t="shared" si="32"/>
        <v>1</v>
      </c>
      <c r="K78" s="51">
        <f t="shared" si="33"/>
        <v>1</v>
      </c>
      <c r="N78" s="59">
        <f t="shared" si="34"/>
        <v>212.5</v>
      </c>
      <c r="O78" s="60">
        <f t="shared" si="35"/>
        <v>0</v>
      </c>
      <c r="P78" s="60">
        <f t="shared" si="36"/>
        <v>0</v>
      </c>
      <c r="Q78" s="60">
        <f t="shared" si="37"/>
        <v>3</v>
      </c>
      <c r="R78" s="60">
        <f t="shared" si="38"/>
        <v>0</v>
      </c>
      <c r="S78" s="60">
        <f t="shared" si="39"/>
        <v>1</v>
      </c>
      <c r="T78" s="60">
        <f t="shared" si="40"/>
        <v>0</v>
      </c>
      <c r="U78" s="60">
        <f t="shared" si="41"/>
        <v>0</v>
      </c>
      <c r="V78" s="60">
        <f t="shared" si="42"/>
        <v>1</v>
      </c>
      <c r="W78" s="60">
        <f t="shared" si="43"/>
        <v>1</v>
      </c>
    </row>
    <row r="79" spans="1:23" s="58" customFormat="1" x14ac:dyDescent="0.2">
      <c r="A79" s="50">
        <f t="shared" si="23"/>
        <v>190</v>
      </c>
      <c r="B79" s="51">
        <f t="shared" si="24"/>
        <v>215</v>
      </c>
      <c r="C79" s="52">
        <f t="shared" si="25"/>
        <v>0</v>
      </c>
      <c r="D79" s="53">
        <f t="shared" si="26"/>
        <v>0</v>
      </c>
      <c r="E79" s="54">
        <f t="shared" si="27"/>
        <v>3</v>
      </c>
      <c r="F79" s="55">
        <f t="shared" si="28"/>
        <v>1</v>
      </c>
      <c r="G79" s="56">
        <f t="shared" si="29"/>
        <v>0</v>
      </c>
      <c r="H79" s="57">
        <f t="shared" si="30"/>
        <v>0</v>
      </c>
      <c r="I79" s="51">
        <f t="shared" si="31"/>
        <v>0</v>
      </c>
      <c r="J79" s="51">
        <f t="shared" si="32"/>
        <v>0</v>
      </c>
      <c r="K79" s="51">
        <f t="shared" si="33"/>
        <v>0</v>
      </c>
      <c r="N79" s="59">
        <f t="shared" si="34"/>
        <v>215</v>
      </c>
      <c r="O79" s="60">
        <f t="shared" si="35"/>
        <v>0</v>
      </c>
      <c r="P79" s="60">
        <f t="shared" si="36"/>
        <v>0</v>
      </c>
      <c r="Q79" s="60">
        <f t="shared" si="37"/>
        <v>3</v>
      </c>
      <c r="R79" s="60">
        <f t="shared" si="38"/>
        <v>1</v>
      </c>
      <c r="S79" s="60">
        <f t="shared" si="39"/>
        <v>0</v>
      </c>
      <c r="T79" s="60">
        <f t="shared" si="40"/>
        <v>0</v>
      </c>
      <c r="U79" s="60">
        <f t="shared" si="41"/>
        <v>0</v>
      </c>
      <c r="V79" s="60">
        <f t="shared" si="42"/>
        <v>0</v>
      </c>
      <c r="W79" s="60">
        <f t="shared" si="43"/>
        <v>0</v>
      </c>
    </row>
    <row r="80" spans="1:23" s="58" customFormat="1" x14ac:dyDescent="0.2">
      <c r="A80" s="50">
        <f t="shared" si="23"/>
        <v>192.5</v>
      </c>
      <c r="B80" s="51">
        <f t="shared" si="24"/>
        <v>217.5</v>
      </c>
      <c r="C80" s="52">
        <f t="shared" si="25"/>
        <v>0</v>
      </c>
      <c r="D80" s="53">
        <f t="shared" si="26"/>
        <v>0</v>
      </c>
      <c r="E80" s="54">
        <f t="shared" si="27"/>
        <v>3</v>
      </c>
      <c r="F80" s="55">
        <f t="shared" si="28"/>
        <v>1</v>
      </c>
      <c r="G80" s="56">
        <f t="shared" si="29"/>
        <v>0</v>
      </c>
      <c r="H80" s="57">
        <f t="shared" si="30"/>
        <v>0</v>
      </c>
      <c r="I80" s="51">
        <f t="shared" si="31"/>
        <v>0</v>
      </c>
      <c r="J80" s="51">
        <f t="shared" si="32"/>
        <v>0</v>
      </c>
      <c r="K80" s="51">
        <f t="shared" si="33"/>
        <v>1</v>
      </c>
      <c r="N80" s="59">
        <f t="shared" si="34"/>
        <v>217.5</v>
      </c>
      <c r="O80" s="60">
        <f t="shared" si="35"/>
        <v>0</v>
      </c>
      <c r="P80" s="60">
        <f t="shared" si="36"/>
        <v>0</v>
      </c>
      <c r="Q80" s="60">
        <f t="shared" si="37"/>
        <v>3</v>
      </c>
      <c r="R80" s="60">
        <f t="shared" si="38"/>
        <v>1</v>
      </c>
      <c r="S80" s="60">
        <f t="shared" si="39"/>
        <v>0</v>
      </c>
      <c r="T80" s="60">
        <f t="shared" si="40"/>
        <v>0</v>
      </c>
      <c r="U80" s="60">
        <f t="shared" si="41"/>
        <v>0</v>
      </c>
      <c r="V80" s="60">
        <f t="shared" si="42"/>
        <v>0</v>
      </c>
      <c r="W80" s="60">
        <f t="shared" si="43"/>
        <v>1</v>
      </c>
    </row>
    <row r="81" spans="1:23" s="58" customFormat="1" x14ac:dyDescent="0.2">
      <c r="A81" s="50">
        <f t="shared" si="23"/>
        <v>195</v>
      </c>
      <c r="B81" s="51">
        <f t="shared" si="24"/>
        <v>220</v>
      </c>
      <c r="C81" s="52">
        <f t="shared" si="25"/>
        <v>0</v>
      </c>
      <c r="D81" s="53">
        <f t="shared" si="26"/>
        <v>0</v>
      </c>
      <c r="E81" s="54">
        <f t="shared" si="27"/>
        <v>3</v>
      </c>
      <c r="F81" s="55">
        <f t="shared" si="28"/>
        <v>1</v>
      </c>
      <c r="G81" s="56">
        <f t="shared" si="29"/>
        <v>0</v>
      </c>
      <c r="H81" s="57">
        <f t="shared" si="30"/>
        <v>0</v>
      </c>
      <c r="I81" s="51">
        <f t="shared" si="31"/>
        <v>0</v>
      </c>
      <c r="J81" s="51">
        <f t="shared" si="32"/>
        <v>1</v>
      </c>
      <c r="K81" s="51">
        <f t="shared" si="33"/>
        <v>0</v>
      </c>
      <c r="N81" s="59">
        <f t="shared" si="34"/>
        <v>220</v>
      </c>
      <c r="O81" s="60">
        <f t="shared" si="35"/>
        <v>0</v>
      </c>
      <c r="P81" s="60">
        <f t="shared" si="36"/>
        <v>0</v>
      </c>
      <c r="Q81" s="60">
        <f t="shared" si="37"/>
        <v>3</v>
      </c>
      <c r="R81" s="60">
        <f t="shared" si="38"/>
        <v>1</v>
      </c>
      <c r="S81" s="60">
        <f t="shared" si="39"/>
        <v>0</v>
      </c>
      <c r="T81" s="60">
        <f t="shared" si="40"/>
        <v>0</v>
      </c>
      <c r="U81" s="60">
        <f t="shared" si="41"/>
        <v>0</v>
      </c>
      <c r="V81" s="60">
        <f t="shared" si="42"/>
        <v>1</v>
      </c>
      <c r="W81" s="60">
        <f t="shared" si="43"/>
        <v>0</v>
      </c>
    </row>
    <row r="82" spans="1:23" s="58" customFormat="1" x14ac:dyDescent="0.2">
      <c r="A82" s="50">
        <f t="shared" si="23"/>
        <v>197.5</v>
      </c>
      <c r="B82" s="51">
        <f t="shared" si="24"/>
        <v>222.5</v>
      </c>
      <c r="C82" s="52">
        <f t="shared" si="25"/>
        <v>0</v>
      </c>
      <c r="D82" s="53">
        <f t="shared" si="26"/>
        <v>0</v>
      </c>
      <c r="E82" s="54">
        <f t="shared" si="27"/>
        <v>3</v>
      </c>
      <c r="F82" s="55">
        <f t="shared" si="28"/>
        <v>1</v>
      </c>
      <c r="G82" s="56">
        <f t="shared" si="29"/>
        <v>0</v>
      </c>
      <c r="H82" s="57">
        <f t="shared" si="30"/>
        <v>0</v>
      </c>
      <c r="I82" s="51">
        <f t="shared" si="31"/>
        <v>0</v>
      </c>
      <c r="J82" s="51">
        <f t="shared" si="32"/>
        <v>1</v>
      </c>
      <c r="K82" s="51">
        <f t="shared" si="33"/>
        <v>1</v>
      </c>
      <c r="N82" s="59">
        <f t="shared" si="34"/>
        <v>222.5</v>
      </c>
      <c r="O82" s="60">
        <f t="shared" si="35"/>
        <v>0</v>
      </c>
      <c r="P82" s="60">
        <f t="shared" si="36"/>
        <v>0</v>
      </c>
      <c r="Q82" s="60">
        <f t="shared" si="37"/>
        <v>3</v>
      </c>
      <c r="R82" s="60">
        <f t="shared" si="38"/>
        <v>1</v>
      </c>
      <c r="S82" s="60">
        <f t="shared" si="39"/>
        <v>0</v>
      </c>
      <c r="T82" s="60">
        <f t="shared" si="40"/>
        <v>0</v>
      </c>
      <c r="U82" s="60">
        <f t="shared" si="41"/>
        <v>0</v>
      </c>
      <c r="V82" s="60">
        <f t="shared" si="42"/>
        <v>1</v>
      </c>
      <c r="W82" s="60">
        <f t="shared" si="43"/>
        <v>1</v>
      </c>
    </row>
    <row r="83" spans="1:23" s="58" customFormat="1" x14ac:dyDescent="0.2">
      <c r="A83" s="50">
        <f t="shared" si="23"/>
        <v>200</v>
      </c>
      <c r="B83" s="51">
        <f t="shared" si="24"/>
        <v>225</v>
      </c>
      <c r="C83" s="52">
        <f t="shared" si="25"/>
        <v>0</v>
      </c>
      <c r="D83" s="53">
        <f t="shared" si="26"/>
        <v>0</v>
      </c>
      <c r="E83" s="54">
        <f t="shared" si="27"/>
        <v>4</v>
      </c>
      <c r="F83" s="55">
        <f t="shared" si="28"/>
        <v>0</v>
      </c>
      <c r="G83" s="56">
        <f t="shared" si="29"/>
        <v>0</v>
      </c>
      <c r="H83" s="57">
        <f t="shared" si="30"/>
        <v>0</v>
      </c>
      <c r="I83" s="51">
        <f t="shared" si="31"/>
        <v>0</v>
      </c>
      <c r="J83" s="51">
        <f t="shared" si="32"/>
        <v>0</v>
      </c>
      <c r="K83" s="51">
        <f t="shared" si="33"/>
        <v>0</v>
      </c>
      <c r="N83" s="59">
        <f t="shared" si="34"/>
        <v>225</v>
      </c>
      <c r="O83" s="60">
        <f t="shared" si="35"/>
        <v>0</v>
      </c>
      <c r="P83" s="60">
        <f t="shared" si="36"/>
        <v>0</v>
      </c>
      <c r="Q83" s="60">
        <f t="shared" si="37"/>
        <v>4</v>
      </c>
      <c r="R83" s="60">
        <f t="shared" si="38"/>
        <v>0</v>
      </c>
      <c r="S83" s="60">
        <f t="shared" si="39"/>
        <v>0</v>
      </c>
      <c r="T83" s="60">
        <f t="shared" si="40"/>
        <v>0</v>
      </c>
      <c r="U83" s="60">
        <f t="shared" si="41"/>
        <v>0</v>
      </c>
      <c r="V83" s="60">
        <f t="shared" si="42"/>
        <v>0</v>
      </c>
      <c r="W83" s="60">
        <f t="shared" si="43"/>
        <v>0</v>
      </c>
    </row>
    <row r="84" spans="1:23" s="58" customFormat="1" x14ac:dyDescent="0.2">
      <c r="A84" s="50">
        <f t="shared" si="23"/>
        <v>202.5</v>
      </c>
      <c r="B84" s="51">
        <f t="shared" si="24"/>
        <v>227.5</v>
      </c>
      <c r="C84" s="52">
        <f t="shared" si="25"/>
        <v>0</v>
      </c>
      <c r="D84" s="53">
        <f t="shared" si="26"/>
        <v>0</v>
      </c>
      <c r="E84" s="54">
        <f t="shared" si="27"/>
        <v>4</v>
      </c>
      <c r="F84" s="55">
        <f t="shared" si="28"/>
        <v>0</v>
      </c>
      <c r="G84" s="56">
        <f t="shared" si="29"/>
        <v>0</v>
      </c>
      <c r="H84" s="57">
        <f t="shared" si="30"/>
        <v>0</v>
      </c>
      <c r="I84" s="51">
        <f t="shared" si="31"/>
        <v>0</v>
      </c>
      <c r="J84" s="51">
        <f t="shared" si="32"/>
        <v>0</v>
      </c>
      <c r="K84" s="51">
        <f t="shared" si="33"/>
        <v>1</v>
      </c>
      <c r="N84" s="59">
        <f t="shared" si="34"/>
        <v>227.5</v>
      </c>
      <c r="O84" s="60">
        <f t="shared" si="35"/>
        <v>0</v>
      </c>
      <c r="P84" s="60">
        <f t="shared" si="36"/>
        <v>0</v>
      </c>
      <c r="Q84" s="60">
        <f t="shared" si="37"/>
        <v>4</v>
      </c>
      <c r="R84" s="60">
        <f t="shared" si="38"/>
        <v>0</v>
      </c>
      <c r="S84" s="60">
        <f t="shared" si="39"/>
        <v>0</v>
      </c>
      <c r="T84" s="60">
        <f t="shared" si="40"/>
        <v>0</v>
      </c>
      <c r="U84" s="60">
        <f t="shared" si="41"/>
        <v>0</v>
      </c>
      <c r="V84" s="60">
        <f t="shared" si="42"/>
        <v>0</v>
      </c>
      <c r="W84" s="60">
        <f t="shared" si="43"/>
        <v>1</v>
      </c>
    </row>
    <row r="85" spans="1:23" s="58" customFormat="1" x14ac:dyDescent="0.2">
      <c r="A85" s="50">
        <f t="shared" si="23"/>
        <v>205</v>
      </c>
      <c r="B85" s="51">
        <f t="shared" si="24"/>
        <v>230</v>
      </c>
      <c r="C85" s="52">
        <f t="shared" si="25"/>
        <v>0</v>
      </c>
      <c r="D85" s="53">
        <f t="shared" si="26"/>
        <v>0</v>
      </c>
      <c r="E85" s="54">
        <f t="shared" si="27"/>
        <v>4</v>
      </c>
      <c r="F85" s="55">
        <f t="shared" si="28"/>
        <v>0</v>
      </c>
      <c r="G85" s="56">
        <f t="shared" si="29"/>
        <v>0</v>
      </c>
      <c r="H85" s="57">
        <f t="shared" si="30"/>
        <v>0</v>
      </c>
      <c r="I85" s="51">
        <f t="shared" si="31"/>
        <v>0</v>
      </c>
      <c r="J85" s="51">
        <f t="shared" si="32"/>
        <v>1</v>
      </c>
      <c r="K85" s="51">
        <f t="shared" si="33"/>
        <v>0</v>
      </c>
      <c r="N85" s="59">
        <f t="shared" si="34"/>
        <v>230</v>
      </c>
      <c r="O85" s="60">
        <f t="shared" si="35"/>
        <v>0</v>
      </c>
      <c r="P85" s="60">
        <f t="shared" si="36"/>
        <v>0</v>
      </c>
      <c r="Q85" s="60">
        <f t="shared" si="37"/>
        <v>4</v>
      </c>
      <c r="R85" s="60">
        <f t="shared" si="38"/>
        <v>0</v>
      </c>
      <c r="S85" s="60">
        <f t="shared" si="39"/>
        <v>0</v>
      </c>
      <c r="T85" s="60">
        <f t="shared" si="40"/>
        <v>0</v>
      </c>
      <c r="U85" s="60">
        <f t="shared" si="41"/>
        <v>0</v>
      </c>
      <c r="V85" s="60">
        <f t="shared" si="42"/>
        <v>1</v>
      </c>
      <c r="W85" s="60">
        <f t="shared" si="43"/>
        <v>0</v>
      </c>
    </row>
    <row r="86" spans="1:23" s="58" customFormat="1" x14ac:dyDescent="0.2">
      <c r="A86" s="50">
        <f t="shared" si="23"/>
        <v>207.5</v>
      </c>
      <c r="B86" s="51">
        <f t="shared" si="24"/>
        <v>232.5</v>
      </c>
      <c r="C86" s="52">
        <f t="shared" si="25"/>
        <v>0</v>
      </c>
      <c r="D86" s="53">
        <f t="shared" si="26"/>
        <v>0</v>
      </c>
      <c r="E86" s="54">
        <f t="shared" si="27"/>
        <v>4</v>
      </c>
      <c r="F86" s="55">
        <f t="shared" si="28"/>
        <v>0</v>
      </c>
      <c r="G86" s="56">
        <f t="shared" si="29"/>
        <v>0</v>
      </c>
      <c r="H86" s="57">
        <f t="shared" si="30"/>
        <v>0</v>
      </c>
      <c r="I86" s="51">
        <f t="shared" si="31"/>
        <v>0</v>
      </c>
      <c r="J86" s="51">
        <f t="shared" si="32"/>
        <v>1</v>
      </c>
      <c r="K86" s="51">
        <f t="shared" si="33"/>
        <v>1</v>
      </c>
      <c r="N86" s="59">
        <f t="shared" si="34"/>
        <v>232.5</v>
      </c>
      <c r="O86" s="60">
        <f t="shared" si="35"/>
        <v>0</v>
      </c>
      <c r="P86" s="60">
        <f t="shared" si="36"/>
        <v>0</v>
      </c>
      <c r="Q86" s="60">
        <f t="shared" si="37"/>
        <v>4</v>
      </c>
      <c r="R86" s="60">
        <f t="shared" si="38"/>
        <v>0</v>
      </c>
      <c r="S86" s="60">
        <f t="shared" si="39"/>
        <v>0</v>
      </c>
      <c r="T86" s="60">
        <f t="shared" si="40"/>
        <v>0</v>
      </c>
      <c r="U86" s="60">
        <f t="shared" si="41"/>
        <v>0</v>
      </c>
      <c r="V86" s="60">
        <f t="shared" si="42"/>
        <v>1</v>
      </c>
      <c r="W86" s="60">
        <f t="shared" si="43"/>
        <v>1</v>
      </c>
    </row>
    <row r="87" spans="1:23" s="58" customFormat="1" x14ac:dyDescent="0.2">
      <c r="A87" s="50">
        <f t="shared" si="23"/>
        <v>210</v>
      </c>
      <c r="B87" s="51">
        <f t="shared" si="24"/>
        <v>235</v>
      </c>
      <c r="C87" s="52">
        <f t="shared" si="25"/>
        <v>0</v>
      </c>
      <c r="D87" s="53">
        <f t="shared" si="26"/>
        <v>0</v>
      </c>
      <c r="E87" s="54">
        <f t="shared" si="27"/>
        <v>4</v>
      </c>
      <c r="F87" s="55">
        <f t="shared" si="28"/>
        <v>0</v>
      </c>
      <c r="G87" s="56">
        <f t="shared" si="29"/>
        <v>0</v>
      </c>
      <c r="H87" s="57">
        <f t="shared" si="30"/>
        <v>0</v>
      </c>
      <c r="I87" s="51">
        <f t="shared" si="31"/>
        <v>1</v>
      </c>
      <c r="J87" s="51">
        <f t="shared" si="32"/>
        <v>0</v>
      </c>
      <c r="K87" s="51">
        <f t="shared" si="33"/>
        <v>0</v>
      </c>
      <c r="N87" s="59">
        <f t="shared" si="34"/>
        <v>235</v>
      </c>
      <c r="O87" s="60">
        <f t="shared" si="35"/>
        <v>0</v>
      </c>
      <c r="P87" s="60">
        <f t="shared" si="36"/>
        <v>0</v>
      </c>
      <c r="Q87" s="60">
        <f t="shared" si="37"/>
        <v>4</v>
      </c>
      <c r="R87" s="60">
        <f t="shared" si="38"/>
        <v>0</v>
      </c>
      <c r="S87" s="60">
        <f t="shared" si="39"/>
        <v>0</v>
      </c>
      <c r="T87" s="60">
        <f t="shared" si="40"/>
        <v>0</v>
      </c>
      <c r="U87" s="60">
        <f t="shared" si="41"/>
        <v>1</v>
      </c>
      <c r="V87" s="60">
        <f t="shared" si="42"/>
        <v>0</v>
      </c>
      <c r="W87" s="60">
        <f t="shared" si="43"/>
        <v>0</v>
      </c>
    </row>
    <row r="88" spans="1:23" s="58" customFormat="1" x14ac:dyDescent="0.2">
      <c r="A88" s="50">
        <f t="shared" si="23"/>
        <v>212.5</v>
      </c>
      <c r="B88" s="51">
        <f t="shared" si="24"/>
        <v>237.5</v>
      </c>
      <c r="C88" s="52">
        <f t="shared" si="25"/>
        <v>0</v>
      </c>
      <c r="D88" s="53">
        <f t="shared" si="26"/>
        <v>0</v>
      </c>
      <c r="E88" s="54">
        <f t="shared" si="27"/>
        <v>4</v>
      </c>
      <c r="F88" s="55">
        <f t="shared" si="28"/>
        <v>0</v>
      </c>
      <c r="G88" s="56">
        <f t="shared" si="29"/>
        <v>0</v>
      </c>
      <c r="H88" s="57">
        <f t="shared" si="30"/>
        <v>0</v>
      </c>
      <c r="I88" s="51">
        <f t="shared" si="31"/>
        <v>1</v>
      </c>
      <c r="J88" s="51">
        <f t="shared" si="32"/>
        <v>0</v>
      </c>
      <c r="K88" s="51">
        <f t="shared" si="33"/>
        <v>1</v>
      </c>
      <c r="N88" s="59">
        <f t="shared" si="34"/>
        <v>237.5</v>
      </c>
      <c r="O88" s="60">
        <f t="shared" si="35"/>
        <v>0</v>
      </c>
      <c r="P88" s="60">
        <f t="shared" si="36"/>
        <v>0</v>
      </c>
      <c r="Q88" s="60">
        <f t="shared" si="37"/>
        <v>4</v>
      </c>
      <c r="R88" s="60">
        <f t="shared" si="38"/>
        <v>0</v>
      </c>
      <c r="S88" s="60">
        <f t="shared" si="39"/>
        <v>0</v>
      </c>
      <c r="T88" s="60">
        <f t="shared" si="40"/>
        <v>0</v>
      </c>
      <c r="U88" s="60">
        <f t="shared" si="41"/>
        <v>1</v>
      </c>
      <c r="V88" s="60">
        <f t="shared" si="42"/>
        <v>0</v>
      </c>
      <c r="W88" s="60">
        <f t="shared" si="43"/>
        <v>1</v>
      </c>
    </row>
    <row r="89" spans="1:23" s="58" customFormat="1" x14ac:dyDescent="0.2">
      <c r="A89" s="50">
        <f t="shared" si="23"/>
        <v>215</v>
      </c>
      <c r="B89" s="51">
        <f t="shared" si="24"/>
        <v>240</v>
      </c>
      <c r="C89" s="52">
        <f t="shared" si="25"/>
        <v>0</v>
      </c>
      <c r="D89" s="53">
        <f t="shared" si="26"/>
        <v>0</v>
      </c>
      <c r="E89" s="54">
        <f t="shared" si="27"/>
        <v>4</v>
      </c>
      <c r="F89" s="55">
        <f t="shared" si="28"/>
        <v>0</v>
      </c>
      <c r="G89" s="56">
        <f t="shared" si="29"/>
        <v>0</v>
      </c>
      <c r="H89" s="57">
        <f t="shared" si="30"/>
        <v>0</v>
      </c>
      <c r="I89" s="51">
        <f t="shared" si="31"/>
        <v>1</v>
      </c>
      <c r="J89" s="51">
        <f t="shared" si="32"/>
        <v>1</v>
      </c>
      <c r="K89" s="51">
        <f t="shared" si="33"/>
        <v>0</v>
      </c>
      <c r="N89" s="59">
        <f t="shared" si="34"/>
        <v>240</v>
      </c>
      <c r="O89" s="60">
        <f t="shared" si="35"/>
        <v>0</v>
      </c>
      <c r="P89" s="60">
        <f t="shared" si="36"/>
        <v>0</v>
      </c>
      <c r="Q89" s="60">
        <f t="shared" si="37"/>
        <v>4</v>
      </c>
      <c r="R89" s="60">
        <f t="shared" si="38"/>
        <v>0</v>
      </c>
      <c r="S89" s="60">
        <f t="shared" si="39"/>
        <v>0</v>
      </c>
      <c r="T89" s="60">
        <f t="shared" si="40"/>
        <v>0</v>
      </c>
      <c r="U89" s="60">
        <f t="shared" si="41"/>
        <v>1</v>
      </c>
      <c r="V89" s="60">
        <f t="shared" si="42"/>
        <v>1</v>
      </c>
      <c r="W89" s="60">
        <f t="shared" si="43"/>
        <v>0</v>
      </c>
    </row>
    <row r="90" spans="1:23" s="58" customFormat="1" x14ac:dyDescent="0.2">
      <c r="A90" s="50">
        <f t="shared" si="23"/>
        <v>217.5</v>
      </c>
      <c r="B90" s="51">
        <f t="shared" si="24"/>
        <v>242.5</v>
      </c>
      <c r="C90" s="52">
        <f t="shared" si="25"/>
        <v>0</v>
      </c>
      <c r="D90" s="53">
        <f t="shared" si="26"/>
        <v>0</v>
      </c>
      <c r="E90" s="54">
        <f t="shared" si="27"/>
        <v>4</v>
      </c>
      <c r="F90" s="55">
        <f t="shared" si="28"/>
        <v>0</v>
      </c>
      <c r="G90" s="56">
        <f t="shared" si="29"/>
        <v>0</v>
      </c>
      <c r="H90" s="57">
        <f t="shared" si="30"/>
        <v>0</v>
      </c>
      <c r="I90" s="51">
        <f t="shared" si="31"/>
        <v>1</v>
      </c>
      <c r="J90" s="51">
        <f t="shared" si="32"/>
        <v>1</v>
      </c>
      <c r="K90" s="51">
        <f t="shared" si="33"/>
        <v>1</v>
      </c>
      <c r="N90" s="59">
        <f t="shared" si="34"/>
        <v>242.5</v>
      </c>
      <c r="O90" s="60">
        <f t="shared" si="35"/>
        <v>0</v>
      </c>
      <c r="P90" s="60">
        <f t="shared" si="36"/>
        <v>0</v>
      </c>
      <c r="Q90" s="60">
        <f t="shared" si="37"/>
        <v>4</v>
      </c>
      <c r="R90" s="60">
        <f t="shared" si="38"/>
        <v>0</v>
      </c>
      <c r="S90" s="60">
        <f t="shared" si="39"/>
        <v>0</v>
      </c>
      <c r="T90" s="60">
        <f t="shared" si="40"/>
        <v>0</v>
      </c>
      <c r="U90" s="60">
        <f t="shared" si="41"/>
        <v>1</v>
      </c>
      <c r="V90" s="60">
        <f t="shared" si="42"/>
        <v>1</v>
      </c>
      <c r="W90" s="60">
        <f t="shared" si="43"/>
        <v>1</v>
      </c>
    </row>
    <row r="91" spans="1:23" s="58" customFormat="1" x14ac:dyDescent="0.2">
      <c r="A91" s="50">
        <f t="shared" si="23"/>
        <v>220</v>
      </c>
      <c r="B91" s="51">
        <f t="shared" si="24"/>
        <v>245</v>
      </c>
      <c r="C91" s="52">
        <f t="shared" si="25"/>
        <v>0</v>
      </c>
      <c r="D91" s="53">
        <f t="shared" si="26"/>
        <v>0</v>
      </c>
      <c r="E91" s="54">
        <f t="shared" si="27"/>
        <v>4</v>
      </c>
      <c r="F91" s="55">
        <f t="shared" si="28"/>
        <v>0</v>
      </c>
      <c r="G91" s="56">
        <f t="shared" si="29"/>
        <v>0</v>
      </c>
      <c r="H91" s="57">
        <f t="shared" si="30"/>
        <v>1</v>
      </c>
      <c r="I91" s="51">
        <f t="shared" si="31"/>
        <v>0</v>
      </c>
      <c r="J91" s="51">
        <f t="shared" si="32"/>
        <v>0</v>
      </c>
      <c r="K91" s="51">
        <f t="shared" si="33"/>
        <v>0</v>
      </c>
      <c r="N91" s="59">
        <f t="shared" si="34"/>
        <v>245</v>
      </c>
      <c r="O91" s="60">
        <f t="shared" si="35"/>
        <v>0</v>
      </c>
      <c r="P91" s="60">
        <f t="shared" si="36"/>
        <v>0</v>
      </c>
      <c r="Q91" s="60">
        <f t="shared" si="37"/>
        <v>4</v>
      </c>
      <c r="R91" s="60">
        <f t="shared" si="38"/>
        <v>0</v>
      </c>
      <c r="S91" s="60">
        <f t="shared" si="39"/>
        <v>0</v>
      </c>
      <c r="T91" s="60">
        <f t="shared" si="40"/>
        <v>1</v>
      </c>
      <c r="U91" s="60">
        <f t="shared" si="41"/>
        <v>0</v>
      </c>
      <c r="V91" s="60">
        <f t="shared" si="42"/>
        <v>0</v>
      </c>
      <c r="W91" s="60">
        <f t="shared" si="43"/>
        <v>0</v>
      </c>
    </row>
    <row r="92" spans="1:23" s="58" customFormat="1" x14ac:dyDescent="0.2">
      <c r="A92" s="50">
        <f t="shared" si="23"/>
        <v>222.5</v>
      </c>
      <c r="B92" s="51">
        <f t="shared" si="24"/>
        <v>247.5</v>
      </c>
      <c r="C92" s="52">
        <f t="shared" si="25"/>
        <v>0</v>
      </c>
      <c r="D92" s="53">
        <f t="shared" si="26"/>
        <v>0</v>
      </c>
      <c r="E92" s="54">
        <f t="shared" si="27"/>
        <v>4</v>
      </c>
      <c r="F92" s="55">
        <f t="shared" si="28"/>
        <v>0</v>
      </c>
      <c r="G92" s="56">
        <f t="shared" si="29"/>
        <v>0</v>
      </c>
      <c r="H92" s="57">
        <f t="shared" si="30"/>
        <v>1</v>
      </c>
      <c r="I92" s="51">
        <f t="shared" si="31"/>
        <v>0</v>
      </c>
      <c r="J92" s="51">
        <f t="shared" si="32"/>
        <v>0</v>
      </c>
      <c r="K92" s="51">
        <f t="shared" si="33"/>
        <v>1</v>
      </c>
      <c r="N92" s="59">
        <f t="shared" si="34"/>
        <v>247.5</v>
      </c>
      <c r="O92" s="60">
        <f t="shared" si="35"/>
        <v>0</v>
      </c>
      <c r="P92" s="60">
        <f t="shared" si="36"/>
        <v>0</v>
      </c>
      <c r="Q92" s="60">
        <f t="shared" si="37"/>
        <v>4</v>
      </c>
      <c r="R92" s="60">
        <f t="shared" si="38"/>
        <v>0</v>
      </c>
      <c r="S92" s="60">
        <f t="shared" si="39"/>
        <v>0</v>
      </c>
      <c r="T92" s="60">
        <f t="shared" si="40"/>
        <v>1</v>
      </c>
      <c r="U92" s="60">
        <f t="shared" si="41"/>
        <v>0</v>
      </c>
      <c r="V92" s="60">
        <f t="shared" si="42"/>
        <v>0</v>
      </c>
      <c r="W92" s="60">
        <f t="shared" si="43"/>
        <v>1</v>
      </c>
    </row>
    <row r="93" spans="1:23" s="58" customFormat="1" x14ac:dyDescent="0.2">
      <c r="A93" s="50">
        <f t="shared" si="23"/>
        <v>225</v>
      </c>
      <c r="B93" s="51">
        <f t="shared" si="24"/>
        <v>250</v>
      </c>
      <c r="C93" s="52">
        <f t="shared" si="25"/>
        <v>0</v>
      </c>
      <c r="D93" s="53">
        <f t="shared" si="26"/>
        <v>0</v>
      </c>
      <c r="E93" s="54">
        <f t="shared" si="27"/>
        <v>4</v>
      </c>
      <c r="F93" s="55">
        <f t="shared" si="28"/>
        <v>0</v>
      </c>
      <c r="G93" s="56">
        <f t="shared" si="29"/>
        <v>0</v>
      </c>
      <c r="H93" s="57">
        <f t="shared" si="30"/>
        <v>1</v>
      </c>
      <c r="I93" s="51">
        <f t="shared" si="31"/>
        <v>0</v>
      </c>
      <c r="J93" s="51">
        <f t="shared" si="32"/>
        <v>1</v>
      </c>
      <c r="K93" s="51">
        <f t="shared" si="33"/>
        <v>0</v>
      </c>
      <c r="N93" s="59">
        <f t="shared" si="34"/>
        <v>250</v>
      </c>
      <c r="O93" s="60">
        <f t="shared" si="35"/>
        <v>0</v>
      </c>
      <c r="P93" s="60">
        <f t="shared" si="36"/>
        <v>0</v>
      </c>
      <c r="Q93" s="60">
        <f t="shared" si="37"/>
        <v>4</v>
      </c>
      <c r="R93" s="60">
        <f t="shared" si="38"/>
        <v>0</v>
      </c>
      <c r="S93" s="60">
        <f t="shared" si="39"/>
        <v>0</v>
      </c>
      <c r="T93" s="60">
        <f t="shared" si="40"/>
        <v>1</v>
      </c>
      <c r="U93" s="60">
        <f t="shared" si="41"/>
        <v>0</v>
      </c>
      <c r="V93" s="60">
        <f t="shared" si="42"/>
        <v>1</v>
      </c>
      <c r="W93" s="60">
        <f t="shared" si="43"/>
        <v>0</v>
      </c>
    </row>
    <row r="94" spans="1:23" s="58" customFormat="1" x14ac:dyDescent="0.2">
      <c r="A94" s="50">
        <f t="shared" si="23"/>
        <v>227.5</v>
      </c>
      <c r="B94" s="51">
        <f t="shared" si="24"/>
        <v>252.5</v>
      </c>
      <c r="C94" s="52">
        <f t="shared" si="25"/>
        <v>0</v>
      </c>
      <c r="D94" s="53">
        <f t="shared" si="26"/>
        <v>0</v>
      </c>
      <c r="E94" s="54">
        <f t="shared" si="27"/>
        <v>4</v>
      </c>
      <c r="F94" s="55">
        <f t="shared" si="28"/>
        <v>0</v>
      </c>
      <c r="G94" s="56">
        <f t="shared" si="29"/>
        <v>0</v>
      </c>
      <c r="H94" s="57">
        <f t="shared" si="30"/>
        <v>1</v>
      </c>
      <c r="I94" s="51">
        <f t="shared" si="31"/>
        <v>0</v>
      </c>
      <c r="J94" s="51">
        <f t="shared" si="32"/>
        <v>1</v>
      </c>
      <c r="K94" s="51">
        <f t="shared" si="33"/>
        <v>1</v>
      </c>
      <c r="N94" s="59">
        <f t="shared" si="34"/>
        <v>252.5</v>
      </c>
      <c r="O94" s="60">
        <f t="shared" si="35"/>
        <v>0</v>
      </c>
      <c r="P94" s="60">
        <f t="shared" si="36"/>
        <v>0</v>
      </c>
      <c r="Q94" s="60">
        <f t="shared" si="37"/>
        <v>4</v>
      </c>
      <c r="R94" s="60">
        <f t="shared" si="38"/>
        <v>0</v>
      </c>
      <c r="S94" s="60">
        <f t="shared" si="39"/>
        <v>0</v>
      </c>
      <c r="T94" s="60">
        <f t="shared" si="40"/>
        <v>1</v>
      </c>
      <c r="U94" s="60">
        <f t="shared" si="41"/>
        <v>0</v>
      </c>
      <c r="V94" s="60">
        <f t="shared" si="42"/>
        <v>1</v>
      </c>
      <c r="W94" s="60">
        <f t="shared" si="43"/>
        <v>1</v>
      </c>
    </row>
    <row r="95" spans="1:23" s="58" customFormat="1" x14ac:dyDescent="0.2">
      <c r="A95" s="50">
        <f t="shared" si="23"/>
        <v>230</v>
      </c>
      <c r="B95" s="51">
        <f t="shared" si="24"/>
        <v>255</v>
      </c>
      <c r="C95" s="52">
        <f t="shared" si="25"/>
        <v>0</v>
      </c>
      <c r="D95" s="53">
        <f t="shared" si="26"/>
        <v>0</v>
      </c>
      <c r="E95" s="54">
        <f t="shared" si="27"/>
        <v>4</v>
      </c>
      <c r="F95" s="55">
        <f t="shared" si="28"/>
        <v>0</v>
      </c>
      <c r="G95" s="56">
        <f t="shared" si="29"/>
        <v>1</v>
      </c>
      <c r="H95" s="57">
        <f t="shared" si="30"/>
        <v>0</v>
      </c>
      <c r="I95" s="51">
        <f t="shared" si="31"/>
        <v>0</v>
      </c>
      <c r="J95" s="51">
        <f t="shared" si="32"/>
        <v>0</v>
      </c>
      <c r="K95" s="51">
        <f t="shared" si="33"/>
        <v>0</v>
      </c>
      <c r="N95" s="59">
        <f t="shared" si="34"/>
        <v>255</v>
      </c>
      <c r="O95" s="60">
        <f t="shared" si="35"/>
        <v>0</v>
      </c>
      <c r="P95" s="60">
        <f t="shared" si="36"/>
        <v>0</v>
      </c>
      <c r="Q95" s="60">
        <f t="shared" si="37"/>
        <v>4</v>
      </c>
      <c r="R95" s="60">
        <f t="shared" si="38"/>
        <v>0</v>
      </c>
      <c r="S95" s="60">
        <f t="shared" si="39"/>
        <v>1</v>
      </c>
      <c r="T95" s="60">
        <f t="shared" si="40"/>
        <v>0</v>
      </c>
      <c r="U95" s="60">
        <f t="shared" si="41"/>
        <v>0</v>
      </c>
      <c r="V95" s="60">
        <f t="shared" si="42"/>
        <v>0</v>
      </c>
      <c r="W95" s="60">
        <f t="shared" si="43"/>
        <v>0</v>
      </c>
    </row>
    <row r="96" spans="1:23" s="58" customFormat="1" x14ac:dyDescent="0.2">
      <c r="A96" s="50">
        <f t="shared" si="23"/>
        <v>232.5</v>
      </c>
      <c r="B96" s="51">
        <f t="shared" si="24"/>
        <v>257.5</v>
      </c>
      <c r="C96" s="52">
        <f t="shared" si="25"/>
        <v>0</v>
      </c>
      <c r="D96" s="53">
        <f t="shared" si="26"/>
        <v>0</v>
      </c>
      <c r="E96" s="54">
        <f t="shared" si="27"/>
        <v>4</v>
      </c>
      <c r="F96" s="55">
        <f t="shared" si="28"/>
        <v>0</v>
      </c>
      <c r="G96" s="56">
        <f t="shared" si="29"/>
        <v>1</v>
      </c>
      <c r="H96" s="57">
        <f t="shared" si="30"/>
        <v>0</v>
      </c>
      <c r="I96" s="51">
        <f t="shared" si="31"/>
        <v>0</v>
      </c>
      <c r="J96" s="51">
        <f t="shared" si="32"/>
        <v>0</v>
      </c>
      <c r="K96" s="51">
        <f t="shared" si="33"/>
        <v>1</v>
      </c>
      <c r="N96" s="59">
        <f t="shared" si="34"/>
        <v>257.5</v>
      </c>
      <c r="O96" s="60">
        <f t="shared" si="35"/>
        <v>0</v>
      </c>
      <c r="P96" s="60">
        <f t="shared" si="36"/>
        <v>0</v>
      </c>
      <c r="Q96" s="60">
        <f t="shared" si="37"/>
        <v>4</v>
      </c>
      <c r="R96" s="60">
        <f t="shared" si="38"/>
        <v>0</v>
      </c>
      <c r="S96" s="60">
        <f t="shared" si="39"/>
        <v>1</v>
      </c>
      <c r="T96" s="60">
        <f t="shared" si="40"/>
        <v>0</v>
      </c>
      <c r="U96" s="60">
        <f t="shared" si="41"/>
        <v>0</v>
      </c>
      <c r="V96" s="60">
        <f t="shared" si="42"/>
        <v>0</v>
      </c>
      <c r="W96" s="60">
        <f t="shared" si="43"/>
        <v>1</v>
      </c>
    </row>
    <row r="97" spans="1:23" s="58" customFormat="1" x14ac:dyDescent="0.2">
      <c r="A97" s="50">
        <f t="shared" si="23"/>
        <v>235</v>
      </c>
      <c r="B97" s="51">
        <f t="shared" si="24"/>
        <v>260</v>
      </c>
      <c r="C97" s="52">
        <f t="shared" si="25"/>
        <v>0</v>
      </c>
      <c r="D97" s="53">
        <f t="shared" si="26"/>
        <v>0</v>
      </c>
      <c r="E97" s="54">
        <f t="shared" si="27"/>
        <v>4</v>
      </c>
      <c r="F97" s="55">
        <f t="shared" si="28"/>
        <v>0</v>
      </c>
      <c r="G97" s="56">
        <f t="shared" si="29"/>
        <v>1</v>
      </c>
      <c r="H97" s="57">
        <f t="shared" si="30"/>
        <v>0</v>
      </c>
      <c r="I97" s="51">
        <f t="shared" si="31"/>
        <v>0</v>
      </c>
      <c r="J97" s="51">
        <f t="shared" si="32"/>
        <v>1</v>
      </c>
      <c r="K97" s="51">
        <f t="shared" si="33"/>
        <v>0</v>
      </c>
      <c r="N97" s="59">
        <f t="shared" si="34"/>
        <v>260</v>
      </c>
      <c r="O97" s="60">
        <f t="shared" si="35"/>
        <v>0</v>
      </c>
      <c r="P97" s="60">
        <f t="shared" si="36"/>
        <v>0</v>
      </c>
      <c r="Q97" s="60">
        <f t="shared" si="37"/>
        <v>4</v>
      </c>
      <c r="R97" s="60">
        <f t="shared" si="38"/>
        <v>0</v>
      </c>
      <c r="S97" s="60">
        <f t="shared" si="39"/>
        <v>1</v>
      </c>
      <c r="T97" s="60">
        <f t="shared" si="40"/>
        <v>0</v>
      </c>
      <c r="U97" s="60">
        <f t="shared" si="41"/>
        <v>0</v>
      </c>
      <c r="V97" s="60">
        <f t="shared" si="42"/>
        <v>1</v>
      </c>
      <c r="W97" s="60">
        <f t="shared" si="43"/>
        <v>0</v>
      </c>
    </row>
    <row r="98" spans="1:23" s="58" customFormat="1" x14ac:dyDescent="0.2">
      <c r="A98" s="50">
        <f t="shared" si="23"/>
        <v>237.5</v>
      </c>
      <c r="B98" s="51">
        <f t="shared" si="24"/>
        <v>262.5</v>
      </c>
      <c r="C98" s="52">
        <f t="shared" si="25"/>
        <v>0</v>
      </c>
      <c r="D98" s="53">
        <f t="shared" si="26"/>
        <v>0</v>
      </c>
      <c r="E98" s="54">
        <f t="shared" si="27"/>
        <v>4</v>
      </c>
      <c r="F98" s="55">
        <f t="shared" si="28"/>
        <v>0</v>
      </c>
      <c r="G98" s="56">
        <f t="shared" si="29"/>
        <v>1</v>
      </c>
      <c r="H98" s="57">
        <f t="shared" si="30"/>
        <v>0</v>
      </c>
      <c r="I98" s="51">
        <f t="shared" si="31"/>
        <v>0</v>
      </c>
      <c r="J98" s="51">
        <f t="shared" si="32"/>
        <v>1</v>
      </c>
      <c r="K98" s="51">
        <f t="shared" si="33"/>
        <v>1</v>
      </c>
      <c r="N98" s="59">
        <f t="shared" si="34"/>
        <v>262.5</v>
      </c>
      <c r="O98" s="60">
        <f t="shared" si="35"/>
        <v>0</v>
      </c>
      <c r="P98" s="60">
        <f t="shared" si="36"/>
        <v>0</v>
      </c>
      <c r="Q98" s="60">
        <f t="shared" si="37"/>
        <v>4</v>
      </c>
      <c r="R98" s="60">
        <f t="shared" si="38"/>
        <v>0</v>
      </c>
      <c r="S98" s="60">
        <f t="shared" si="39"/>
        <v>1</v>
      </c>
      <c r="T98" s="60">
        <f t="shared" si="40"/>
        <v>0</v>
      </c>
      <c r="U98" s="60">
        <f t="shared" si="41"/>
        <v>0</v>
      </c>
      <c r="V98" s="60">
        <f t="shared" si="42"/>
        <v>1</v>
      </c>
      <c r="W98" s="60">
        <f t="shared" si="43"/>
        <v>1</v>
      </c>
    </row>
    <row r="99" spans="1:23" s="58" customFormat="1" x14ac:dyDescent="0.2">
      <c r="A99" s="50">
        <f t="shared" si="23"/>
        <v>240</v>
      </c>
      <c r="B99" s="51">
        <f t="shared" si="24"/>
        <v>265</v>
      </c>
      <c r="C99" s="52">
        <f t="shared" si="25"/>
        <v>0</v>
      </c>
      <c r="D99" s="53">
        <f t="shared" si="26"/>
        <v>0</v>
      </c>
      <c r="E99" s="54">
        <f t="shared" si="27"/>
        <v>4</v>
      </c>
      <c r="F99" s="55">
        <f t="shared" si="28"/>
        <v>1</v>
      </c>
      <c r="G99" s="56">
        <f t="shared" si="29"/>
        <v>0</v>
      </c>
      <c r="H99" s="57">
        <f t="shared" si="30"/>
        <v>0</v>
      </c>
      <c r="I99" s="51">
        <f t="shared" si="31"/>
        <v>0</v>
      </c>
      <c r="J99" s="51">
        <f t="shared" si="32"/>
        <v>0</v>
      </c>
      <c r="K99" s="51">
        <f t="shared" si="33"/>
        <v>0</v>
      </c>
      <c r="N99" s="59">
        <f t="shared" si="34"/>
        <v>265</v>
      </c>
      <c r="O99" s="60">
        <f t="shared" si="35"/>
        <v>0</v>
      </c>
      <c r="P99" s="60">
        <f t="shared" si="36"/>
        <v>0</v>
      </c>
      <c r="Q99" s="60">
        <f t="shared" si="37"/>
        <v>4</v>
      </c>
      <c r="R99" s="60">
        <f t="shared" si="38"/>
        <v>1</v>
      </c>
      <c r="S99" s="60">
        <f t="shared" si="39"/>
        <v>0</v>
      </c>
      <c r="T99" s="60">
        <f t="shared" si="40"/>
        <v>0</v>
      </c>
      <c r="U99" s="60">
        <f t="shared" si="41"/>
        <v>0</v>
      </c>
      <c r="V99" s="60">
        <f t="shared" si="42"/>
        <v>0</v>
      </c>
      <c r="W99" s="60">
        <f t="shared" si="43"/>
        <v>0</v>
      </c>
    </row>
    <row r="100" spans="1:23" s="58" customFormat="1" x14ac:dyDescent="0.2">
      <c r="A100" s="50">
        <f t="shared" si="23"/>
        <v>242.5</v>
      </c>
      <c r="B100" s="51">
        <f t="shared" si="24"/>
        <v>267.5</v>
      </c>
      <c r="C100" s="52">
        <f t="shared" si="25"/>
        <v>0</v>
      </c>
      <c r="D100" s="53">
        <f t="shared" si="26"/>
        <v>0</v>
      </c>
      <c r="E100" s="54">
        <f t="shared" si="27"/>
        <v>4</v>
      </c>
      <c r="F100" s="55">
        <f t="shared" si="28"/>
        <v>1</v>
      </c>
      <c r="G100" s="56">
        <f t="shared" si="29"/>
        <v>0</v>
      </c>
      <c r="H100" s="57">
        <f t="shared" si="30"/>
        <v>0</v>
      </c>
      <c r="I100" s="51">
        <f t="shared" si="31"/>
        <v>0</v>
      </c>
      <c r="J100" s="51">
        <f t="shared" si="32"/>
        <v>0</v>
      </c>
      <c r="K100" s="51">
        <f t="shared" si="33"/>
        <v>1</v>
      </c>
      <c r="N100" s="59">
        <f t="shared" si="34"/>
        <v>267.5</v>
      </c>
      <c r="O100" s="60">
        <f t="shared" si="35"/>
        <v>0</v>
      </c>
      <c r="P100" s="60">
        <f t="shared" si="36"/>
        <v>0</v>
      </c>
      <c r="Q100" s="60">
        <f t="shared" si="37"/>
        <v>4</v>
      </c>
      <c r="R100" s="60">
        <f t="shared" si="38"/>
        <v>1</v>
      </c>
      <c r="S100" s="60">
        <f t="shared" si="39"/>
        <v>0</v>
      </c>
      <c r="T100" s="60">
        <f t="shared" si="40"/>
        <v>0</v>
      </c>
      <c r="U100" s="60">
        <f t="shared" si="41"/>
        <v>0</v>
      </c>
      <c r="V100" s="60">
        <f t="shared" si="42"/>
        <v>0</v>
      </c>
      <c r="W100" s="60">
        <f t="shared" si="43"/>
        <v>1</v>
      </c>
    </row>
    <row r="101" spans="1:23" s="58" customFormat="1" x14ac:dyDescent="0.2">
      <c r="A101" s="50">
        <f t="shared" si="23"/>
        <v>245</v>
      </c>
      <c r="B101" s="51">
        <f t="shared" si="24"/>
        <v>270</v>
      </c>
      <c r="C101" s="52">
        <f t="shared" si="25"/>
        <v>0</v>
      </c>
      <c r="D101" s="53">
        <f t="shared" si="26"/>
        <v>0</v>
      </c>
      <c r="E101" s="54">
        <f t="shared" si="27"/>
        <v>4</v>
      </c>
      <c r="F101" s="55">
        <f t="shared" si="28"/>
        <v>1</v>
      </c>
      <c r="G101" s="56">
        <f t="shared" si="29"/>
        <v>0</v>
      </c>
      <c r="H101" s="57">
        <f t="shared" si="30"/>
        <v>0</v>
      </c>
      <c r="I101" s="51">
        <f t="shared" si="31"/>
        <v>0</v>
      </c>
      <c r="J101" s="51">
        <f t="shared" si="32"/>
        <v>1</v>
      </c>
      <c r="K101" s="51">
        <f t="shared" si="33"/>
        <v>0</v>
      </c>
      <c r="N101" s="59">
        <f t="shared" si="34"/>
        <v>270</v>
      </c>
      <c r="O101" s="60">
        <f t="shared" si="35"/>
        <v>0</v>
      </c>
      <c r="P101" s="60">
        <f t="shared" si="36"/>
        <v>0</v>
      </c>
      <c r="Q101" s="60">
        <f t="shared" si="37"/>
        <v>4</v>
      </c>
      <c r="R101" s="60">
        <f t="shared" si="38"/>
        <v>1</v>
      </c>
      <c r="S101" s="60">
        <f t="shared" si="39"/>
        <v>0</v>
      </c>
      <c r="T101" s="60">
        <f t="shared" si="40"/>
        <v>0</v>
      </c>
      <c r="U101" s="60">
        <f t="shared" si="41"/>
        <v>0</v>
      </c>
      <c r="V101" s="60">
        <f t="shared" si="42"/>
        <v>1</v>
      </c>
      <c r="W101" s="60">
        <f t="shared" si="43"/>
        <v>0</v>
      </c>
    </row>
    <row r="102" spans="1:23" s="58" customFormat="1" x14ac:dyDescent="0.2">
      <c r="A102" s="50">
        <f t="shared" si="23"/>
        <v>247.5</v>
      </c>
      <c r="B102" s="51">
        <f t="shared" si="24"/>
        <v>272.5</v>
      </c>
      <c r="C102" s="52">
        <f t="shared" si="25"/>
        <v>0</v>
      </c>
      <c r="D102" s="53">
        <f t="shared" si="26"/>
        <v>0</v>
      </c>
      <c r="E102" s="54">
        <f t="shared" si="27"/>
        <v>4</v>
      </c>
      <c r="F102" s="55">
        <f t="shared" si="28"/>
        <v>1</v>
      </c>
      <c r="G102" s="56">
        <f t="shared" si="29"/>
        <v>0</v>
      </c>
      <c r="H102" s="57">
        <f t="shared" si="30"/>
        <v>0</v>
      </c>
      <c r="I102" s="51">
        <f t="shared" si="31"/>
        <v>0</v>
      </c>
      <c r="J102" s="51">
        <f t="shared" si="32"/>
        <v>1</v>
      </c>
      <c r="K102" s="51">
        <f t="shared" si="33"/>
        <v>1</v>
      </c>
      <c r="N102" s="59">
        <f t="shared" si="34"/>
        <v>272.5</v>
      </c>
      <c r="O102" s="60">
        <f t="shared" si="35"/>
        <v>0</v>
      </c>
      <c r="P102" s="60">
        <f t="shared" si="36"/>
        <v>0</v>
      </c>
      <c r="Q102" s="60">
        <f t="shared" si="37"/>
        <v>4</v>
      </c>
      <c r="R102" s="60">
        <f t="shared" si="38"/>
        <v>1</v>
      </c>
      <c r="S102" s="60">
        <f t="shared" si="39"/>
        <v>0</v>
      </c>
      <c r="T102" s="60">
        <f t="shared" si="40"/>
        <v>0</v>
      </c>
      <c r="U102" s="60">
        <f t="shared" si="41"/>
        <v>0</v>
      </c>
      <c r="V102" s="60">
        <f t="shared" si="42"/>
        <v>1</v>
      </c>
      <c r="W102" s="60">
        <f t="shared" si="43"/>
        <v>1</v>
      </c>
    </row>
    <row r="103" spans="1:23" s="58" customFormat="1" x14ac:dyDescent="0.2">
      <c r="A103" s="50">
        <f t="shared" si="23"/>
        <v>250</v>
      </c>
      <c r="B103" s="51">
        <f t="shared" si="24"/>
        <v>275</v>
      </c>
      <c r="C103" s="52">
        <f t="shared" si="25"/>
        <v>0</v>
      </c>
      <c r="D103" s="53">
        <f t="shared" si="26"/>
        <v>0</v>
      </c>
      <c r="E103" s="54">
        <f t="shared" si="27"/>
        <v>5</v>
      </c>
      <c r="F103" s="55">
        <f t="shared" si="28"/>
        <v>0</v>
      </c>
      <c r="G103" s="56">
        <f t="shared" si="29"/>
        <v>0</v>
      </c>
      <c r="H103" s="57">
        <f t="shared" si="30"/>
        <v>0</v>
      </c>
      <c r="I103" s="51">
        <f t="shared" si="31"/>
        <v>0</v>
      </c>
      <c r="J103" s="51">
        <f t="shared" si="32"/>
        <v>0</v>
      </c>
      <c r="K103" s="51">
        <f t="shared" si="33"/>
        <v>0</v>
      </c>
      <c r="N103" s="59">
        <f t="shared" si="34"/>
        <v>275</v>
      </c>
      <c r="O103" s="60">
        <f t="shared" si="35"/>
        <v>0</v>
      </c>
      <c r="P103" s="60">
        <f t="shared" si="36"/>
        <v>0</v>
      </c>
      <c r="Q103" s="60">
        <f t="shared" si="37"/>
        <v>5</v>
      </c>
      <c r="R103" s="60">
        <f t="shared" si="38"/>
        <v>0</v>
      </c>
      <c r="S103" s="60">
        <f t="shared" si="39"/>
        <v>0</v>
      </c>
      <c r="T103" s="60">
        <f t="shared" si="40"/>
        <v>0</v>
      </c>
      <c r="U103" s="60">
        <f t="shared" si="41"/>
        <v>0</v>
      </c>
      <c r="V103" s="60">
        <f t="shared" si="42"/>
        <v>0</v>
      </c>
      <c r="W103" s="60">
        <f t="shared" si="43"/>
        <v>0</v>
      </c>
    </row>
    <row r="104" spans="1:23" s="58" customFormat="1" x14ac:dyDescent="0.2">
      <c r="A104" s="50">
        <f t="shared" si="23"/>
        <v>252.5</v>
      </c>
      <c r="B104" s="51">
        <f t="shared" si="24"/>
        <v>277.5</v>
      </c>
      <c r="C104" s="52">
        <f t="shared" si="25"/>
        <v>0</v>
      </c>
      <c r="D104" s="53">
        <f t="shared" si="26"/>
        <v>0</v>
      </c>
      <c r="E104" s="54">
        <f t="shared" si="27"/>
        <v>5</v>
      </c>
      <c r="F104" s="55">
        <f t="shared" si="28"/>
        <v>0</v>
      </c>
      <c r="G104" s="56">
        <f t="shared" si="29"/>
        <v>0</v>
      </c>
      <c r="H104" s="57">
        <f t="shared" si="30"/>
        <v>0</v>
      </c>
      <c r="I104" s="51">
        <f t="shared" si="31"/>
        <v>0</v>
      </c>
      <c r="J104" s="51">
        <f t="shared" si="32"/>
        <v>0</v>
      </c>
      <c r="K104" s="51">
        <f t="shared" si="33"/>
        <v>1</v>
      </c>
      <c r="N104" s="59">
        <f t="shared" si="34"/>
        <v>277.5</v>
      </c>
      <c r="O104" s="60">
        <f t="shared" si="35"/>
        <v>0</v>
      </c>
      <c r="P104" s="60">
        <f t="shared" si="36"/>
        <v>0</v>
      </c>
      <c r="Q104" s="60">
        <f t="shared" si="37"/>
        <v>5</v>
      </c>
      <c r="R104" s="60">
        <f t="shared" si="38"/>
        <v>0</v>
      </c>
      <c r="S104" s="60">
        <f t="shared" si="39"/>
        <v>0</v>
      </c>
      <c r="T104" s="60">
        <f t="shared" si="40"/>
        <v>0</v>
      </c>
      <c r="U104" s="60">
        <f t="shared" si="41"/>
        <v>0</v>
      </c>
      <c r="V104" s="60">
        <f t="shared" si="42"/>
        <v>0</v>
      </c>
      <c r="W104" s="60">
        <f t="shared" si="43"/>
        <v>1</v>
      </c>
    </row>
    <row r="105" spans="1:23" s="58" customFormat="1" x14ac:dyDescent="0.2">
      <c r="A105" s="50">
        <f t="shared" si="23"/>
        <v>255</v>
      </c>
      <c r="B105" s="51">
        <f t="shared" si="24"/>
        <v>280</v>
      </c>
      <c r="C105" s="52">
        <f t="shared" si="25"/>
        <v>0</v>
      </c>
      <c r="D105" s="53">
        <f t="shared" si="26"/>
        <v>0</v>
      </c>
      <c r="E105" s="54">
        <f t="shared" si="27"/>
        <v>5</v>
      </c>
      <c r="F105" s="55">
        <f t="shared" si="28"/>
        <v>0</v>
      </c>
      <c r="G105" s="56">
        <f t="shared" si="29"/>
        <v>0</v>
      </c>
      <c r="H105" s="57">
        <f t="shared" si="30"/>
        <v>0</v>
      </c>
      <c r="I105" s="51">
        <f t="shared" si="31"/>
        <v>0</v>
      </c>
      <c r="J105" s="51">
        <f t="shared" si="32"/>
        <v>1</v>
      </c>
      <c r="K105" s="51">
        <f t="shared" si="33"/>
        <v>0</v>
      </c>
      <c r="N105" s="59">
        <f t="shared" si="34"/>
        <v>280</v>
      </c>
      <c r="O105" s="60">
        <f t="shared" si="35"/>
        <v>0</v>
      </c>
      <c r="P105" s="60">
        <f t="shared" si="36"/>
        <v>0</v>
      </c>
      <c r="Q105" s="60">
        <f t="shared" si="37"/>
        <v>5</v>
      </c>
      <c r="R105" s="60">
        <f t="shared" si="38"/>
        <v>0</v>
      </c>
      <c r="S105" s="60">
        <f t="shared" si="39"/>
        <v>0</v>
      </c>
      <c r="T105" s="60">
        <f t="shared" si="40"/>
        <v>0</v>
      </c>
      <c r="U105" s="60">
        <f t="shared" si="41"/>
        <v>0</v>
      </c>
      <c r="V105" s="60">
        <f t="shared" si="42"/>
        <v>1</v>
      </c>
      <c r="W105" s="60">
        <f t="shared" si="43"/>
        <v>0</v>
      </c>
    </row>
    <row r="106" spans="1:23" s="58" customFormat="1" x14ac:dyDescent="0.2">
      <c r="A106" s="50">
        <f t="shared" si="23"/>
        <v>257.5</v>
      </c>
      <c r="B106" s="51">
        <f t="shared" si="24"/>
        <v>282.5</v>
      </c>
      <c r="C106" s="52">
        <f t="shared" si="25"/>
        <v>0</v>
      </c>
      <c r="D106" s="53">
        <f t="shared" si="26"/>
        <v>0</v>
      </c>
      <c r="E106" s="54">
        <f t="shared" si="27"/>
        <v>5</v>
      </c>
      <c r="F106" s="55">
        <f t="shared" si="28"/>
        <v>0</v>
      </c>
      <c r="G106" s="56">
        <f t="shared" si="29"/>
        <v>0</v>
      </c>
      <c r="H106" s="57">
        <f t="shared" si="30"/>
        <v>0</v>
      </c>
      <c r="I106" s="51">
        <f t="shared" si="31"/>
        <v>0</v>
      </c>
      <c r="J106" s="51">
        <f t="shared" si="32"/>
        <v>1</v>
      </c>
      <c r="K106" s="51">
        <f t="shared" si="33"/>
        <v>1</v>
      </c>
      <c r="N106" s="59">
        <f t="shared" si="34"/>
        <v>282.5</v>
      </c>
      <c r="O106" s="60">
        <f t="shared" si="35"/>
        <v>0</v>
      </c>
      <c r="P106" s="60">
        <f t="shared" si="36"/>
        <v>0</v>
      </c>
      <c r="Q106" s="60">
        <f t="shared" si="37"/>
        <v>5</v>
      </c>
      <c r="R106" s="60">
        <f t="shared" si="38"/>
        <v>0</v>
      </c>
      <c r="S106" s="60">
        <f t="shared" si="39"/>
        <v>0</v>
      </c>
      <c r="T106" s="60">
        <f t="shared" si="40"/>
        <v>0</v>
      </c>
      <c r="U106" s="60">
        <f t="shared" si="41"/>
        <v>0</v>
      </c>
      <c r="V106" s="60">
        <f t="shared" si="42"/>
        <v>1</v>
      </c>
      <c r="W106" s="60">
        <f t="shared" si="43"/>
        <v>1</v>
      </c>
    </row>
    <row r="107" spans="1:23" s="58" customFormat="1" x14ac:dyDescent="0.2">
      <c r="A107" s="50">
        <f t="shared" si="23"/>
        <v>260</v>
      </c>
      <c r="B107" s="51">
        <f t="shared" si="24"/>
        <v>285</v>
      </c>
      <c r="C107" s="52">
        <f t="shared" si="25"/>
        <v>0</v>
      </c>
      <c r="D107" s="53">
        <f t="shared" si="26"/>
        <v>0</v>
      </c>
      <c r="E107" s="54">
        <f t="shared" si="27"/>
        <v>5</v>
      </c>
      <c r="F107" s="55">
        <f t="shared" si="28"/>
        <v>0</v>
      </c>
      <c r="G107" s="56">
        <f t="shared" si="29"/>
        <v>0</v>
      </c>
      <c r="H107" s="57">
        <f t="shared" si="30"/>
        <v>0</v>
      </c>
      <c r="I107" s="51">
        <f t="shared" si="31"/>
        <v>1</v>
      </c>
      <c r="J107" s="51">
        <f t="shared" si="32"/>
        <v>0</v>
      </c>
      <c r="K107" s="51">
        <f t="shared" si="33"/>
        <v>0</v>
      </c>
      <c r="N107" s="59">
        <f t="shared" si="34"/>
        <v>285</v>
      </c>
      <c r="O107" s="60">
        <f t="shared" si="35"/>
        <v>0</v>
      </c>
      <c r="P107" s="60">
        <f t="shared" si="36"/>
        <v>0</v>
      </c>
      <c r="Q107" s="60">
        <f t="shared" si="37"/>
        <v>5</v>
      </c>
      <c r="R107" s="60">
        <f t="shared" si="38"/>
        <v>0</v>
      </c>
      <c r="S107" s="60">
        <f t="shared" si="39"/>
        <v>0</v>
      </c>
      <c r="T107" s="60">
        <f t="shared" si="40"/>
        <v>0</v>
      </c>
      <c r="U107" s="60">
        <f t="shared" si="41"/>
        <v>1</v>
      </c>
      <c r="V107" s="60">
        <f t="shared" si="42"/>
        <v>0</v>
      </c>
      <c r="W107" s="60">
        <f t="shared" si="43"/>
        <v>0</v>
      </c>
    </row>
    <row r="108" spans="1:23" s="58" customFormat="1" x14ac:dyDescent="0.2">
      <c r="A108" s="50">
        <f t="shared" si="23"/>
        <v>262.5</v>
      </c>
      <c r="B108" s="51">
        <f t="shared" si="24"/>
        <v>287.5</v>
      </c>
      <c r="C108" s="52">
        <f t="shared" si="25"/>
        <v>0</v>
      </c>
      <c r="D108" s="53">
        <f t="shared" si="26"/>
        <v>0</v>
      </c>
      <c r="E108" s="54">
        <f t="shared" si="27"/>
        <v>5</v>
      </c>
      <c r="F108" s="55">
        <f t="shared" si="28"/>
        <v>0</v>
      </c>
      <c r="G108" s="56">
        <f t="shared" si="29"/>
        <v>0</v>
      </c>
      <c r="H108" s="57">
        <f t="shared" si="30"/>
        <v>0</v>
      </c>
      <c r="I108" s="51">
        <f t="shared" si="31"/>
        <v>1</v>
      </c>
      <c r="J108" s="51">
        <f t="shared" si="32"/>
        <v>0</v>
      </c>
      <c r="K108" s="51">
        <f t="shared" si="33"/>
        <v>1</v>
      </c>
      <c r="N108" s="59">
        <f t="shared" si="34"/>
        <v>287.5</v>
      </c>
      <c r="O108" s="60">
        <f t="shared" si="35"/>
        <v>0</v>
      </c>
      <c r="P108" s="60">
        <f t="shared" si="36"/>
        <v>0</v>
      </c>
      <c r="Q108" s="60">
        <f t="shared" si="37"/>
        <v>5</v>
      </c>
      <c r="R108" s="60">
        <f t="shared" si="38"/>
        <v>0</v>
      </c>
      <c r="S108" s="60">
        <f t="shared" si="39"/>
        <v>0</v>
      </c>
      <c r="T108" s="60">
        <f t="shared" si="40"/>
        <v>0</v>
      </c>
      <c r="U108" s="60">
        <f t="shared" si="41"/>
        <v>1</v>
      </c>
      <c r="V108" s="60">
        <f t="shared" si="42"/>
        <v>0</v>
      </c>
      <c r="W108" s="60">
        <f t="shared" si="43"/>
        <v>1</v>
      </c>
    </row>
    <row r="109" spans="1:23" s="58" customFormat="1" x14ac:dyDescent="0.2">
      <c r="A109" s="50">
        <f t="shared" si="23"/>
        <v>265</v>
      </c>
      <c r="B109" s="51">
        <f t="shared" si="24"/>
        <v>290</v>
      </c>
      <c r="C109" s="52">
        <f t="shared" si="25"/>
        <v>0</v>
      </c>
      <c r="D109" s="53">
        <f t="shared" si="26"/>
        <v>0</v>
      </c>
      <c r="E109" s="54">
        <f t="shared" si="27"/>
        <v>5</v>
      </c>
      <c r="F109" s="55">
        <f t="shared" si="28"/>
        <v>0</v>
      </c>
      <c r="G109" s="56">
        <f t="shared" si="29"/>
        <v>0</v>
      </c>
      <c r="H109" s="57">
        <f t="shared" si="30"/>
        <v>0</v>
      </c>
      <c r="I109" s="51">
        <f t="shared" si="31"/>
        <v>1</v>
      </c>
      <c r="J109" s="51">
        <f t="shared" si="32"/>
        <v>1</v>
      </c>
      <c r="K109" s="51">
        <f t="shared" si="33"/>
        <v>0</v>
      </c>
      <c r="N109" s="59">
        <f t="shared" si="34"/>
        <v>290</v>
      </c>
      <c r="O109" s="60">
        <f t="shared" si="35"/>
        <v>0</v>
      </c>
      <c r="P109" s="60">
        <f t="shared" si="36"/>
        <v>0</v>
      </c>
      <c r="Q109" s="60">
        <f t="shared" si="37"/>
        <v>5</v>
      </c>
      <c r="R109" s="60">
        <f t="shared" si="38"/>
        <v>0</v>
      </c>
      <c r="S109" s="60">
        <f t="shared" si="39"/>
        <v>0</v>
      </c>
      <c r="T109" s="60">
        <f t="shared" si="40"/>
        <v>0</v>
      </c>
      <c r="U109" s="60">
        <f t="shared" si="41"/>
        <v>1</v>
      </c>
      <c r="V109" s="60">
        <f t="shared" si="42"/>
        <v>1</v>
      </c>
      <c r="W109" s="60">
        <f t="shared" si="43"/>
        <v>0</v>
      </c>
    </row>
    <row r="110" spans="1:23" s="58" customFormat="1" x14ac:dyDescent="0.2">
      <c r="A110" s="50">
        <f t="shared" si="23"/>
        <v>267.5</v>
      </c>
      <c r="B110" s="51">
        <f t="shared" si="24"/>
        <v>292.5</v>
      </c>
      <c r="C110" s="52">
        <f t="shared" si="25"/>
        <v>0</v>
      </c>
      <c r="D110" s="53">
        <f t="shared" si="26"/>
        <v>0</v>
      </c>
      <c r="E110" s="54">
        <f t="shared" si="27"/>
        <v>5</v>
      </c>
      <c r="F110" s="55">
        <f t="shared" si="28"/>
        <v>0</v>
      </c>
      <c r="G110" s="56">
        <f t="shared" si="29"/>
        <v>0</v>
      </c>
      <c r="H110" s="57">
        <f t="shared" si="30"/>
        <v>0</v>
      </c>
      <c r="I110" s="51">
        <f t="shared" si="31"/>
        <v>1</v>
      </c>
      <c r="J110" s="51">
        <f t="shared" si="32"/>
        <v>1</v>
      </c>
      <c r="K110" s="51">
        <f t="shared" si="33"/>
        <v>1</v>
      </c>
      <c r="N110" s="59">
        <f t="shared" si="34"/>
        <v>292.5</v>
      </c>
      <c r="O110" s="60">
        <f t="shared" si="35"/>
        <v>0</v>
      </c>
      <c r="P110" s="60">
        <f t="shared" si="36"/>
        <v>0</v>
      </c>
      <c r="Q110" s="60">
        <f t="shared" si="37"/>
        <v>5</v>
      </c>
      <c r="R110" s="60">
        <f t="shared" si="38"/>
        <v>0</v>
      </c>
      <c r="S110" s="60">
        <f t="shared" si="39"/>
        <v>0</v>
      </c>
      <c r="T110" s="60">
        <f t="shared" si="40"/>
        <v>0</v>
      </c>
      <c r="U110" s="60">
        <f t="shared" si="41"/>
        <v>1</v>
      </c>
      <c r="V110" s="60">
        <f t="shared" si="42"/>
        <v>1</v>
      </c>
      <c r="W110" s="60">
        <f t="shared" si="43"/>
        <v>1</v>
      </c>
    </row>
    <row r="111" spans="1:23" s="58" customFormat="1" x14ac:dyDescent="0.2">
      <c r="A111" s="50">
        <f t="shared" si="23"/>
        <v>270</v>
      </c>
      <c r="B111" s="51">
        <f t="shared" si="24"/>
        <v>295</v>
      </c>
      <c r="C111" s="52">
        <f t="shared" si="25"/>
        <v>0</v>
      </c>
      <c r="D111" s="53">
        <f t="shared" si="26"/>
        <v>0</v>
      </c>
      <c r="E111" s="54">
        <f t="shared" si="27"/>
        <v>5</v>
      </c>
      <c r="F111" s="55">
        <f t="shared" si="28"/>
        <v>0</v>
      </c>
      <c r="G111" s="56">
        <f t="shared" si="29"/>
        <v>0</v>
      </c>
      <c r="H111" s="57">
        <f t="shared" si="30"/>
        <v>1</v>
      </c>
      <c r="I111" s="51">
        <f t="shared" si="31"/>
        <v>0</v>
      </c>
      <c r="J111" s="51">
        <f t="shared" si="32"/>
        <v>0</v>
      </c>
      <c r="K111" s="51">
        <f t="shared" si="33"/>
        <v>0</v>
      </c>
      <c r="N111" s="59">
        <f t="shared" si="34"/>
        <v>295</v>
      </c>
      <c r="O111" s="60">
        <f t="shared" si="35"/>
        <v>0</v>
      </c>
      <c r="P111" s="60">
        <f t="shared" si="36"/>
        <v>0</v>
      </c>
      <c r="Q111" s="60">
        <f t="shared" si="37"/>
        <v>5</v>
      </c>
      <c r="R111" s="60">
        <f t="shared" si="38"/>
        <v>0</v>
      </c>
      <c r="S111" s="60">
        <f t="shared" si="39"/>
        <v>0</v>
      </c>
      <c r="T111" s="60">
        <f t="shared" si="40"/>
        <v>1</v>
      </c>
      <c r="U111" s="60">
        <f t="shared" si="41"/>
        <v>0</v>
      </c>
      <c r="V111" s="60">
        <f t="shared" si="42"/>
        <v>0</v>
      </c>
      <c r="W111" s="60">
        <f t="shared" si="43"/>
        <v>0</v>
      </c>
    </row>
    <row r="112" spans="1:23" s="58" customFormat="1" x14ac:dyDescent="0.2">
      <c r="A112" s="50">
        <f t="shared" si="23"/>
        <v>272.5</v>
      </c>
      <c r="B112" s="51">
        <f t="shared" si="24"/>
        <v>297.5</v>
      </c>
      <c r="C112" s="52">
        <f t="shared" si="25"/>
        <v>0</v>
      </c>
      <c r="D112" s="53">
        <f t="shared" si="26"/>
        <v>0</v>
      </c>
      <c r="E112" s="54">
        <f t="shared" si="27"/>
        <v>5</v>
      </c>
      <c r="F112" s="55">
        <f t="shared" si="28"/>
        <v>0</v>
      </c>
      <c r="G112" s="56">
        <f t="shared" si="29"/>
        <v>0</v>
      </c>
      <c r="H112" s="57">
        <f t="shared" si="30"/>
        <v>1</v>
      </c>
      <c r="I112" s="51">
        <f t="shared" si="31"/>
        <v>0</v>
      </c>
      <c r="J112" s="51">
        <f t="shared" si="32"/>
        <v>0</v>
      </c>
      <c r="K112" s="51">
        <f t="shared" si="33"/>
        <v>1</v>
      </c>
      <c r="N112" s="59">
        <f t="shared" si="34"/>
        <v>297.5</v>
      </c>
      <c r="O112" s="60">
        <f t="shared" si="35"/>
        <v>0</v>
      </c>
      <c r="P112" s="60">
        <f t="shared" si="36"/>
        <v>0</v>
      </c>
      <c r="Q112" s="60">
        <f t="shared" si="37"/>
        <v>5</v>
      </c>
      <c r="R112" s="60">
        <f t="shared" si="38"/>
        <v>0</v>
      </c>
      <c r="S112" s="60">
        <f t="shared" si="39"/>
        <v>0</v>
      </c>
      <c r="T112" s="60">
        <f t="shared" si="40"/>
        <v>1</v>
      </c>
      <c r="U112" s="60">
        <f t="shared" si="41"/>
        <v>0</v>
      </c>
      <c r="V112" s="60">
        <f t="shared" si="42"/>
        <v>0</v>
      </c>
      <c r="W112" s="60">
        <f t="shared" si="43"/>
        <v>1</v>
      </c>
    </row>
    <row r="113" spans="1:23" s="58" customFormat="1" x14ac:dyDescent="0.2">
      <c r="A113" s="50">
        <f t="shared" si="23"/>
        <v>275</v>
      </c>
      <c r="B113" s="51">
        <f t="shared" si="24"/>
        <v>300</v>
      </c>
      <c r="C113" s="52">
        <f t="shared" si="25"/>
        <v>0</v>
      </c>
      <c r="D113" s="53">
        <f t="shared" si="26"/>
        <v>0</v>
      </c>
      <c r="E113" s="54">
        <f t="shared" si="27"/>
        <v>5</v>
      </c>
      <c r="F113" s="55">
        <f t="shared" si="28"/>
        <v>0</v>
      </c>
      <c r="G113" s="56">
        <f t="shared" si="29"/>
        <v>0</v>
      </c>
      <c r="H113" s="57">
        <f t="shared" si="30"/>
        <v>1</v>
      </c>
      <c r="I113" s="51">
        <f t="shared" si="31"/>
        <v>0</v>
      </c>
      <c r="J113" s="51">
        <f t="shared" si="32"/>
        <v>1</v>
      </c>
      <c r="K113" s="51">
        <f t="shared" si="33"/>
        <v>0</v>
      </c>
      <c r="N113" s="59">
        <f t="shared" si="34"/>
        <v>300</v>
      </c>
      <c r="O113" s="60">
        <f t="shared" si="35"/>
        <v>0</v>
      </c>
      <c r="P113" s="60">
        <f t="shared" si="36"/>
        <v>0</v>
      </c>
      <c r="Q113" s="60">
        <f t="shared" si="37"/>
        <v>5</v>
      </c>
      <c r="R113" s="60">
        <f t="shared" si="38"/>
        <v>0</v>
      </c>
      <c r="S113" s="60">
        <f t="shared" si="39"/>
        <v>0</v>
      </c>
      <c r="T113" s="60">
        <f t="shared" si="40"/>
        <v>1</v>
      </c>
      <c r="U113" s="60">
        <f t="shared" si="41"/>
        <v>0</v>
      </c>
      <c r="V113" s="60">
        <f t="shared" si="42"/>
        <v>1</v>
      </c>
      <c r="W113" s="60">
        <f t="shared" si="43"/>
        <v>0</v>
      </c>
    </row>
    <row r="114" spans="1:23" s="58" customFormat="1" x14ac:dyDescent="0.2">
      <c r="A114" s="50">
        <f t="shared" si="23"/>
        <v>277.5</v>
      </c>
      <c r="B114" s="51">
        <f t="shared" si="24"/>
        <v>302.5</v>
      </c>
      <c r="C114" s="52">
        <f t="shared" si="25"/>
        <v>0</v>
      </c>
      <c r="D114" s="53">
        <f t="shared" si="26"/>
        <v>0</v>
      </c>
      <c r="E114" s="54">
        <f t="shared" si="27"/>
        <v>5</v>
      </c>
      <c r="F114" s="55">
        <f t="shared" si="28"/>
        <v>0</v>
      </c>
      <c r="G114" s="56">
        <f t="shared" si="29"/>
        <v>0</v>
      </c>
      <c r="H114" s="57">
        <f t="shared" si="30"/>
        <v>1</v>
      </c>
      <c r="I114" s="51">
        <f t="shared" si="31"/>
        <v>0</v>
      </c>
      <c r="J114" s="51">
        <f t="shared" si="32"/>
        <v>1</v>
      </c>
      <c r="K114" s="51">
        <f t="shared" si="33"/>
        <v>1</v>
      </c>
      <c r="N114" s="59">
        <f t="shared" si="34"/>
        <v>302.5</v>
      </c>
      <c r="O114" s="60">
        <f t="shared" si="35"/>
        <v>0</v>
      </c>
      <c r="P114" s="60">
        <f t="shared" si="36"/>
        <v>0</v>
      </c>
      <c r="Q114" s="60">
        <f t="shared" si="37"/>
        <v>5</v>
      </c>
      <c r="R114" s="60">
        <f t="shared" si="38"/>
        <v>0</v>
      </c>
      <c r="S114" s="60">
        <f t="shared" si="39"/>
        <v>0</v>
      </c>
      <c r="T114" s="60">
        <f t="shared" si="40"/>
        <v>1</v>
      </c>
      <c r="U114" s="60">
        <f t="shared" si="41"/>
        <v>0</v>
      </c>
      <c r="V114" s="60">
        <f t="shared" si="42"/>
        <v>1</v>
      </c>
      <c r="W114" s="60">
        <f t="shared" si="43"/>
        <v>1</v>
      </c>
    </row>
    <row r="115" spans="1:23" s="58" customFormat="1" x14ac:dyDescent="0.2">
      <c r="A115" s="50">
        <f t="shared" si="23"/>
        <v>280</v>
      </c>
      <c r="B115" s="51">
        <f t="shared" si="24"/>
        <v>305</v>
      </c>
      <c r="C115" s="52">
        <f t="shared" si="25"/>
        <v>0</v>
      </c>
      <c r="D115" s="53">
        <f t="shared" si="26"/>
        <v>0</v>
      </c>
      <c r="E115" s="54">
        <f t="shared" si="27"/>
        <v>5</v>
      </c>
      <c r="F115" s="55">
        <f t="shared" si="28"/>
        <v>0</v>
      </c>
      <c r="G115" s="56">
        <f t="shared" si="29"/>
        <v>1</v>
      </c>
      <c r="H115" s="57">
        <f t="shared" si="30"/>
        <v>0</v>
      </c>
      <c r="I115" s="51">
        <f t="shared" si="31"/>
        <v>0</v>
      </c>
      <c r="J115" s="51">
        <f t="shared" si="32"/>
        <v>0</v>
      </c>
      <c r="K115" s="51">
        <f t="shared" si="33"/>
        <v>0</v>
      </c>
      <c r="N115" s="59">
        <f t="shared" si="34"/>
        <v>305</v>
      </c>
      <c r="O115" s="60">
        <f t="shared" si="35"/>
        <v>0</v>
      </c>
      <c r="P115" s="60">
        <f t="shared" si="36"/>
        <v>0</v>
      </c>
      <c r="Q115" s="60">
        <f t="shared" si="37"/>
        <v>5</v>
      </c>
      <c r="R115" s="60">
        <f t="shared" si="38"/>
        <v>0</v>
      </c>
      <c r="S115" s="60">
        <f t="shared" si="39"/>
        <v>1</v>
      </c>
      <c r="T115" s="60">
        <f t="shared" si="40"/>
        <v>0</v>
      </c>
      <c r="U115" s="60">
        <f t="shared" si="41"/>
        <v>0</v>
      </c>
      <c r="V115" s="60">
        <f t="shared" si="42"/>
        <v>0</v>
      </c>
      <c r="W115" s="60">
        <f t="shared" si="43"/>
        <v>0</v>
      </c>
    </row>
    <row r="116" spans="1:23" s="58" customFormat="1" x14ac:dyDescent="0.2">
      <c r="A116" s="50">
        <f t="shared" si="23"/>
        <v>282.5</v>
      </c>
      <c r="B116" s="51">
        <f t="shared" si="24"/>
        <v>307.5</v>
      </c>
      <c r="C116" s="52">
        <f t="shared" si="25"/>
        <v>0</v>
      </c>
      <c r="D116" s="53">
        <f t="shared" si="26"/>
        <v>0</v>
      </c>
      <c r="E116" s="54">
        <f t="shared" si="27"/>
        <v>5</v>
      </c>
      <c r="F116" s="55">
        <f t="shared" si="28"/>
        <v>0</v>
      </c>
      <c r="G116" s="56">
        <f t="shared" si="29"/>
        <v>1</v>
      </c>
      <c r="H116" s="57">
        <f t="shared" si="30"/>
        <v>0</v>
      </c>
      <c r="I116" s="51">
        <f t="shared" si="31"/>
        <v>0</v>
      </c>
      <c r="J116" s="51">
        <f t="shared" si="32"/>
        <v>0</v>
      </c>
      <c r="K116" s="51">
        <f t="shared" si="33"/>
        <v>1</v>
      </c>
      <c r="N116" s="59">
        <f t="shared" si="34"/>
        <v>307.5</v>
      </c>
      <c r="O116" s="60">
        <f t="shared" si="35"/>
        <v>0</v>
      </c>
      <c r="P116" s="60">
        <f t="shared" si="36"/>
        <v>0</v>
      </c>
      <c r="Q116" s="60">
        <f t="shared" si="37"/>
        <v>5</v>
      </c>
      <c r="R116" s="60">
        <f t="shared" si="38"/>
        <v>0</v>
      </c>
      <c r="S116" s="60">
        <f t="shared" si="39"/>
        <v>1</v>
      </c>
      <c r="T116" s="60">
        <f t="shared" si="40"/>
        <v>0</v>
      </c>
      <c r="U116" s="60">
        <f t="shared" si="41"/>
        <v>0</v>
      </c>
      <c r="V116" s="60">
        <f t="shared" si="42"/>
        <v>0</v>
      </c>
      <c r="W116" s="60">
        <f t="shared" si="43"/>
        <v>1</v>
      </c>
    </row>
    <row r="117" spans="1:23" s="58" customFormat="1" x14ac:dyDescent="0.2">
      <c r="A117" s="50">
        <f t="shared" si="23"/>
        <v>285</v>
      </c>
      <c r="B117" s="51">
        <f t="shared" si="24"/>
        <v>310</v>
      </c>
      <c r="C117" s="52">
        <f t="shared" si="25"/>
        <v>0</v>
      </c>
      <c r="D117" s="53">
        <f t="shared" si="26"/>
        <v>0</v>
      </c>
      <c r="E117" s="54">
        <f t="shared" si="27"/>
        <v>5</v>
      </c>
      <c r="F117" s="55">
        <f t="shared" si="28"/>
        <v>0</v>
      </c>
      <c r="G117" s="56">
        <f t="shared" si="29"/>
        <v>1</v>
      </c>
      <c r="H117" s="57">
        <f t="shared" si="30"/>
        <v>0</v>
      </c>
      <c r="I117" s="51">
        <f t="shared" si="31"/>
        <v>0</v>
      </c>
      <c r="J117" s="51">
        <f t="shared" si="32"/>
        <v>1</v>
      </c>
      <c r="K117" s="51">
        <f t="shared" si="33"/>
        <v>0</v>
      </c>
      <c r="N117" s="59">
        <f t="shared" si="34"/>
        <v>310</v>
      </c>
      <c r="O117" s="60">
        <f t="shared" si="35"/>
        <v>0</v>
      </c>
      <c r="P117" s="60">
        <f t="shared" si="36"/>
        <v>0</v>
      </c>
      <c r="Q117" s="60">
        <f t="shared" si="37"/>
        <v>5</v>
      </c>
      <c r="R117" s="60">
        <f t="shared" si="38"/>
        <v>0</v>
      </c>
      <c r="S117" s="60">
        <f t="shared" si="39"/>
        <v>1</v>
      </c>
      <c r="T117" s="60">
        <f t="shared" si="40"/>
        <v>0</v>
      </c>
      <c r="U117" s="60">
        <f t="shared" si="41"/>
        <v>0</v>
      </c>
      <c r="V117" s="60">
        <f t="shared" si="42"/>
        <v>1</v>
      </c>
      <c r="W117" s="60">
        <f t="shared" si="43"/>
        <v>0</v>
      </c>
    </row>
    <row r="118" spans="1:23" s="58" customFormat="1" x14ac:dyDescent="0.2">
      <c r="A118" s="50">
        <f t="shared" si="23"/>
        <v>287.5</v>
      </c>
      <c r="B118" s="51">
        <f t="shared" si="24"/>
        <v>312.5</v>
      </c>
      <c r="C118" s="52">
        <f t="shared" si="25"/>
        <v>0</v>
      </c>
      <c r="D118" s="53">
        <f t="shared" si="26"/>
        <v>0</v>
      </c>
      <c r="E118" s="54">
        <f t="shared" si="27"/>
        <v>5</v>
      </c>
      <c r="F118" s="55">
        <f t="shared" si="28"/>
        <v>0</v>
      </c>
      <c r="G118" s="56">
        <f t="shared" si="29"/>
        <v>1</v>
      </c>
      <c r="H118" s="57">
        <f t="shared" si="30"/>
        <v>0</v>
      </c>
      <c r="I118" s="51">
        <f t="shared" si="31"/>
        <v>0</v>
      </c>
      <c r="J118" s="51">
        <f t="shared" si="32"/>
        <v>1</v>
      </c>
      <c r="K118" s="51">
        <f t="shared" si="33"/>
        <v>1</v>
      </c>
      <c r="N118" s="59">
        <f t="shared" si="34"/>
        <v>312.5</v>
      </c>
      <c r="O118" s="60">
        <f t="shared" si="35"/>
        <v>0</v>
      </c>
      <c r="P118" s="60">
        <f t="shared" si="36"/>
        <v>0</v>
      </c>
      <c r="Q118" s="60">
        <f t="shared" si="37"/>
        <v>5</v>
      </c>
      <c r="R118" s="60">
        <f t="shared" si="38"/>
        <v>0</v>
      </c>
      <c r="S118" s="60">
        <f t="shared" si="39"/>
        <v>1</v>
      </c>
      <c r="T118" s="60">
        <f t="shared" si="40"/>
        <v>0</v>
      </c>
      <c r="U118" s="60">
        <f t="shared" si="41"/>
        <v>0</v>
      </c>
      <c r="V118" s="60">
        <f t="shared" si="42"/>
        <v>1</v>
      </c>
      <c r="W118" s="60">
        <f t="shared" si="43"/>
        <v>1</v>
      </c>
    </row>
    <row r="119" spans="1:23" s="58" customFormat="1" x14ac:dyDescent="0.2">
      <c r="A119" s="50">
        <f t="shared" si="23"/>
        <v>290</v>
      </c>
      <c r="B119" s="51">
        <f t="shared" si="24"/>
        <v>315</v>
      </c>
      <c r="C119" s="52">
        <f t="shared" si="25"/>
        <v>0</v>
      </c>
      <c r="D119" s="53">
        <f t="shared" si="26"/>
        <v>0</v>
      </c>
      <c r="E119" s="54">
        <f t="shared" si="27"/>
        <v>5</v>
      </c>
      <c r="F119" s="55">
        <f t="shared" si="28"/>
        <v>1</v>
      </c>
      <c r="G119" s="56">
        <f t="shared" si="29"/>
        <v>0</v>
      </c>
      <c r="H119" s="57">
        <f t="shared" si="30"/>
        <v>0</v>
      </c>
      <c r="I119" s="51">
        <f t="shared" si="31"/>
        <v>0</v>
      </c>
      <c r="J119" s="51">
        <f t="shared" si="32"/>
        <v>0</v>
      </c>
      <c r="K119" s="51">
        <f t="shared" si="33"/>
        <v>0</v>
      </c>
      <c r="N119" s="59">
        <f t="shared" si="34"/>
        <v>315</v>
      </c>
      <c r="O119" s="60">
        <f t="shared" si="35"/>
        <v>0</v>
      </c>
      <c r="P119" s="60">
        <f t="shared" si="36"/>
        <v>0</v>
      </c>
      <c r="Q119" s="60">
        <f t="shared" si="37"/>
        <v>5</v>
      </c>
      <c r="R119" s="60">
        <f t="shared" si="38"/>
        <v>1</v>
      </c>
      <c r="S119" s="60">
        <f t="shared" si="39"/>
        <v>0</v>
      </c>
      <c r="T119" s="60">
        <f t="shared" si="40"/>
        <v>0</v>
      </c>
      <c r="U119" s="60">
        <f t="shared" si="41"/>
        <v>0</v>
      </c>
      <c r="V119" s="60">
        <f t="shared" si="42"/>
        <v>0</v>
      </c>
      <c r="W119" s="60">
        <f t="shared" si="43"/>
        <v>0</v>
      </c>
    </row>
    <row r="120" spans="1:23" s="58" customFormat="1" x14ac:dyDescent="0.2">
      <c r="A120" s="50">
        <f t="shared" si="23"/>
        <v>292.5</v>
      </c>
      <c r="B120" s="51">
        <f t="shared" si="24"/>
        <v>317.5</v>
      </c>
      <c r="C120" s="52">
        <f t="shared" si="25"/>
        <v>0</v>
      </c>
      <c r="D120" s="53">
        <f t="shared" si="26"/>
        <v>0</v>
      </c>
      <c r="E120" s="54">
        <f t="shared" si="27"/>
        <v>5</v>
      </c>
      <c r="F120" s="55">
        <f t="shared" si="28"/>
        <v>1</v>
      </c>
      <c r="G120" s="56">
        <f t="shared" si="29"/>
        <v>0</v>
      </c>
      <c r="H120" s="57">
        <f t="shared" si="30"/>
        <v>0</v>
      </c>
      <c r="I120" s="51">
        <f t="shared" si="31"/>
        <v>0</v>
      </c>
      <c r="J120" s="51">
        <f t="shared" si="32"/>
        <v>0</v>
      </c>
      <c r="K120" s="51">
        <f t="shared" si="33"/>
        <v>1</v>
      </c>
      <c r="N120" s="59">
        <f t="shared" si="34"/>
        <v>317.5</v>
      </c>
      <c r="O120" s="60">
        <f t="shared" si="35"/>
        <v>0</v>
      </c>
      <c r="P120" s="60">
        <f t="shared" si="36"/>
        <v>0</v>
      </c>
      <c r="Q120" s="60">
        <f t="shared" si="37"/>
        <v>5</v>
      </c>
      <c r="R120" s="60">
        <f t="shared" si="38"/>
        <v>1</v>
      </c>
      <c r="S120" s="60">
        <f t="shared" si="39"/>
        <v>0</v>
      </c>
      <c r="T120" s="60">
        <f t="shared" si="40"/>
        <v>0</v>
      </c>
      <c r="U120" s="60">
        <f t="shared" si="41"/>
        <v>0</v>
      </c>
      <c r="V120" s="60">
        <f t="shared" si="42"/>
        <v>0</v>
      </c>
      <c r="W120" s="60">
        <f t="shared" si="43"/>
        <v>1</v>
      </c>
    </row>
    <row r="121" spans="1:23" s="58" customFormat="1" x14ac:dyDescent="0.2">
      <c r="A121" s="50">
        <f t="shared" si="23"/>
        <v>295</v>
      </c>
      <c r="B121" s="51">
        <f t="shared" si="24"/>
        <v>320</v>
      </c>
      <c r="C121" s="52">
        <f t="shared" si="25"/>
        <v>0</v>
      </c>
      <c r="D121" s="53">
        <f t="shared" si="26"/>
        <v>0</v>
      </c>
      <c r="E121" s="54">
        <f t="shared" si="27"/>
        <v>5</v>
      </c>
      <c r="F121" s="55">
        <f t="shared" si="28"/>
        <v>1</v>
      </c>
      <c r="G121" s="56">
        <f t="shared" si="29"/>
        <v>0</v>
      </c>
      <c r="H121" s="57">
        <f t="shared" si="30"/>
        <v>0</v>
      </c>
      <c r="I121" s="51">
        <f t="shared" si="31"/>
        <v>0</v>
      </c>
      <c r="J121" s="51">
        <f t="shared" si="32"/>
        <v>1</v>
      </c>
      <c r="K121" s="51">
        <f t="shared" si="33"/>
        <v>0</v>
      </c>
      <c r="N121" s="59">
        <f t="shared" si="34"/>
        <v>320</v>
      </c>
      <c r="O121" s="60">
        <f t="shared" si="35"/>
        <v>0</v>
      </c>
      <c r="P121" s="60">
        <f t="shared" si="36"/>
        <v>0</v>
      </c>
      <c r="Q121" s="60">
        <f t="shared" si="37"/>
        <v>5</v>
      </c>
      <c r="R121" s="60">
        <f t="shared" si="38"/>
        <v>1</v>
      </c>
      <c r="S121" s="60">
        <f t="shared" si="39"/>
        <v>0</v>
      </c>
      <c r="T121" s="60">
        <f t="shared" si="40"/>
        <v>0</v>
      </c>
      <c r="U121" s="60">
        <f t="shared" si="41"/>
        <v>0</v>
      </c>
      <c r="V121" s="60">
        <f t="shared" si="42"/>
        <v>1</v>
      </c>
      <c r="W121" s="60">
        <f t="shared" si="43"/>
        <v>0</v>
      </c>
    </row>
    <row r="122" spans="1:23" s="58" customFormat="1" x14ac:dyDescent="0.2">
      <c r="A122" s="50">
        <f t="shared" si="23"/>
        <v>297.5</v>
      </c>
      <c r="B122" s="51">
        <f t="shared" si="24"/>
        <v>322.5</v>
      </c>
      <c r="C122" s="52">
        <f t="shared" si="25"/>
        <v>0</v>
      </c>
      <c r="D122" s="53">
        <f t="shared" si="26"/>
        <v>0</v>
      </c>
      <c r="E122" s="54">
        <f t="shared" si="27"/>
        <v>5</v>
      </c>
      <c r="F122" s="55">
        <f t="shared" si="28"/>
        <v>1</v>
      </c>
      <c r="G122" s="56">
        <f t="shared" si="29"/>
        <v>0</v>
      </c>
      <c r="H122" s="57">
        <f t="shared" si="30"/>
        <v>0</v>
      </c>
      <c r="I122" s="51">
        <f t="shared" si="31"/>
        <v>0</v>
      </c>
      <c r="J122" s="51">
        <f t="shared" si="32"/>
        <v>1</v>
      </c>
      <c r="K122" s="51">
        <f t="shared" si="33"/>
        <v>1</v>
      </c>
      <c r="N122" s="59">
        <f t="shared" si="34"/>
        <v>322.5</v>
      </c>
      <c r="O122" s="60">
        <f t="shared" si="35"/>
        <v>0</v>
      </c>
      <c r="P122" s="60">
        <f t="shared" si="36"/>
        <v>0</v>
      </c>
      <c r="Q122" s="60">
        <f t="shared" si="37"/>
        <v>5</v>
      </c>
      <c r="R122" s="60">
        <f t="shared" si="38"/>
        <v>1</v>
      </c>
      <c r="S122" s="60">
        <f t="shared" si="39"/>
        <v>0</v>
      </c>
      <c r="T122" s="60">
        <f t="shared" si="40"/>
        <v>0</v>
      </c>
      <c r="U122" s="60">
        <f t="shared" si="41"/>
        <v>0</v>
      </c>
      <c r="V122" s="60">
        <f t="shared" si="42"/>
        <v>1</v>
      </c>
      <c r="W122" s="60">
        <f t="shared" si="43"/>
        <v>1</v>
      </c>
    </row>
    <row r="123" spans="1:23" s="58" customFormat="1" x14ac:dyDescent="0.2">
      <c r="A123" s="50">
        <f t="shared" si="23"/>
        <v>300</v>
      </c>
      <c r="B123" s="51">
        <f t="shared" si="24"/>
        <v>325</v>
      </c>
      <c r="C123" s="52">
        <f t="shared" si="25"/>
        <v>0</v>
      </c>
      <c r="D123" s="53">
        <f t="shared" si="26"/>
        <v>0</v>
      </c>
      <c r="E123" s="54">
        <f t="shared" si="27"/>
        <v>6</v>
      </c>
      <c r="F123" s="55">
        <f t="shared" si="28"/>
        <v>0</v>
      </c>
      <c r="G123" s="56">
        <f t="shared" si="29"/>
        <v>0</v>
      </c>
      <c r="H123" s="57">
        <f t="shared" si="30"/>
        <v>0</v>
      </c>
      <c r="I123" s="51">
        <f t="shared" si="31"/>
        <v>0</v>
      </c>
      <c r="J123" s="51">
        <f t="shared" si="32"/>
        <v>0</v>
      </c>
      <c r="K123" s="51">
        <f t="shared" si="33"/>
        <v>0</v>
      </c>
      <c r="N123" s="59">
        <f t="shared" si="34"/>
        <v>325</v>
      </c>
      <c r="O123" s="60">
        <f t="shared" si="35"/>
        <v>0</v>
      </c>
      <c r="P123" s="60">
        <f t="shared" si="36"/>
        <v>0</v>
      </c>
      <c r="Q123" s="60">
        <f t="shared" si="37"/>
        <v>6</v>
      </c>
      <c r="R123" s="60">
        <f t="shared" si="38"/>
        <v>0</v>
      </c>
      <c r="S123" s="60">
        <f t="shared" si="39"/>
        <v>0</v>
      </c>
      <c r="T123" s="60">
        <f t="shared" si="40"/>
        <v>0</v>
      </c>
      <c r="U123" s="60">
        <f t="shared" si="41"/>
        <v>0</v>
      </c>
      <c r="V123" s="60">
        <f t="shared" si="42"/>
        <v>0</v>
      </c>
      <c r="W123" s="60">
        <f t="shared" si="43"/>
        <v>0</v>
      </c>
    </row>
    <row r="124" spans="1:23" s="58" customFormat="1" x14ac:dyDescent="0.2">
      <c r="A124" s="50">
        <f t="shared" si="23"/>
        <v>302.5</v>
      </c>
      <c r="B124" s="51">
        <f t="shared" si="24"/>
        <v>327.5</v>
      </c>
      <c r="C124" s="52">
        <f t="shared" si="25"/>
        <v>0</v>
      </c>
      <c r="D124" s="53">
        <f t="shared" si="26"/>
        <v>0</v>
      </c>
      <c r="E124" s="54">
        <f t="shared" si="27"/>
        <v>6</v>
      </c>
      <c r="F124" s="55">
        <f t="shared" si="28"/>
        <v>0</v>
      </c>
      <c r="G124" s="56">
        <f t="shared" si="29"/>
        <v>0</v>
      </c>
      <c r="H124" s="57">
        <f t="shared" si="30"/>
        <v>0</v>
      </c>
      <c r="I124" s="51">
        <f t="shared" si="31"/>
        <v>0</v>
      </c>
      <c r="J124" s="51">
        <f t="shared" si="32"/>
        <v>0</v>
      </c>
      <c r="K124" s="51">
        <f t="shared" si="33"/>
        <v>1</v>
      </c>
      <c r="N124" s="59">
        <f t="shared" si="34"/>
        <v>327.5</v>
      </c>
      <c r="O124" s="60">
        <f t="shared" si="35"/>
        <v>0</v>
      </c>
      <c r="P124" s="60">
        <f t="shared" si="36"/>
        <v>0</v>
      </c>
      <c r="Q124" s="60">
        <f t="shared" si="37"/>
        <v>6</v>
      </c>
      <c r="R124" s="60">
        <f t="shared" si="38"/>
        <v>0</v>
      </c>
      <c r="S124" s="60">
        <f t="shared" si="39"/>
        <v>0</v>
      </c>
      <c r="T124" s="60">
        <f t="shared" si="40"/>
        <v>0</v>
      </c>
      <c r="U124" s="60">
        <f t="shared" si="41"/>
        <v>0</v>
      </c>
      <c r="V124" s="60">
        <f t="shared" si="42"/>
        <v>0</v>
      </c>
      <c r="W124" s="60">
        <f t="shared" si="43"/>
        <v>1</v>
      </c>
    </row>
    <row r="125" spans="1:23" s="58" customFormat="1" x14ac:dyDescent="0.2">
      <c r="A125" s="50">
        <f t="shared" si="23"/>
        <v>305</v>
      </c>
      <c r="B125" s="51">
        <f t="shared" si="24"/>
        <v>330</v>
      </c>
      <c r="C125" s="52">
        <f t="shared" si="25"/>
        <v>0</v>
      </c>
      <c r="D125" s="53">
        <f t="shared" si="26"/>
        <v>0</v>
      </c>
      <c r="E125" s="54">
        <f t="shared" si="27"/>
        <v>6</v>
      </c>
      <c r="F125" s="55">
        <f t="shared" si="28"/>
        <v>0</v>
      </c>
      <c r="G125" s="56">
        <f t="shared" si="29"/>
        <v>0</v>
      </c>
      <c r="H125" s="57">
        <f t="shared" si="30"/>
        <v>0</v>
      </c>
      <c r="I125" s="51">
        <f t="shared" si="31"/>
        <v>0</v>
      </c>
      <c r="J125" s="51">
        <f t="shared" si="32"/>
        <v>1</v>
      </c>
      <c r="K125" s="51">
        <f t="shared" si="33"/>
        <v>0</v>
      </c>
      <c r="N125" s="59">
        <f t="shared" si="34"/>
        <v>330</v>
      </c>
      <c r="O125" s="60">
        <f t="shared" si="35"/>
        <v>0</v>
      </c>
      <c r="P125" s="60">
        <f t="shared" si="36"/>
        <v>0</v>
      </c>
      <c r="Q125" s="60">
        <f t="shared" si="37"/>
        <v>6</v>
      </c>
      <c r="R125" s="60">
        <f t="shared" si="38"/>
        <v>0</v>
      </c>
      <c r="S125" s="60">
        <f t="shared" si="39"/>
        <v>0</v>
      </c>
      <c r="T125" s="60">
        <f t="shared" si="40"/>
        <v>0</v>
      </c>
      <c r="U125" s="60">
        <f t="shared" si="41"/>
        <v>0</v>
      </c>
      <c r="V125" s="60">
        <f t="shared" si="42"/>
        <v>1</v>
      </c>
      <c r="W125" s="60">
        <f t="shared" si="43"/>
        <v>0</v>
      </c>
    </row>
    <row r="126" spans="1:23" s="58" customFormat="1" x14ac:dyDescent="0.2">
      <c r="A126" s="50">
        <f t="shared" si="23"/>
        <v>307.5</v>
      </c>
      <c r="B126" s="51">
        <f t="shared" si="24"/>
        <v>332.5</v>
      </c>
      <c r="C126" s="52">
        <f t="shared" si="25"/>
        <v>0</v>
      </c>
      <c r="D126" s="53">
        <f t="shared" si="26"/>
        <v>0</v>
      </c>
      <c r="E126" s="54">
        <f t="shared" si="27"/>
        <v>6</v>
      </c>
      <c r="F126" s="55">
        <f t="shared" si="28"/>
        <v>0</v>
      </c>
      <c r="G126" s="56">
        <f t="shared" si="29"/>
        <v>0</v>
      </c>
      <c r="H126" s="57">
        <f t="shared" si="30"/>
        <v>0</v>
      </c>
      <c r="I126" s="51">
        <f t="shared" si="31"/>
        <v>0</v>
      </c>
      <c r="J126" s="51">
        <f t="shared" si="32"/>
        <v>1</v>
      </c>
      <c r="K126" s="51">
        <f t="shared" si="33"/>
        <v>1</v>
      </c>
      <c r="N126" s="59">
        <f t="shared" si="34"/>
        <v>332.5</v>
      </c>
      <c r="O126" s="60">
        <f t="shared" si="35"/>
        <v>0</v>
      </c>
      <c r="P126" s="60">
        <f t="shared" si="36"/>
        <v>0</v>
      </c>
      <c r="Q126" s="60">
        <f t="shared" si="37"/>
        <v>6</v>
      </c>
      <c r="R126" s="60">
        <f t="shared" si="38"/>
        <v>0</v>
      </c>
      <c r="S126" s="60">
        <f t="shared" si="39"/>
        <v>0</v>
      </c>
      <c r="T126" s="60">
        <f t="shared" si="40"/>
        <v>0</v>
      </c>
      <c r="U126" s="60">
        <f t="shared" si="41"/>
        <v>0</v>
      </c>
      <c r="V126" s="60">
        <f t="shared" si="42"/>
        <v>1</v>
      </c>
      <c r="W126" s="60">
        <f t="shared" si="43"/>
        <v>1</v>
      </c>
    </row>
    <row r="127" spans="1:23" s="58" customFormat="1" x14ac:dyDescent="0.2">
      <c r="A127" s="50">
        <f t="shared" si="23"/>
        <v>310</v>
      </c>
      <c r="B127" s="51">
        <f t="shared" si="24"/>
        <v>335</v>
      </c>
      <c r="C127" s="52">
        <f t="shared" si="25"/>
        <v>0</v>
      </c>
      <c r="D127" s="53">
        <f t="shared" si="26"/>
        <v>0</v>
      </c>
      <c r="E127" s="54">
        <f t="shared" si="27"/>
        <v>6</v>
      </c>
      <c r="F127" s="55">
        <f t="shared" si="28"/>
        <v>0</v>
      </c>
      <c r="G127" s="56">
        <f t="shared" si="29"/>
        <v>0</v>
      </c>
      <c r="H127" s="57">
        <f t="shared" si="30"/>
        <v>0</v>
      </c>
      <c r="I127" s="51">
        <f t="shared" si="31"/>
        <v>1</v>
      </c>
      <c r="J127" s="51">
        <f t="shared" si="32"/>
        <v>0</v>
      </c>
      <c r="K127" s="51">
        <f t="shared" si="33"/>
        <v>0</v>
      </c>
      <c r="N127" s="59">
        <f t="shared" si="34"/>
        <v>335</v>
      </c>
      <c r="O127" s="60">
        <f t="shared" si="35"/>
        <v>0</v>
      </c>
      <c r="P127" s="60">
        <f t="shared" si="36"/>
        <v>0</v>
      </c>
      <c r="Q127" s="60">
        <f t="shared" si="37"/>
        <v>6</v>
      </c>
      <c r="R127" s="60">
        <f t="shared" si="38"/>
        <v>0</v>
      </c>
      <c r="S127" s="60">
        <f t="shared" si="39"/>
        <v>0</v>
      </c>
      <c r="T127" s="60">
        <f t="shared" si="40"/>
        <v>0</v>
      </c>
      <c r="U127" s="60">
        <f t="shared" si="41"/>
        <v>1</v>
      </c>
      <c r="V127" s="60">
        <f t="shared" si="42"/>
        <v>0</v>
      </c>
      <c r="W127" s="60">
        <f t="shared" si="43"/>
        <v>0</v>
      </c>
    </row>
    <row r="128" spans="1:23" s="58" customFormat="1" x14ac:dyDescent="0.2">
      <c r="A128" s="50">
        <f t="shared" si="23"/>
        <v>312.5</v>
      </c>
      <c r="B128" s="51">
        <f t="shared" si="24"/>
        <v>337.5</v>
      </c>
      <c r="C128" s="52">
        <f t="shared" si="25"/>
        <v>0</v>
      </c>
      <c r="D128" s="53">
        <f t="shared" si="26"/>
        <v>0</v>
      </c>
      <c r="E128" s="54">
        <f t="shared" si="27"/>
        <v>6</v>
      </c>
      <c r="F128" s="55">
        <f t="shared" si="28"/>
        <v>0</v>
      </c>
      <c r="G128" s="56">
        <f t="shared" si="29"/>
        <v>0</v>
      </c>
      <c r="H128" s="57">
        <f t="shared" si="30"/>
        <v>0</v>
      </c>
      <c r="I128" s="51">
        <f t="shared" si="31"/>
        <v>1</v>
      </c>
      <c r="J128" s="51">
        <f t="shared" si="32"/>
        <v>0</v>
      </c>
      <c r="K128" s="51">
        <f t="shared" si="33"/>
        <v>1</v>
      </c>
      <c r="N128" s="59">
        <f t="shared" si="34"/>
        <v>337.5</v>
      </c>
      <c r="O128" s="60">
        <f t="shared" si="35"/>
        <v>0</v>
      </c>
      <c r="P128" s="60">
        <f t="shared" si="36"/>
        <v>0</v>
      </c>
      <c r="Q128" s="60">
        <f t="shared" si="37"/>
        <v>6</v>
      </c>
      <c r="R128" s="60">
        <f t="shared" si="38"/>
        <v>0</v>
      </c>
      <c r="S128" s="60">
        <f t="shared" si="39"/>
        <v>0</v>
      </c>
      <c r="T128" s="60">
        <f t="shared" si="40"/>
        <v>0</v>
      </c>
      <c r="U128" s="60">
        <f t="shared" si="41"/>
        <v>1</v>
      </c>
      <c r="V128" s="60">
        <f t="shared" si="42"/>
        <v>0</v>
      </c>
      <c r="W128" s="60">
        <f t="shared" si="43"/>
        <v>1</v>
      </c>
    </row>
    <row r="129" spans="1:23" s="58" customFormat="1" x14ac:dyDescent="0.2">
      <c r="A129" s="50">
        <f t="shared" si="23"/>
        <v>315</v>
      </c>
      <c r="B129" s="51">
        <f t="shared" si="24"/>
        <v>340</v>
      </c>
      <c r="C129" s="52">
        <f t="shared" si="25"/>
        <v>0</v>
      </c>
      <c r="D129" s="53">
        <f t="shared" si="26"/>
        <v>0</v>
      </c>
      <c r="E129" s="54">
        <f t="shared" si="27"/>
        <v>6</v>
      </c>
      <c r="F129" s="55">
        <f t="shared" si="28"/>
        <v>0</v>
      </c>
      <c r="G129" s="56">
        <f t="shared" si="29"/>
        <v>0</v>
      </c>
      <c r="H129" s="57">
        <f t="shared" si="30"/>
        <v>0</v>
      </c>
      <c r="I129" s="51">
        <f t="shared" si="31"/>
        <v>1</v>
      </c>
      <c r="J129" s="51">
        <f t="shared" si="32"/>
        <v>1</v>
      </c>
      <c r="K129" s="51">
        <f t="shared" si="33"/>
        <v>0</v>
      </c>
      <c r="N129" s="59">
        <f t="shared" si="34"/>
        <v>340</v>
      </c>
      <c r="O129" s="60">
        <f t="shared" si="35"/>
        <v>0</v>
      </c>
      <c r="P129" s="60">
        <f t="shared" si="36"/>
        <v>0</v>
      </c>
      <c r="Q129" s="60">
        <f t="shared" si="37"/>
        <v>6</v>
      </c>
      <c r="R129" s="60">
        <f t="shared" si="38"/>
        <v>0</v>
      </c>
      <c r="S129" s="60">
        <f t="shared" si="39"/>
        <v>0</v>
      </c>
      <c r="T129" s="60">
        <f t="shared" si="40"/>
        <v>0</v>
      </c>
      <c r="U129" s="60">
        <f t="shared" si="41"/>
        <v>1</v>
      </c>
      <c r="V129" s="60">
        <f t="shared" si="42"/>
        <v>1</v>
      </c>
      <c r="W129" s="60">
        <f t="shared" si="43"/>
        <v>0</v>
      </c>
    </row>
    <row r="130" spans="1:23" s="58" customFormat="1" x14ac:dyDescent="0.2">
      <c r="A130" s="50">
        <f t="shared" si="23"/>
        <v>317.5</v>
      </c>
      <c r="B130" s="51">
        <f t="shared" si="24"/>
        <v>342.5</v>
      </c>
      <c r="C130" s="52">
        <f t="shared" si="25"/>
        <v>0</v>
      </c>
      <c r="D130" s="53">
        <f t="shared" si="26"/>
        <v>0</v>
      </c>
      <c r="E130" s="54">
        <f t="shared" si="27"/>
        <v>6</v>
      </c>
      <c r="F130" s="55">
        <f t="shared" si="28"/>
        <v>0</v>
      </c>
      <c r="G130" s="56">
        <f t="shared" si="29"/>
        <v>0</v>
      </c>
      <c r="H130" s="57">
        <f t="shared" si="30"/>
        <v>0</v>
      </c>
      <c r="I130" s="51">
        <f t="shared" si="31"/>
        <v>1</v>
      </c>
      <c r="J130" s="51">
        <f t="shared" si="32"/>
        <v>1</v>
      </c>
      <c r="K130" s="51">
        <f t="shared" si="33"/>
        <v>1</v>
      </c>
      <c r="N130" s="59">
        <f t="shared" si="34"/>
        <v>342.5</v>
      </c>
      <c r="O130" s="60">
        <f t="shared" si="35"/>
        <v>0</v>
      </c>
      <c r="P130" s="60">
        <f t="shared" si="36"/>
        <v>0</v>
      </c>
      <c r="Q130" s="60">
        <f t="shared" si="37"/>
        <v>6</v>
      </c>
      <c r="R130" s="60">
        <f t="shared" si="38"/>
        <v>0</v>
      </c>
      <c r="S130" s="60">
        <f t="shared" si="39"/>
        <v>0</v>
      </c>
      <c r="T130" s="60">
        <f t="shared" si="40"/>
        <v>0</v>
      </c>
      <c r="U130" s="60">
        <f t="shared" si="41"/>
        <v>1</v>
      </c>
      <c r="V130" s="60">
        <f t="shared" si="42"/>
        <v>1</v>
      </c>
      <c r="W130" s="60">
        <f t="shared" si="43"/>
        <v>1</v>
      </c>
    </row>
    <row r="131" spans="1:23" s="58" customFormat="1" x14ac:dyDescent="0.2">
      <c r="A131" s="50">
        <f t="shared" si="23"/>
        <v>320</v>
      </c>
      <c r="B131" s="51">
        <f t="shared" si="24"/>
        <v>345</v>
      </c>
      <c r="C131" s="52">
        <f t="shared" si="25"/>
        <v>0</v>
      </c>
      <c r="D131" s="53">
        <f t="shared" si="26"/>
        <v>0</v>
      </c>
      <c r="E131" s="54">
        <f t="shared" si="27"/>
        <v>6</v>
      </c>
      <c r="F131" s="55">
        <f t="shared" si="28"/>
        <v>0</v>
      </c>
      <c r="G131" s="56">
        <f t="shared" si="29"/>
        <v>0</v>
      </c>
      <c r="H131" s="57">
        <f t="shared" si="30"/>
        <v>1</v>
      </c>
      <c r="I131" s="51">
        <f t="shared" si="31"/>
        <v>0</v>
      </c>
      <c r="J131" s="51">
        <f t="shared" si="32"/>
        <v>0</v>
      </c>
      <c r="K131" s="51">
        <f t="shared" si="33"/>
        <v>0</v>
      </c>
      <c r="N131" s="59">
        <f t="shared" si="34"/>
        <v>345</v>
      </c>
      <c r="O131" s="60">
        <f t="shared" si="35"/>
        <v>0</v>
      </c>
      <c r="P131" s="60">
        <f t="shared" si="36"/>
        <v>0</v>
      </c>
      <c r="Q131" s="60">
        <f t="shared" si="37"/>
        <v>6</v>
      </c>
      <c r="R131" s="60">
        <f t="shared" si="38"/>
        <v>0</v>
      </c>
      <c r="S131" s="60">
        <f t="shared" si="39"/>
        <v>0</v>
      </c>
      <c r="T131" s="60">
        <f t="shared" si="40"/>
        <v>1</v>
      </c>
      <c r="U131" s="60">
        <f t="shared" si="41"/>
        <v>0</v>
      </c>
      <c r="V131" s="60">
        <f t="shared" si="42"/>
        <v>0</v>
      </c>
      <c r="W131" s="60">
        <f t="shared" si="43"/>
        <v>0</v>
      </c>
    </row>
    <row r="132" spans="1:23" s="58" customFormat="1" x14ac:dyDescent="0.2">
      <c r="A132" s="50">
        <f t="shared" si="23"/>
        <v>322.5</v>
      </c>
      <c r="B132" s="51">
        <f t="shared" si="24"/>
        <v>347.5</v>
      </c>
      <c r="C132" s="52">
        <f t="shared" si="25"/>
        <v>0</v>
      </c>
      <c r="D132" s="53">
        <f t="shared" si="26"/>
        <v>0</v>
      </c>
      <c r="E132" s="54">
        <f t="shared" si="27"/>
        <v>6</v>
      </c>
      <c r="F132" s="55">
        <f t="shared" si="28"/>
        <v>0</v>
      </c>
      <c r="G132" s="56">
        <f t="shared" si="29"/>
        <v>0</v>
      </c>
      <c r="H132" s="57">
        <f t="shared" si="30"/>
        <v>1</v>
      </c>
      <c r="I132" s="51">
        <f t="shared" si="31"/>
        <v>0</v>
      </c>
      <c r="J132" s="51">
        <f t="shared" si="32"/>
        <v>0</v>
      </c>
      <c r="K132" s="51">
        <f t="shared" si="33"/>
        <v>1</v>
      </c>
      <c r="N132" s="59">
        <f t="shared" si="34"/>
        <v>347.5</v>
      </c>
      <c r="O132" s="60">
        <f t="shared" si="35"/>
        <v>0</v>
      </c>
      <c r="P132" s="60">
        <f t="shared" si="36"/>
        <v>0</v>
      </c>
      <c r="Q132" s="60">
        <f t="shared" si="37"/>
        <v>6</v>
      </c>
      <c r="R132" s="60">
        <f t="shared" si="38"/>
        <v>0</v>
      </c>
      <c r="S132" s="60">
        <f t="shared" si="39"/>
        <v>0</v>
      </c>
      <c r="T132" s="60">
        <f t="shared" si="40"/>
        <v>1</v>
      </c>
      <c r="U132" s="60">
        <f t="shared" si="41"/>
        <v>0</v>
      </c>
      <c r="V132" s="60">
        <f t="shared" si="42"/>
        <v>0</v>
      </c>
      <c r="W132" s="60">
        <f t="shared" si="43"/>
        <v>1</v>
      </c>
    </row>
    <row r="133" spans="1:23" s="58" customFormat="1" x14ac:dyDescent="0.2">
      <c r="A133" s="50">
        <f t="shared" ref="A133:A187" si="44">IF($B$2="Kg",B133-25,B133-55)</f>
        <v>325</v>
      </c>
      <c r="B133" s="51">
        <f t="shared" ref="B133:B187" si="45">IF($B$2="Kg",B132+2.5,B132+5)</f>
        <v>350</v>
      </c>
      <c r="C133" s="52">
        <f t="shared" ref="C133:C187" si="46">IF($C$1=0,0,MAX(C131/2,INT(A133/(2*C132))))</f>
        <v>0</v>
      </c>
      <c r="D133" s="53">
        <f t="shared" ref="D133:D187" si="47">IF($D$1=0,0,MIN(INT((A133-2*$C$2*C133)/(2*$D$2)),$D$1/2))</f>
        <v>0</v>
      </c>
      <c r="E133" s="54">
        <f t="shared" ref="E133:E187" si="48">IF($E$1=0,0,MIN(INT((A133-2*$C$2*C133-2*$D$2*D133)/(2*$E$2)),$E$1/2))</f>
        <v>6</v>
      </c>
      <c r="F133" s="55">
        <f t="shared" ref="F133:F187" si="49">IF($F$1=0,0,MIN(INT((A133-2*$C$2*C133-2*$D$2*D133-2*$E$2*E133)/(2*$F$2)),$F$1/2))</f>
        <v>0</v>
      </c>
      <c r="G133" s="56">
        <f t="shared" ref="G133:G187" si="50">IF($G$1=0,0,MIN(INT((A133-2*$C$2*C133-2*$D$2*D133-2*$E$2*E133-2*$F$2*F133)/(2*$G$2)),$G$1/2))</f>
        <v>0</v>
      </c>
      <c r="H133" s="57">
        <f t="shared" ref="H133:H187" si="51">IF($H$1=0,0,MIN(INT((A133-2*$C$2*C133-2*$D$2*D133-2*$E$2*E133-2*$F$2*F133-2*$G$2*G133)/(2*$H$2)),$H$1/2))</f>
        <v>1</v>
      </c>
      <c r="I133" s="51">
        <f t="shared" ref="I133:I187" si="52">IF($I$1=0,0,MIN(INT((A133-2*$C$2*C133-2*$D$2*D133-2*$E$2*E133-2*$F$2*F133-2*$G$2*G133-2*$H$2*H133)/(2*$I$2)),$I$1/2))</f>
        <v>0</v>
      </c>
      <c r="J133" s="51">
        <f t="shared" ref="J133:J187" si="53">IF($J$1=0,0,MIN(INT((A133-2*$C$2*C133-2*$D$2*D133-2*$E$2*E133-2*$F$2*F133-2*$G$2*G133-2*$H$2*H133-2*$I$2*I133)/(2*$J$2)),$J$1/2))</f>
        <v>1</v>
      </c>
      <c r="K133" s="51">
        <f t="shared" ref="K133:K187" si="54">IF($K$1=0,0,MIN(INT((A133-2*$C$2*C133-2*$D$2*D133-2*$E$2*E133-2*$F$2*F133-2*$G$2*G133-2*$H$2*H133-2*$I$2*I133-2*$J$2*J133)/(2*$K$2)),$K$1/2))</f>
        <v>0</v>
      </c>
      <c r="N133" s="59">
        <f t="shared" ref="N133:N187" si="55">B133</f>
        <v>350</v>
      </c>
      <c r="O133" s="60">
        <f t="shared" ref="O133:O187" si="56">C133</f>
        <v>0</v>
      </c>
      <c r="P133" s="60">
        <f t="shared" ref="P133:P187" si="57">D133</f>
        <v>0</v>
      </c>
      <c r="Q133" s="60">
        <f t="shared" ref="Q133:Q187" si="58">E133</f>
        <v>6</v>
      </c>
      <c r="R133" s="60">
        <f t="shared" ref="R133:R187" si="59">F133</f>
        <v>0</v>
      </c>
      <c r="S133" s="60">
        <f t="shared" ref="S133:S187" si="60">G133</f>
        <v>0</v>
      </c>
      <c r="T133" s="60">
        <f t="shared" ref="T133:T187" si="61">H133</f>
        <v>1</v>
      </c>
      <c r="U133" s="60">
        <f t="shared" ref="U133:U187" si="62">I133</f>
        <v>0</v>
      </c>
      <c r="V133" s="60">
        <f t="shared" ref="V133:V187" si="63">J133</f>
        <v>1</v>
      </c>
      <c r="W133" s="60">
        <f t="shared" ref="W133:W187" si="64">K133</f>
        <v>0</v>
      </c>
    </row>
    <row r="134" spans="1:23" s="58" customFormat="1" x14ac:dyDescent="0.2">
      <c r="A134" s="50">
        <f t="shared" si="44"/>
        <v>327.5</v>
      </c>
      <c r="B134" s="51">
        <f t="shared" si="45"/>
        <v>352.5</v>
      </c>
      <c r="C134" s="52">
        <f t="shared" si="46"/>
        <v>0</v>
      </c>
      <c r="D134" s="53">
        <f t="shared" si="47"/>
        <v>0</v>
      </c>
      <c r="E134" s="54">
        <f t="shared" si="48"/>
        <v>6</v>
      </c>
      <c r="F134" s="55">
        <f t="shared" si="49"/>
        <v>0</v>
      </c>
      <c r="G134" s="56">
        <f t="shared" si="50"/>
        <v>0</v>
      </c>
      <c r="H134" s="57">
        <f t="shared" si="51"/>
        <v>1</v>
      </c>
      <c r="I134" s="51">
        <f t="shared" si="52"/>
        <v>0</v>
      </c>
      <c r="J134" s="51">
        <f t="shared" si="53"/>
        <v>1</v>
      </c>
      <c r="K134" s="51">
        <f t="shared" si="54"/>
        <v>1</v>
      </c>
      <c r="N134" s="59">
        <f t="shared" si="55"/>
        <v>352.5</v>
      </c>
      <c r="O134" s="60">
        <f t="shared" si="56"/>
        <v>0</v>
      </c>
      <c r="P134" s="60">
        <f t="shared" si="57"/>
        <v>0</v>
      </c>
      <c r="Q134" s="60">
        <f t="shared" si="58"/>
        <v>6</v>
      </c>
      <c r="R134" s="60">
        <f t="shared" si="59"/>
        <v>0</v>
      </c>
      <c r="S134" s="60">
        <f t="shared" si="60"/>
        <v>0</v>
      </c>
      <c r="T134" s="60">
        <f t="shared" si="61"/>
        <v>1</v>
      </c>
      <c r="U134" s="60">
        <f t="shared" si="62"/>
        <v>0</v>
      </c>
      <c r="V134" s="60">
        <f t="shared" si="63"/>
        <v>1</v>
      </c>
      <c r="W134" s="60">
        <f t="shared" si="64"/>
        <v>1</v>
      </c>
    </row>
    <row r="135" spans="1:23" s="58" customFormat="1" x14ac:dyDescent="0.2">
      <c r="A135" s="50">
        <f t="shared" si="44"/>
        <v>330</v>
      </c>
      <c r="B135" s="51">
        <f t="shared" si="45"/>
        <v>355</v>
      </c>
      <c r="C135" s="52">
        <f t="shared" si="46"/>
        <v>0</v>
      </c>
      <c r="D135" s="53">
        <f t="shared" si="47"/>
        <v>0</v>
      </c>
      <c r="E135" s="54">
        <f t="shared" si="48"/>
        <v>6</v>
      </c>
      <c r="F135" s="55">
        <f t="shared" si="49"/>
        <v>0</v>
      </c>
      <c r="G135" s="56">
        <f t="shared" si="50"/>
        <v>1</v>
      </c>
      <c r="H135" s="57">
        <f t="shared" si="51"/>
        <v>0</v>
      </c>
      <c r="I135" s="51">
        <f t="shared" si="52"/>
        <v>0</v>
      </c>
      <c r="J135" s="51">
        <f t="shared" si="53"/>
        <v>0</v>
      </c>
      <c r="K135" s="51">
        <f t="shared" si="54"/>
        <v>0</v>
      </c>
      <c r="N135" s="59">
        <f t="shared" si="55"/>
        <v>355</v>
      </c>
      <c r="O135" s="60">
        <f t="shared" si="56"/>
        <v>0</v>
      </c>
      <c r="P135" s="60">
        <f t="shared" si="57"/>
        <v>0</v>
      </c>
      <c r="Q135" s="60">
        <f t="shared" si="58"/>
        <v>6</v>
      </c>
      <c r="R135" s="60">
        <f t="shared" si="59"/>
        <v>0</v>
      </c>
      <c r="S135" s="60">
        <f t="shared" si="60"/>
        <v>1</v>
      </c>
      <c r="T135" s="60">
        <f t="shared" si="61"/>
        <v>0</v>
      </c>
      <c r="U135" s="60">
        <f t="shared" si="62"/>
        <v>0</v>
      </c>
      <c r="V135" s="60">
        <f t="shared" si="63"/>
        <v>0</v>
      </c>
      <c r="W135" s="60">
        <f t="shared" si="64"/>
        <v>0</v>
      </c>
    </row>
    <row r="136" spans="1:23" s="58" customFormat="1" x14ac:dyDescent="0.2">
      <c r="A136" s="50">
        <f t="shared" si="44"/>
        <v>332.5</v>
      </c>
      <c r="B136" s="51">
        <f t="shared" si="45"/>
        <v>357.5</v>
      </c>
      <c r="C136" s="52">
        <f t="shared" si="46"/>
        <v>0</v>
      </c>
      <c r="D136" s="53">
        <f t="shared" si="47"/>
        <v>0</v>
      </c>
      <c r="E136" s="54">
        <f t="shared" si="48"/>
        <v>6</v>
      </c>
      <c r="F136" s="55">
        <f t="shared" si="49"/>
        <v>0</v>
      </c>
      <c r="G136" s="56">
        <f t="shared" si="50"/>
        <v>1</v>
      </c>
      <c r="H136" s="57">
        <f t="shared" si="51"/>
        <v>0</v>
      </c>
      <c r="I136" s="51">
        <f t="shared" si="52"/>
        <v>0</v>
      </c>
      <c r="J136" s="51">
        <f t="shared" si="53"/>
        <v>0</v>
      </c>
      <c r="K136" s="51">
        <f t="shared" si="54"/>
        <v>1</v>
      </c>
      <c r="N136" s="59">
        <f t="shared" si="55"/>
        <v>357.5</v>
      </c>
      <c r="O136" s="60">
        <f t="shared" si="56"/>
        <v>0</v>
      </c>
      <c r="P136" s="60">
        <f t="shared" si="57"/>
        <v>0</v>
      </c>
      <c r="Q136" s="60">
        <f t="shared" si="58"/>
        <v>6</v>
      </c>
      <c r="R136" s="60">
        <f t="shared" si="59"/>
        <v>0</v>
      </c>
      <c r="S136" s="60">
        <f t="shared" si="60"/>
        <v>1</v>
      </c>
      <c r="T136" s="60">
        <f t="shared" si="61"/>
        <v>0</v>
      </c>
      <c r="U136" s="60">
        <f t="shared" si="62"/>
        <v>0</v>
      </c>
      <c r="V136" s="60">
        <f t="shared" si="63"/>
        <v>0</v>
      </c>
      <c r="W136" s="60">
        <f t="shared" si="64"/>
        <v>1</v>
      </c>
    </row>
    <row r="137" spans="1:23" s="58" customFormat="1" x14ac:dyDescent="0.2">
      <c r="A137" s="50">
        <f t="shared" si="44"/>
        <v>335</v>
      </c>
      <c r="B137" s="51">
        <f t="shared" si="45"/>
        <v>360</v>
      </c>
      <c r="C137" s="52">
        <f t="shared" si="46"/>
        <v>0</v>
      </c>
      <c r="D137" s="53">
        <f t="shared" si="47"/>
        <v>0</v>
      </c>
      <c r="E137" s="54">
        <f t="shared" si="48"/>
        <v>6</v>
      </c>
      <c r="F137" s="55">
        <f t="shared" si="49"/>
        <v>0</v>
      </c>
      <c r="G137" s="56">
        <f t="shared" si="50"/>
        <v>1</v>
      </c>
      <c r="H137" s="57">
        <f t="shared" si="51"/>
        <v>0</v>
      </c>
      <c r="I137" s="51">
        <f t="shared" si="52"/>
        <v>0</v>
      </c>
      <c r="J137" s="51">
        <f t="shared" si="53"/>
        <v>1</v>
      </c>
      <c r="K137" s="51">
        <f t="shared" si="54"/>
        <v>0</v>
      </c>
      <c r="N137" s="59">
        <f t="shared" si="55"/>
        <v>360</v>
      </c>
      <c r="O137" s="60">
        <f t="shared" si="56"/>
        <v>0</v>
      </c>
      <c r="P137" s="60">
        <f t="shared" si="57"/>
        <v>0</v>
      </c>
      <c r="Q137" s="60">
        <f t="shared" si="58"/>
        <v>6</v>
      </c>
      <c r="R137" s="60">
        <f t="shared" si="59"/>
        <v>0</v>
      </c>
      <c r="S137" s="60">
        <f t="shared" si="60"/>
        <v>1</v>
      </c>
      <c r="T137" s="60">
        <f t="shared" si="61"/>
        <v>0</v>
      </c>
      <c r="U137" s="60">
        <f t="shared" si="62"/>
        <v>0</v>
      </c>
      <c r="V137" s="60">
        <f t="shared" si="63"/>
        <v>1</v>
      </c>
      <c r="W137" s="60">
        <f t="shared" si="64"/>
        <v>0</v>
      </c>
    </row>
    <row r="138" spans="1:23" s="58" customFormat="1" x14ac:dyDescent="0.2">
      <c r="A138" s="50">
        <f t="shared" si="44"/>
        <v>337.5</v>
      </c>
      <c r="B138" s="51">
        <f t="shared" si="45"/>
        <v>362.5</v>
      </c>
      <c r="C138" s="52">
        <f t="shared" si="46"/>
        <v>0</v>
      </c>
      <c r="D138" s="53">
        <f t="shared" si="47"/>
        <v>0</v>
      </c>
      <c r="E138" s="54">
        <f t="shared" si="48"/>
        <v>6</v>
      </c>
      <c r="F138" s="55">
        <f t="shared" si="49"/>
        <v>0</v>
      </c>
      <c r="G138" s="56">
        <f t="shared" si="50"/>
        <v>1</v>
      </c>
      <c r="H138" s="57">
        <f t="shared" si="51"/>
        <v>0</v>
      </c>
      <c r="I138" s="51">
        <f t="shared" si="52"/>
        <v>0</v>
      </c>
      <c r="J138" s="51">
        <f t="shared" si="53"/>
        <v>1</v>
      </c>
      <c r="K138" s="51">
        <f t="shared" si="54"/>
        <v>1</v>
      </c>
      <c r="N138" s="59">
        <f t="shared" si="55"/>
        <v>362.5</v>
      </c>
      <c r="O138" s="60">
        <f t="shared" si="56"/>
        <v>0</v>
      </c>
      <c r="P138" s="60">
        <f t="shared" si="57"/>
        <v>0</v>
      </c>
      <c r="Q138" s="60">
        <f t="shared" si="58"/>
        <v>6</v>
      </c>
      <c r="R138" s="60">
        <f t="shared" si="59"/>
        <v>0</v>
      </c>
      <c r="S138" s="60">
        <f t="shared" si="60"/>
        <v>1</v>
      </c>
      <c r="T138" s="60">
        <f t="shared" si="61"/>
        <v>0</v>
      </c>
      <c r="U138" s="60">
        <f t="shared" si="62"/>
        <v>0</v>
      </c>
      <c r="V138" s="60">
        <f t="shared" si="63"/>
        <v>1</v>
      </c>
      <c r="W138" s="60">
        <f t="shared" si="64"/>
        <v>1</v>
      </c>
    </row>
    <row r="139" spans="1:23" s="58" customFormat="1" x14ac:dyDescent="0.2">
      <c r="A139" s="50">
        <f t="shared" si="44"/>
        <v>340</v>
      </c>
      <c r="B139" s="51">
        <f t="shared" si="45"/>
        <v>365</v>
      </c>
      <c r="C139" s="52">
        <f t="shared" si="46"/>
        <v>0</v>
      </c>
      <c r="D139" s="53">
        <f t="shared" si="47"/>
        <v>0</v>
      </c>
      <c r="E139" s="54">
        <f t="shared" si="48"/>
        <v>6</v>
      </c>
      <c r="F139" s="55">
        <f t="shared" si="49"/>
        <v>1</v>
      </c>
      <c r="G139" s="56">
        <f t="shared" si="50"/>
        <v>0</v>
      </c>
      <c r="H139" s="57">
        <f t="shared" si="51"/>
        <v>0</v>
      </c>
      <c r="I139" s="51">
        <f t="shared" si="52"/>
        <v>0</v>
      </c>
      <c r="J139" s="51">
        <f t="shared" si="53"/>
        <v>0</v>
      </c>
      <c r="K139" s="51">
        <f t="shared" si="54"/>
        <v>0</v>
      </c>
      <c r="N139" s="59">
        <f t="shared" si="55"/>
        <v>365</v>
      </c>
      <c r="O139" s="60">
        <f t="shared" si="56"/>
        <v>0</v>
      </c>
      <c r="P139" s="60">
        <f t="shared" si="57"/>
        <v>0</v>
      </c>
      <c r="Q139" s="60">
        <f t="shared" si="58"/>
        <v>6</v>
      </c>
      <c r="R139" s="60">
        <f t="shared" si="59"/>
        <v>1</v>
      </c>
      <c r="S139" s="60">
        <f t="shared" si="60"/>
        <v>0</v>
      </c>
      <c r="T139" s="60">
        <f t="shared" si="61"/>
        <v>0</v>
      </c>
      <c r="U139" s="60">
        <f t="shared" si="62"/>
        <v>0</v>
      </c>
      <c r="V139" s="60">
        <f t="shared" si="63"/>
        <v>0</v>
      </c>
      <c r="W139" s="60">
        <f t="shared" si="64"/>
        <v>0</v>
      </c>
    </row>
    <row r="140" spans="1:23" s="58" customFormat="1" x14ac:dyDescent="0.2">
      <c r="A140" s="50">
        <f t="shared" si="44"/>
        <v>342.5</v>
      </c>
      <c r="B140" s="51">
        <f t="shared" si="45"/>
        <v>367.5</v>
      </c>
      <c r="C140" s="52">
        <f t="shared" si="46"/>
        <v>0</v>
      </c>
      <c r="D140" s="53">
        <f t="shared" si="47"/>
        <v>0</v>
      </c>
      <c r="E140" s="54">
        <f t="shared" si="48"/>
        <v>6</v>
      </c>
      <c r="F140" s="55">
        <f t="shared" si="49"/>
        <v>1</v>
      </c>
      <c r="G140" s="56">
        <f t="shared" si="50"/>
        <v>0</v>
      </c>
      <c r="H140" s="57">
        <f t="shared" si="51"/>
        <v>0</v>
      </c>
      <c r="I140" s="51">
        <f t="shared" si="52"/>
        <v>0</v>
      </c>
      <c r="J140" s="51">
        <f t="shared" si="53"/>
        <v>0</v>
      </c>
      <c r="K140" s="51">
        <f t="shared" si="54"/>
        <v>1</v>
      </c>
      <c r="N140" s="59">
        <f t="shared" si="55"/>
        <v>367.5</v>
      </c>
      <c r="O140" s="60">
        <f t="shared" si="56"/>
        <v>0</v>
      </c>
      <c r="P140" s="60">
        <f t="shared" si="57"/>
        <v>0</v>
      </c>
      <c r="Q140" s="60">
        <f t="shared" si="58"/>
        <v>6</v>
      </c>
      <c r="R140" s="60">
        <f t="shared" si="59"/>
        <v>1</v>
      </c>
      <c r="S140" s="60">
        <f t="shared" si="60"/>
        <v>0</v>
      </c>
      <c r="T140" s="60">
        <f t="shared" si="61"/>
        <v>0</v>
      </c>
      <c r="U140" s="60">
        <f t="shared" si="62"/>
        <v>0</v>
      </c>
      <c r="V140" s="60">
        <f t="shared" si="63"/>
        <v>0</v>
      </c>
      <c r="W140" s="60">
        <f t="shared" si="64"/>
        <v>1</v>
      </c>
    </row>
    <row r="141" spans="1:23" s="58" customFormat="1" x14ac:dyDescent="0.2">
      <c r="A141" s="50">
        <f t="shared" si="44"/>
        <v>345</v>
      </c>
      <c r="B141" s="51">
        <f t="shared" si="45"/>
        <v>370</v>
      </c>
      <c r="C141" s="52">
        <f t="shared" si="46"/>
        <v>0</v>
      </c>
      <c r="D141" s="53">
        <f t="shared" si="47"/>
        <v>0</v>
      </c>
      <c r="E141" s="54">
        <f t="shared" si="48"/>
        <v>6</v>
      </c>
      <c r="F141" s="55">
        <f t="shared" si="49"/>
        <v>1</v>
      </c>
      <c r="G141" s="56">
        <f t="shared" si="50"/>
        <v>0</v>
      </c>
      <c r="H141" s="57">
        <f t="shared" si="51"/>
        <v>0</v>
      </c>
      <c r="I141" s="51">
        <f t="shared" si="52"/>
        <v>0</v>
      </c>
      <c r="J141" s="51">
        <f t="shared" si="53"/>
        <v>1</v>
      </c>
      <c r="K141" s="51">
        <f t="shared" si="54"/>
        <v>0</v>
      </c>
      <c r="N141" s="59">
        <f t="shared" si="55"/>
        <v>370</v>
      </c>
      <c r="O141" s="60">
        <f t="shared" si="56"/>
        <v>0</v>
      </c>
      <c r="P141" s="60">
        <f t="shared" si="57"/>
        <v>0</v>
      </c>
      <c r="Q141" s="60">
        <f t="shared" si="58"/>
        <v>6</v>
      </c>
      <c r="R141" s="60">
        <f t="shared" si="59"/>
        <v>1</v>
      </c>
      <c r="S141" s="60">
        <f t="shared" si="60"/>
        <v>0</v>
      </c>
      <c r="T141" s="60">
        <f t="shared" si="61"/>
        <v>0</v>
      </c>
      <c r="U141" s="60">
        <f t="shared" si="62"/>
        <v>0</v>
      </c>
      <c r="V141" s="60">
        <f t="shared" si="63"/>
        <v>1</v>
      </c>
      <c r="W141" s="60">
        <f t="shared" si="64"/>
        <v>0</v>
      </c>
    </row>
    <row r="142" spans="1:23" s="58" customFormat="1" x14ac:dyDescent="0.2">
      <c r="A142" s="50">
        <f t="shared" si="44"/>
        <v>347.5</v>
      </c>
      <c r="B142" s="51">
        <f t="shared" si="45"/>
        <v>372.5</v>
      </c>
      <c r="C142" s="52">
        <f t="shared" si="46"/>
        <v>0</v>
      </c>
      <c r="D142" s="53">
        <f t="shared" si="47"/>
        <v>0</v>
      </c>
      <c r="E142" s="54">
        <f t="shared" si="48"/>
        <v>6</v>
      </c>
      <c r="F142" s="55">
        <f t="shared" si="49"/>
        <v>1</v>
      </c>
      <c r="G142" s="56">
        <f t="shared" si="50"/>
        <v>0</v>
      </c>
      <c r="H142" s="57">
        <f t="shared" si="51"/>
        <v>0</v>
      </c>
      <c r="I142" s="51">
        <f t="shared" si="52"/>
        <v>0</v>
      </c>
      <c r="J142" s="51">
        <f t="shared" si="53"/>
        <v>1</v>
      </c>
      <c r="K142" s="51">
        <f t="shared" si="54"/>
        <v>1</v>
      </c>
      <c r="N142" s="59">
        <f t="shared" si="55"/>
        <v>372.5</v>
      </c>
      <c r="O142" s="60">
        <f t="shared" si="56"/>
        <v>0</v>
      </c>
      <c r="P142" s="60">
        <f t="shared" si="57"/>
        <v>0</v>
      </c>
      <c r="Q142" s="60">
        <f t="shared" si="58"/>
        <v>6</v>
      </c>
      <c r="R142" s="60">
        <f t="shared" si="59"/>
        <v>1</v>
      </c>
      <c r="S142" s="60">
        <f t="shared" si="60"/>
        <v>0</v>
      </c>
      <c r="T142" s="60">
        <f t="shared" si="61"/>
        <v>0</v>
      </c>
      <c r="U142" s="60">
        <f t="shared" si="62"/>
        <v>0</v>
      </c>
      <c r="V142" s="60">
        <f t="shared" si="63"/>
        <v>1</v>
      </c>
      <c r="W142" s="60">
        <f t="shared" si="64"/>
        <v>1</v>
      </c>
    </row>
    <row r="143" spans="1:23" s="58" customFormat="1" x14ac:dyDescent="0.2">
      <c r="A143" s="50">
        <f t="shared" si="44"/>
        <v>350</v>
      </c>
      <c r="B143" s="51">
        <f t="shared" si="45"/>
        <v>375</v>
      </c>
      <c r="C143" s="52">
        <f t="shared" si="46"/>
        <v>0</v>
      </c>
      <c r="D143" s="53">
        <f t="shared" si="47"/>
        <v>0</v>
      </c>
      <c r="E143" s="54">
        <f t="shared" si="48"/>
        <v>7</v>
      </c>
      <c r="F143" s="55">
        <f t="shared" si="49"/>
        <v>0</v>
      </c>
      <c r="G143" s="56">
        <f t="shared" si="50"/>
        <v>0</v>
      </c>
      <c r="H143" s="57">
        <f t="shared" si="51"/>
        <v>0</v>
      </c>
      <c r="I143" s="51">
        <f t="shared" si="52"/>
        <v>0</v>
      </c>
      <c r="J143" s="51">
        <f t="shared" si="53"/>
        <v>0</v>
      </c>
      <c r="K143" s="51">
        <f t="shared" si="54"/>
        <v>0</v>
      </c>
      <c r="N143" s="59">
        <f t="shared" si="55"/>
        <v>375</v>
      </c>
      <c r="O143" s="60">
        <f t="shared" si="56"/>
        <v>0</v>
      </c>
      <c r="P143" s="60">
        <f t="shared" si="57"/>
        <v>0</v>
      </c>
      <c r="Q143" s="60">
        <f t="shared" si="58"/>
        <v>7</v>
      </c>
      <c r="R143" s="60">
        <f t="shared" si="59"/>
        <v>0</v>
      </c>
      <c r="S143" s="60">
        <f t="shared" si="60"/>
        <v>0</v>
      </c>
      <c r="T143" s="60">
        <f t="shared" si="61"/>
        <v>0</v>
      </c>
      <c r="U143" s="60">
        <f t="shared" si="62"/>
        <v>0</v>
      </c>
      <c r="V143" s="60">
        <f t="shared" si="63"/>
        <v>0</v>
      </c>
      <c r="W143" s="60">
        <f t="shared" si="64"/>
        <v>0</v>
      </c>
    </row>
    <row r="144" spans="1:23" s="58" customFormat="1" x14ac:dyDescent="0.2">
      <c r="A144" s="50">
        <f t="shared" si="44"/>
        <v>352.5</v>
      </c>
      <c r="B144" s="51">
        <f t="shared" si="45"/>
        <v>377.5</v>
      </c>
      <c r="C144" s="52">
        <f t="shared" si="46"/>
        <v>0</v>
      </c>
      <c r="D144" s="53">
        <f t="shared" si="47"/>
        <v>0</v>
      </c>
      <c r="E144" s="54">
        <f t="shared" si="48"/>
        <v>7</v>
      </c>
      <c r="F144" s="55">
        <f t="shared" si="49"/>
        <v>0</v>
      </c>
      <c r="G144" s="56">
        <f t="shared" si="50"/>
        <v>0</v>
      </c>
      <c r="H144" s="57">
        <f t="shared" si="51"/>
        <v>0</v>
      </c>
      <c r="I144" s="51">
        <f t="shared" si="52"/>
        <v>0</v>
      </c>
      <c r="J144" s="51">
        <f t="shared" si="53"/>
        <v>0</v>
      </c>
      <c r="K144" s="51">
        <f t="shared" si="54"/>
        <v>1</v>
      </c>
      <c r="N144" s="59">
        <f t="shared" si="55"/>
        <v>377.5</v>
      </c>
      <c r="O144" s="60">
        <f t="shared" si="56"/>
        <v>0</v>
      </c>
      <c r="P144" s="60">
        <f t="shared" si="57"/>
        <v>0</v>
      </c>
      <c r="Q144" s="60">
        <f t="shared" si="58"/>
        <v>7</v>
      </c>
      <c r="R144" s="60">
        <f t="shared" si="59"/>
        <v>0</v>
      </c>
      <c r="S144" s="60">
        <f t="shared" si="60"/>
        <v>0</v>
      </c>
      <c r="T144" s="60">
        <f t="shared" si="61"/>
        <v>0</v>
      </c>
      <c r="U144" s="60">
        <f t="shared" si="62"/>
        <v>0</v>
      </c>
      <c r="V144" s="60">
        <f t="shared" si="63"/>
        <v>0</v>
      </c>
      <c r="W144" s="60">
        <f t="shared" si="64"/>
        <v>1</v>
      </c>
    </row>
    <row r="145" spans="1:23" s="58" customFormat="1" x14ac:dyDescent="0.2">
      <c r="A145" s="50">
        <f t="shared" si="44"/>
        <v>355</v>
      </c>
      <c r="B145" s="51">
        <f t="shared" si="45"/>
        <v>380</v>
      </c>
      <c r="C145" s="52">
        <f t="shared" si="46"/>
        <v>0</v>
      </c>
      <c r="D145" s="53">
        <f t="shared" si="47"/>
        <v>0</v>
      </c>
      <c r="E145" s="54">
        <f t="shared" si="48"/>
        <v>7</v>
      </c>
      <c r="F145" s="55">
        <f t="shared" si="49"/>
        <v>0</v>
      </c>
      <c r="G145" s="56">
        <f t="shared" si="50"/>
        <v>0</v>
      </c>
      <c r="H145" s="57">
        <f t="shared" si="51"/>
        <v>0</v>
      </c>
      <c r="I145" s="51">
        <f t="shared" si="52"/>
        <v>0</v>
      </c>
      <c r="J145" s="51">
        <f t="shared" si="53"/>
        <v>1</v>
      </c>
      <c r="K145" s="51">
        <f t="shared" si="54"/>
        <v>0</v>
      </c>
      <c r="N145" s="59">
        <f t="shared" si="55"/>
        <v>380</v>
      </c>
      <c r="O145" s="60">
        <f t="shared" si="56"/>
        <v>0</v>
      </c>
      <c r="P145" s="60">
        <f t="shared" si="57"/>
        <v>0</v>
      </c>
      <c r="Q145" s="60">
        <f t="shared" si="58"/>
        <v>7</v>
      </c>
      <c r="R145" s="60">
        <f t="shared" si="59"/>
        <v>0</v>
      </c>
      <c r="S145" s="60">
        <f t="shared" si="60"/>
        <v>0</v>
      </c>
      <c r="T145" s="60">
        <f t="shared" si="61"/>
        <v>0</v>
      </c>
      <c r="U145" s="60">
        <f t="shared" si="62"/>
        <v>0</v>
      </c>
      <c r="V145" s="60">
        <f t="shared" si="63"/>
        <v>1</v>
      </c>
      <c r="W145" s="60">
        <f t="shared" si="64"/>
        <v>0</v>
      </c>
    </row>
    <row r="146" spans="1:23" s="58" customFormat="1" x14ac:dyDescent="0.2">
      <c r="A146" s="50">
        <f t="shared" si="44"/>
        <v>357.5</v>
      </c>
      <c r="B146" s="51">
        <f t="shared" si="45"/>
        <v>382.5</v>
      </c>
      <c r="C146" s="52">
        <f t="shared" si="46"/>
        <v>0</v>
      </c>
      <c r="D146" s="53">
        <f t="shared" si="47"/>
        <v>0</v>
      </c>
      <c r="E146" s="54">
        <f t="shared" si="48"/>
        <v>7</v>
      </c>
      <c r="F146" s="55">
        <f t="shared" si="49"/>
        <v>0</v>
      </c>
      <c r="G146" s="56">
        <f t="shared" si="50"/>
        <v>0</v>
      </c>
      <c r="H146" s="57">
        <f t="shared" si="51"/>
        <v>0</v>
      </c>
      <c r="I146" s="51">
        <f t="shared" si="52"/>
        <v>0</v>
      </c>
      <c r="J146" s="51">
        <f t="shared" si="53"/>
        <v>1</v>
      </c>
      <c r="K146" s="51">
        <f t="shared" si="54"/>
        <v>1</v>
      </c>
      <c r="N146" s="59">
        <f t="shared" si="55"/>
        <v>382.5</v>
      </c>
      <c r="O146" s="60">
        <f t="shared" si="56"/>
        <v>0</v>
      </c>
      <c r="P146" s="60">
        <f t="shared" si="57"/>
        <v>0</v>
      </c>
      <c r="Q146" s="60">
        <f t="shared" si="58"/>
        <v>7</v>
      </c>
      <c r="R146" s="60">
        <f t="shared" si="59"/>
        <v>0</v>
      </c>
      <c r="S146" s="60">
        <f t="shared" si="60"/>
        <v>0</v>
      </c>
      <c r="T146" s="60">
        <f t="shared" si="61"/>
        <v>0</v>
      </c>
      <c r="U146" s="60">
        <f t="shared" si="62"/>
        <v>0</v>
      </c>
      <c r="V146" s="60">
        <f t="shared" si="63"/>
        <v>1</v>
      </c>
      <c r="W146" s="60">
        <f t="shared" si="64"/>
        <v>1</v>
      </c>
    </row>
    <row r="147" spans="1:23" s="58" customFormat="1" x14ac:dyDescent="0.2">
      <c r="A147" s="50">
        <f t="shared" si="44"/>
        <v>360</v>
      </c>
      <c r="B147" s="51">
        <f t="shared" si="45"/>
        <v>385</v>
      </c>
      <c r="C147" s="52">
        <f t="shared" si="46"/>
        <v>0</v>
      </c>
      <c r="D147" s="53">
        <f t="shared" si="47"/>
        <v>0</v>
      </c>
      <c r="E147" s="54">
        <f t="shared" si="48"/>
        <v>7</v>
      </c>
      <c r="F147" s="55">
        <f t="shared" si="49"/>
        <v>0</v>
      </c>
      <c r="G147" s="56">
        <f t="shared" si="50"/>
        <v>0</v>
      </c>
      <c r="H147" s="57">
        <f t="shared" si="51"/>
        <v>0</v>
      </c>
      <c r="I147" s="51">
        <f t="shared" si="52"/>
        <v>1</v>
      </c>
      <c r="J147" s="51">
        <f t="shared" si="53"/>
        <v>0</v>
      </c>
      <c r="K147" s="51">
        <f t="shared" si="54"/>
        <v>0</v>
      </c>
      <c r="N147" s="59">
        <f t="shared" si="55"/>
        <v>385</v>
      </c>
      <c r="O147" s="60">
        <f t="shared" si="56"/>
        <v>0</v>
      </c>
      <c r="P147" s="60">
        <f t="shared" si="57"/>
        <v>0</v>
      </c>
      <c r="Q147" s="60">
        <f t="shared" si="58"/>
        <v>7</v>
      </c>
      <c r="R147" s="60">
        <f t="shared" si="59"/>
        <v>0</v>
      </c>
      <c r="S147" s="60">
        <f t="shared" si="60"/>
        <v>0</v>
      </c>
      <c r="T147" s="60">
        <f t="shared" si="61"/>
        <v>0</v>
      </c>
      <c r="U147" s="60">
        <f t="shared" si="62"/>
        <v>1</v>
      </c>
      <c r="V147" s="60">
        <f t="shared" si="63"/>
        <v>0</v>
      </c>
      <c r="W147" s="60">
        <f t="shared" si="64"/>
        <v>0</v>
      </c>
    </row>
    <row r="148" spans="1:23" s="58" customFormat="1" x14ac:dyDescent="0.2">
      <c r="A148" s="50">
        <f t="shared" si="44"/>
        <v>362.5</v>
      </c>
      <c r="B148" s="51">
        <f t="shared" si="45"/>
        <v>387.5</v>
      </c>
      <c r="C148" s="52">
        <f t="shared" si="46"/>
        <v>0</v>
      </c>
      <c r="D148" s="53">
        <f t="shared" si="47"/>
        <v>0</v>
      </c>
      <c r="E148" s="54">
        <f t="shared" si="48"/>
        <v>7</v>
      </c>
      <c r="F148" s="55">
        <f t="shared" si="49"/>
        <v>0</v>
      </c>
      <c r="G148" s="56">
        <f t="shared" si="50"/>
        <v>0</v>
      </c>
      <c r="H148" s="57">
        <f t="shared" si="51"/>
        <v>0</v>
      </c>
      <c r="I148" s="51">
        <f t="shared" si="52"/>
        <v>1</v>
      </c>
      <c r="J148" s="51">
        <f t="shared" si="53"/>
        <v>0</v>
      </c>
      <c r="K148" s="51">
        <f t="shared" si="54"/>
        <v>1</v>
      </c>
      <c r="N148" s="59">
        <f t="shared" si="55"/>
        <v>387.5</v>
      </c>
      <c r="O148" s="60">
        <f t="shared" si="56"/>
        <v>0</v>
      </c>
      <c r="P148" s="60">
        <f t="shared" si="57"/>
        <v>0</v>
      </c>
      <c r="Q148" s="60">
        <f t="shared" si="58"/>
        <v>7</v>
      </c>
      <c r="R148" s="60">
        <f t="shared" si="59"/>
        <v>0</v>
      </c>
      <c r="S148" s="60">
        <f t="shared" si="60"/>
        <v>0</v>
      </c>
      <c r="T148" s="60">
        <f t="shared" si="61"/>
        <v>0</v>
      </c>
      <c r="U148" s="60">
        <f t="shared" si="62"/>
        <v>1</v>
      </c>
      <c r="V148" s="60">
        <f t="shared" si="63"/>
        <v>0</v>
      </c>
      <c r="W148" s="60">
        <f t="shared" si="64"/>
        <v>1</v>
      </c>
    </row>
    <row r="149" spans="1:23" s="58" customFormat="1" x14ac:dyDescent="0.2">
      <c r="A149" s="50">
        <f t="shared" si="44"/>
        <v>365</v>
      </c>
      <c r="B149" s="51">
        <f t="shared" si="45"/>
        <v>390</v>
      </c>
      <c r="C149" s="52">
        <f t="shared" si="46"/>
        <v>0</v>
      </c>
      <c r="D149" s="53">
        <f t="shared" si="47"/>
        <v>0</v>
      </c>
      <c r="E149" s="54">
        <f t="shared" si="48"/>
        <v>7</v>
      </c>
      <c r="F149" s="55">
        <f t="shared" si="49"/>
        <v>0</v>
      </c>
      <c r="G149" s="56">
        <f t="shared" si="50"/>
        <v>0</v>
      </c>
      <c r="H149" s="57">
        <f t="shared" si="51"/>
        <v>0</v>
      </c>
      <c r="I149" s="51">
        <f t="shared" si="52"/>
        <v>1</v>
      </c>
      <c r="J149" s="51">
        <f t="shared" si="53"/>
        <v>1</v>
      </c>
      <c r="K149" s="51">
        <f t="shared" si="54"/>
        <v>0</v>
      </c>
      <c r="N149" s="59">
        <f t="shared" si="55"/>
        <v>390</v>
      </c>
      <c r="O149" s="60">
        <f t="shared" si="56"/>
        <v>0</v>
      </c>
      <c r="P149" s="60">
        <f t="shared" si="57"/>
        <v>0</v>
      </c>
      <c r="Q149" s="60">
        <f t="shared" si="58"/>
        <v>7</v>
      </c>
      <c r="R149" s="60">
        <f t="shared" si="59"/>
        <v>0</v>
      </c>
      <c r="S149" s="60">
        <f t="shared" si="60"/>
        <v>0</v>
      </c>
      <c r="T149" s="60">
        <f t="shared" si="61"/>
        <v>0</v>
      </c>
      <c r="U149" s="60">
        <f t="shared" si="62"/>
        <v>1</v>
      </c>
      <c r="V149" s="60">
        <f t="shared" si="63"/>
        <v>1</v>
      </c>
      <c r="W149" s="60">
        <f t="shared" si="64"/>
        <v>0</v>
      </c>
    </row>
    <row r="150" spans="1:23" s="58" customFormat="1" x14ac:dyDescent="0.2">
      <c r="A150" s="50">
        <f t="shared" si="44"/>
        <v>367.5</v>
      </c>
      <c r="B150" s="51">
        <f t="shared" si="45"/>
        <v>392.5</v>
      </c>
      <c r="C150" s="52">
        <f t="shared" si="46"/>
        <v>0</v>
      </c>
      <c r="D150" s="53">
        <f t="shared" si="47"/>
        <v>0</v>
      </c>
      <c r="E150" s="54">
        <f t="shared" si="48"/>
        <v>7</v>
      </c>
      <c r="F150" s="55">
        <f t="shared" si="49"/>
        <v>0</v>
      </c>
      <c r="G150" s="56">
        <f t="shared" si="50"/>
        <v>0</v>
      </c>
      <c r="H150" s="57">
        <f t="shared" si="51"/>
        <v>0</v>
      </c>
      <c r="I150" s="51">
        <f t="shared" si="52"/>
        <v>1</v>
      </c>
      <c r="J150" s="51">
        <f t="shared" si="53"/>
        <v>1</v>
      </c>
      <c r="K150" s="51">
        <f t="shared" si="54"/>
        <v>1</v>
      </c>
      <c r="N150" s="59">
        <f t="shared" si="55"/>
        <v>392.5</v>
      </c>
      <c r="O150" s="60">
        <f t="shared" si="56"/>
        <v>0</v>
      </c>
      <c r="P150" s="60">
        <f t="shared" si="57"/>
        <v>0</v>
      </c>
      <c r="Q150" s="60">
        <f t="shared" si="58"/>
        <v>7</v>
      </c>
      <c r="R150" s="60">
        <f t="shared" si="59"/>
        <v>0</v>
      </c>
      <c r="S150" s="60">
        <f t="shared" si="60"/>
        <v>0</v>
      </c>
      <c r="T150" s="60">
        <f t="shared" si="61"/>
        <v>0</v>
      </c>
      <c r="U150" s="60">
        <f t="shared" si="62"/>
        <v>1</v>
      </c>
      <c r="V150" s="60">
        <f t="shared" si="63"/>
        <v>1</v>
      </c>
      <c r="W150" s="60">
        <f t="shared" si="64"/>
        <v>1</v>
      </c>
    </row>
    <row r="151" spans="1:23" s="58" customFormat="1" x14ac:dyDescent="0.2">
      <c r="A151" s="50">
        <f t="shared" si="44"/>
        <v>370</v>
      </c>
      <c r="B151" s="51">
        <f t="shared" si="45"/>
        <v>395</v>
      </c>
      <c r="C151" s="52">
        <f t="shared" si="46"/>
        <v>0</v>
      </c>
      <c r="D151" s="53">
        <f t="shared" si="47"/>
        <v>0</v>
      </c>
      <c r="E151" s="54">
        <f t="shared" si="48"/>
        <v>7</v>
      </c>
      <c r="F151" s="55">
        <f t="shared" si="49"/>
        <v>0</v>
      </c>
      <c r="G151" s="56">
        <f t="shared" si="50"/>
        <v>0</v>
      </c>
      <c r="H151" s="57">
        <f t="shared" si="51"/>
        <v>1</v>
      </c>
      <c r="I151" s="51">
        <f t="shared" si="52"/>
        <v>0</v>
      </c>
      <c r="J151" s="51">
        <f t="shared" si="53"/>
        <v>0</v>
      </c>
      <c r="K151" s="51">
        <f t="shared" si="54"/>
        <v>0</v>
      </c>
      <c r="N151" s="59">
        <f t="shared" si="55"/>
        <v>395</v>
      </c>
      <c r="O151" s="60">
        <f t="shared" si="56"/>
        <v>0</v>
      </c>
      <c r="P151" s="60">
        <f t="shared" si="57"/>
        <v>0</v>
      </c>
      <c r="Q151" s="60">
        <f t="shared" si="58"/>
        <v>7</v>
      </c>
      <c r="R151" s="60">
        <f t="shared" si="59"/>
        <v>0</v>
      </c>
      <c r="S151" s="60">
        <f t="shared" si="60"/>
        <v>0</v>
      </c>
      <c r="T151" s="60">
        <f t="shared" si="61"/>
        <v>1</v>
      </c>
      <c r="U151" s="60">
        <f t="shared" si="62"/>
        <v>0</v>
      </c>
      <c r="V151" s="60">
        <f t="shared" si="63"/>
        <v>0</v>
      </c>
      <c r="W151" s="60">
        <f t="shared" si="64"/>
        <v>0</v>
      </c>
    </row>
    <row r="152" spans="1:23" s="58" customFormat="1" x14ac:dyDescent="0.2">
      <c r="A152" s="50">
        <f t="shared" si="44"/>
        <v>372.5</v>
      </c>
      <c r="B152" s="51">
        <f t="shared" si="45"/>
        <v>397.5</v>
      </c>
      <c r="C152" s="52">
        <f t="shared" si="46"/>
        <v>0</v>
      </c>
      <c r="D152" s="53">
        <f t="shared" si="47"/>
        <v>0</v>
      </c>
      <c r="E152" s="54">
        <f t="shared" si="48"/>
        <v>7</v>
      </c>
      <c r="F152" s="55">
        <f t="shared" si="49"/>
        <v>0</v>
      </c>
      <c r="G152" s="56">
        <f t="shared" si="50"/>
        <v>0</v>
      </c>
      <c r="H152" s="57">
        <f t="shared" si="51"/>
        <v>1</v>
      </c>
      <c r="I152" s="51">
        <f t="shared" si="52"/>
        <v>0</v>
      </c>
      <c r="J152" s="51">
        <f t="shared" si="53"/>
        <v>0</v>
      </c>
      <c r="K152" s="51">
        <f t="shared" si="54"/>
        <v>1</v>
      </c>
      <c r="N152" s="59">
        <f t="shared" si="55"/>
        <v>397.5</v>
      </c>
      <c r="O152" s="60">
        <f t="shared" si="56"/>
        <v>0</v>
      </c>
      <c r="P152" s="60">
        <f t="shared" si="57"/>
        <v>0</v>
      </c>
      <c r="Q152" s="60">
        <f t="shared" si="58"/>
        <v>7</v>
      </c>
      <c r="R152" s="60">
        <f t="shared" si="59"/>
        <v>0</v>
      </c>
      <c r="S152" s="60">
        <f t="shared" si="60"/>
        <v>0</v>
      </c>
      <c r="T152" s="60">
        <f t="shared" si="61"/>
        <v>1</v>
      </c>
      <c r="U152" s="60">
        <f t="shared" si="62"/>
        <v>0</v>
      </c>
      <c r="V152" s="60">
        <f t="shared" si="63"/>
        <v>0</v>
      </c>
      <c r="W152" s="60">
        <f t="shared" si="64"/>
        <v>1</v>
      </c>
    </row>
    <row r="153" spans="1:23" s="58" customFormat="1" x14ac:dyDescent="0.2">
      <c r="A153" s="50">
        <f t="shared" si="44"/>
        <v>375</v>
      </c>
      <c r="B153" s="51">
        <f t="shared" si="45"/>
        <v>400</v>
      </c>
      <c r="C153" s="52">
        <f t="shared" si="46"/>
        <v>0</v>
      </c>
      <c r="D153" s="53">
        <f t="shared" si="47"/>
        <v>0</v>
      </c>
      <c r="E153" s="54">
        <f t="shared" si="48"/>
        <v>7</v>
      </c>
      <c r="F153" s="55">
        <f t="shared" si="49"/>
        <v>0</v>
      </c>
      <c r="G153" s="56">
        <f t="shared" si="50"/>
        <v>0</v>
      </c>
      <c r="H153" s="57">
        <f t="shared" si="51"/>
        <v>1</v>
      </c>
      <c r="I153" s="51">
        <f t="shared" si="52"/>
        <v>0</v>
      </c>
      <c r="J153" s="51">
        <f t="shared" si="53"/>
        <v>1</v>
      </c>
      <c r="K153" s="51">
        <f t="shared" si="54"/>
        <v>0</v>
      </c>
      <c r="N153" s="59">
        <f t="shared" si="55"/>
        <v>400</v>
      </c>
      <c r="O153" s="60">
        <f t="shared" si="56"/>
        <v>0</v>
      </c>
      <c r="P153" s="60">
        <f t="shared" si="57"/>
        <v>0</v>
      </c>
      <c r="Q153" s="60">
        <f t="shared" si="58"/>
        <v>7</v>
      </c>
      <c r="R153" s="60">
        <f t="shared" si="59"/>
        <v>0</v>
      </c>
      <c r="S153" s="60">
        <f t="shared" si="60"/>
        <v>0</v>
      </c>
      <c r="T153" s="60">
        <f t="shared" si="61"/>
        <v>1</v>
      </c>
      <c r="U153" s="60">
        <f t="shared" si="62"/>
        <v>0</v>
      </c>
      <c r="V153" s="60">
        <f t="shared" si="63"/>
        <v>1</v>
      </c>
      <c r="W153" s="60">
        <f t="shared" si="64"/>
        <v>0</v>
      </c>
    </row>
    <row r="154" spans="1:23" s="58" customFormat="1" x14ac:dyDescent="0.2">
      <c r="A154" s="50">
        <f t="shared" si="44"/>
        <v>377.5</v>
      </c>
      <c r="B154" s="51">
        <f t="shared" si="45"/>
        <v>402.5</v>
      </c>
      <c r="C154" s="52">
        <f t="shared" si="46"/>
        <v>0</v>
      </c>
      <c r="D154" s="53">
        <f t="shared" si="47"/>
        <v>0</v>
      </c>
      <c r="E154" s="54">
        <f t="shared" si="48"/>
        <v>7</v>
      </c>
      <c r="F154" s="55">
        <f t="shared" si="49"/>
        <v>0</v>
      </c>
      <c r="G154" s="56">
        <f t="shared" si="50"/>
        <v>0</v>
      </c>
      <c r="H154" s="57">
        <f t="shared" si="51"/>
        <v>1</v>
      </c>
      <c r="I154" s="51">
        <f t="shared" si="52"/>
        <v>0</v>
      </c>
      <c r="J154" s="51">
        <f t="shared" si="53"/>
        <v>1</v>
      </c>
      <c r="K154" s="51">
        <f t="shared" si="54"/>
        <v>1</v>
      </c>
      <c r="N154" s="59">
        <f t="shared" si="55"/>
        <v>402.5</v>
      </c>
      <c r="O154" s="60">
        <f t="shared" si="56"/>
        <v>0</v>
      </c>
      <c r="P154" s="60">
        <f t="shared" si="57"/>
        <v>0</v>
      </c>
      <c r="Q154" s="60">
        <f t="shared" si="58"/>
        <v>7</v>
      </c>
      <c r="R154" s="60">
        <f t="shared" si="59"/>
        <v>0</v>
      </c>
      <c r="S154" s="60">
        <f t="shared" si="60"/>
        <v>0</v>
      </c>
      <c r="T154" s="60">
        <f t="shared" si="61"/>
        <v>1</v>
      </c>
      <c r="U154" s="60">
        <f t="shared" si="62"/>
        <v>0</v>
      </c>
      <c r="V154" s="60">
        <f t="shared" si="63"/>
        <v>1</v>
      </c>
      <c r="W154" s="60">
        <f t="shared" si="64"/>
        <v>1</v>
      </c>
    </row>
    <row r="155" spans="1:23" s="58" customFormat="1" x14ac:dyDescent="0.2">
      <c r="A155" s="50">
        <f t="shared" si="44"/>
        <v>380</v>
      </c>
      <c r="B155" s="51">
        <f t="shared" si="45"/>
        <v>405</v>
      </c>
      <c r="C155" s="52">
        <f t="shared" si="46"/>
        <v>0</v>
      </c>
      <c r="D155" s="53">
        <f t="shared" si="47"/>
        <v>0</v>
      </c>
      <c r="E155" s="54">
        <f t="shared" si="48"/>
        <v>7</v>
      </c>
      <c r="F155" s="55">
        <f t="shared" si="49"/>
        <v>0</v>
      </c>
      <c r="G155" s="56">
        <f t="shared" si="50"/>
        <v>1</v>
      </c>
      <c r="H155" s="57">
        <f t="shared" si="51"/>
        <v>0</v>
      </c>
      <c r="I155" s="51">
        <f t="shared" si="52"/>
        <v>0</v>
      </c>
      <c r="J155" s="51">
        <f t="shared" si="53"/>
        <v>0</v>
      </c>
      <c r="K155" s="51">
        <f t="shared" si="54"/>
        <v>0</v>
      </c>
      <c r="N155" s="59">
        <f t="shared" si="55"/>
        <v>405</v>
      </c>
      <c r="O155" s="60">
        <f t="shared" si="56"/>
        <v>0</v>
      </c>
      <c r="P155" s="60">
        <f t="shared" si="57"/>
        <v>0</v>
      </c>
      <c r="Q155" s="60">
        <f t="shared" si="58"/>
        <v>7</v>
      </c>
      <c r="R155" s="60">
        <f t="shared" si="59"/>
        <v>0</v>
      </c>
      <c r="S155" s="60">
        <f t="shared" si="60"/>
        <v>1</v>
      </c>
      <c r="T155" s="60">
        <f t="shared" si="61"/>
        <v>0</v>
      </c>
      <c r="U155" s="60">
        <f t="shared" si="62"/>
        <v>0</v>
      </c>
      <c r="V155" s="60">
        <f t="shared" si="63"/>
        <v>0</v>
      </c>
      <c r="W155" s="60">
        <f t="shared" si="64"/>
        <v>0</v>
      </c>
    </row>
    <row r="156" spans="1:23" s="58" customFormat="1" x14ac:dyDescent="0.2">
      <c r="A156" s="50">
        <f t="shared" si="44"/>
        <v>382.5</v>
      </c>
      <c r="B156" s="51">
        <f t="shared" si="45"/>
        <v>407.5</v>
      </c>
      <c r="C156" s="52">
        <f t="shared" si="46"/>
        <v>0</v>
      </c>
      <c r="D156" s="53">
        <f t="shared" si="47"/>
        <v>0</v>
      </c>
      <c r="E156" s="54">
        <f t="shared" si="48"/>
        <v>7</v>
      </c>
      <c r="F156" s="55">
        <f t="shared" si="49"/>
        <v>0</v>
      </c>
      <c r="G156" s="56">
        <f t="shared" si="50"/>
        <v>1</v>
      </c>
      <c r="H156" s="57">
        <f t="shared" si="51"/>
        <v>0</v>
      </c>
      <c r="I156" s="51">
        <f t="shared" si="52"/>
        <v>0</v>
      </c>
      <c r="J156" s="51">
        <f t="shared" si="53"/>
        <v>0</v>
      </c>
      <c r="K156" s="51">
        <f t="shared" si="54"/>
        <v>1</v>
      </c>
      <c r="N156" s="59">
        <f t="shared" si="55"/>
        <v>407.5</v>
      </c>
      <c r="O156" s="60">
        <f t="shared" si="56"/>
        <v>0</v>
      </c>
      <c r="P156" s="60">
        <f t="shared" si="57"/>
        <v>0</v>
      </c>
      <c r="Q156" s="60">
        <f t="shared" si="58"/>
        <v>7</v>
      </c>
      <c r="R156" s="60">
        <f t="shared" si="59"/>
        <v>0</v>
      </c>
      <c r="S156" s="60">
        <f t="shared" si="60"/>
        <v>1</v>
      </c>
      <c r="T156" s="60">
        <f t="shared" si="61"/>
        <v>0</v>
      </c>
      <c r="U156" s="60">
        <f t="shared" si="62"/>
        <v>0</v>
      </c>
      <c r="V156" s="60">
        <f t="shared" si="63"/>
        <v>0</v>
      </c>
      <c r="W156" s="60">
        <f t="shared" si="64"/>
        <v>1</v>
      </c>
    </row>
    <row r="157" spans="1:23" s="58" customFormat="1" x14ac:dyDescent="0.2">
      <c r="A157" s="50">
        <f t="shared" si="44"/>
        <v>385</v>
      </c>
      <c r="B157" s="51">
        <f t="shared" si="45"/>
        <v>410</v>
      </c>
      <c r="C157" s="52">
        <f t="shared" si="46"/>
        <v>0</v>
      </c>
      <c r="D157" s="53">
        <f t="shared" si="47"/>
        <v>0</v>
      </c>
      <c r="E157" s="54">
        <f t="shared" si="48"/>
        <v>7</v>
      </c>
      <c r="F157" s="55">
        <f t="shared" si="49"/>
        <v>0</v>
      </c>
      <c r="G157" s="56">
        <f t="shared" si="50"/>
        <v>1</v>
      </c>
      <c r="H157" s="57">
        <f t="shared" si="51"/>
        <v>0</v>
      </c>
      <c r="I157" s="51">
        <f t="shared" si="52"/>
        <v>0</v>
      </c>
      <c r="J157" s="51">
        <f t="shared" si="53"/>
        <v>1</v>
      </c>
      <c r="K157" s="51">
        <f t="shared" si="54"/>
        <v>0</v>
      </c>
      <c r="N157" s="59">
        <f t="shared" si="55"/>
        <v>410</v>
      </c>
      <c r="O157" s="60">
        <f t="shared" si="56"/>
        <v>0</v>
      </c>
      <c r="P157" s="60">
        <f t="shared" si="57"/>
        <v>0</v>
      </c>
      <c r="Q157" s="60">
        <f t="shared" si="58"/>
        <v>7</v>
      </c>
      <c r="R157" s="60">
        <f t="shared" si="59"/>
        <v>0</v>
      </c>
      <c r="S157" s="60">
        <f t="shared" si="60"/>
        <v>1</v>
      </c>
      <c r="T157" s="60">
        <f t="shared" si="61"/>
        <v>0</v>
      </c>
      <c r="U157" s="60">
        <f t="shared" si="62"/>
        <v>0</v>
      </c>
      <c r="V157" s="60">
        <f t="shared" si="63"/>
        <v>1</v>
      </c>
      <c r="W157" s="60">
        <f t="shared" si="64"/>
        <v>0</v>
      </c>
    </row>
    <row r="158" spans="1:23" s="58" customFormat="1" x14ac:dyDescent="0.2">
      <c r="A158" s="50">
        <f t="shared" si="44"/>
        <v>387.5</v>
      </c>
      <c r="B158" s="51">
        <f t="shared" si="45"/>
        <v>412.5</v>
      </c>
      <c r="C158" s="52">
        <f t="shared" si="46"/>
        <v>0</v>
      </c>
      <c r="D158" s="53">
        <f t="shared" si="47"/>
        <v>0</v>
      </c>
      <c r="E158" s="54">
        <f t="shared" si="48"/>
        <v>7</v>
      </c>
      <c r="F158" s="55">
        <f t="shared" si="49"/>
        <v>0</v>
      </c>
      <c r="G158" s="56">
        <f t="shared" si="50"/>
        <v>1</v>
      </c>
      <c r="H158" s="57">
        <f t="shared" si="51"/>
        <v>0</v>
      </c>
      <c r="I158" s="51">
        <f t="shared" si="52"/>
        <v>0</v>
      </c>
      <c r="J158" s="51">
        <f t="shared" si="53"/>
        <v>1</v>
      </c>
      <c r="K158" s="51">
        <f t="shared" si="54"/>
        <v>1</v>
      </c>
      <c r="N158" s="59">
        <f t="shared" si="55"/>
        <v>412.5</v>
      </c>
      <c r="O158" s="60">
        <f t="shared" si="56"/>
        <v>0</v>
      </c>
      <c r="P158" s="60">
        <f t="shared" si="57"/>
        <v>0</v>
      </c>
      <c r="Q158" s="60">
        <f t="shared" si="58"/>
        <v>7</v>
      </c>
      <c r="R158" s="60">
        <f t="shared" si="59"/>
        <v>0</v>
      </c>
      <c r="S158" s="60">
        <f t="shared" si="60"/>
        <v>1</v>
      </c>
      <c r="T158" s="60">
        <f t="shared" si="61"/>
        <v>0</v>
      </c>
      <c r="U158" s="60">
        <f t="shared" si="62"/>
        <v>0</v>
      </c>
      <c r="V158" s="60">
        <f t="shared" si="63"/>
        <v>1</v>
      </c>
      <c r="W158" s="60">
        <f t="shared" si="64"/>
        <v>1</v>
      </c>
    </row>
    <row r="159" spans="1:23" s="58" customFormat="1" x14ac:dyDescent="0.2">
      <c r="A159" s="50">
        <f t="shared" si="44"/>
        <v>390</v>
      </c>
      <c r="B159" s="51">
        <f t="shared" si="45"/>
        <v>415</v>
      </c>
      <c r="C159" s="52">
        <f t="shared" si="46"/>
        <v>0</v>
      </c>
      <c r="D159" s="53">
        <f t="shared" si="47"/>
        <v>0</v>
      </c>
      <c r="E159" s="54">
        <f t="shared" si="48"/>
        <v>7</v>
      </c>
      <c r="F159" s="55">
        <f t="shared" si="49"/>
        <v>1</v>
      </c>
      <c r="G159" s="56">
        <f t="shared" si="50"/>
        <v>0</v>
      </c>
      <c r="H159" s="57">
        <f t="shared" si="51"/>
        <v>0</v>
      </c>
      <c r="I159" s="51">
        <f t="shared" si="52"/>
        <v>0</v>
      </c>
      <c r="J159" s="51">
        <f t="shared" si="53"/>
        <v>0</v>
      </c>
      <c r="K159" s="51">
        <f t="shared" si="54"/>
        <v>0</v>
      </c>
      <c r="N159" s="59">
        <f t="shared" si="55"/>
        <v>415</v>
      </c>
      <c r="O159" s="60">
        <f t="shared" si="56"/>
        <v>0</v>
      </c>
      <c r="P159" s="60">
        <f t="shared" si="57"/>
        <v>0</v>
      </c>
      <c r="Q159" s="60">
        <f t="shared" si="58"/>
        <v>7</v>
      </c>
      <c r="R159" s="60">
        <f t="shared" si="59"/>
        <v>1</v>
      </c>
      <c r="S159" s="60">
        <f t="shared" si="60"/>
        <v>0</v>
      </c>
      <c r="T159" s="60">
        <f t="shared" si="61"/>
        <v>0</v>
      </c>
      <c r="U159" s="60">
        <f t="shared" si="62"/>
        <v>0</v>
      </c>
      <c r="V159" s="60">
        <f t="shared" si="63"/>
        <v>0</v>
      </c>
      <c r="W159" s="60">
        <f t="shared" si="64"/>
        <v>0</v>
      </c>
    </row>
    <row r="160" spans="1:23" s="58" customFormat="1" x14ac:dyDescent="0.2">
      <c r="A160" s="50">
        <f t="shared" si="44"/>
        <v>392.5</v>
      </c>
      <c r="B160" s="51">
        <f t="shared" si="45"/>
        <v>417.5</v>
      </c>
      <c r="C160" s="52">
        <f t="shared" si="46"/>
        <v>0</v>
      </c>
      <c r="D160" s="53">
        <f t="shared" si="47"/>
        <v>0</v>
      </c>
      <c r="E160" s="54">
        <f t="shared" si="48"/>
        <v>7</v>
      </c>
      <c r="F160" s="55">
        <f t="shared" si="49"/>
        <v>1</v>
      </c>
      <c r="G160" s="56">
        <f t="shared" si="50"/>
        <v>0</v>
      </c>
      <c r="H160" s="57">
        <f t="shared" si="51"/>
        <v>0</v>
      </c>
      <c r="I160" s="51">
        <f t="shared" si="52"/>
        <v>0</v>
      </c>
      <c r="J160" s="51">
        <f t="shared" si="53"/>
        <v>0</v>
      </c>
      <c r="K160" s="51">
        <f t="shared" si="54"/>
        <v>1</v>
      </c>
      <c r="N160" s="59">
        <f t="shared" si="55"/>
        <v>417.5</v>
      </c>
      <c r="O160" s="60">
        <f t="shared" si="56"/>
        <v>0</v>
      </c>
      <c r="P160" s="60">
        <f t="shared" si="57"/>
        <v>0</v>
      </c>
      <c r="Q160" s="60">
        <f t="shared" si="58"/>
        <v>7</v>
      </c>
      <c r="R160" s="60">
        <f t="shared" si="59"/>
        <v>1</v>
      </c>
      <c r="S160" s="60">
        <f t="shared" si="60"/>
        <v>0</v>
      </c>
      <c r="T160" s="60">
        <f t="shared" si="61"/>
        <v>0</v>
      </c>
      <c r="U160" s="60">
        <f t="shared" si="62"/>
        <v>0</v>
      </c>
      <c r="V160" s="60">
        <f t="shared" si="63"/>
        <v>0</v>
      </c>
      <c r="W160" s="60">
        <f t="shared" si="64"/>
        <v>1</v>
      </c>
    </row>
    <row r="161" spans="1:23" s="58" customFormat="1" x14ac:dyDescent="0.2">
      <c r="A161" s="50">
        <f t="shared" si="44"/>
        <v>395</v>
      </c>
      <c r="B161" s="51">
        <f t="shared" si="45"/>
        <v>420</v>
      </c>
      <c r="C161" s="52">
        <f t="shared" si="46"/>
        <v>0</v>
      </c>
      <c r="D161" s="53">
        <f t="shared" si="47"/>
        <v>0</v>
      </c>
      <c r="E161" s="54">
        <f t="shared" si="48"/>
        <v>7</v>
      </c>
      <c r="F161" s="55">
        <f t="shared" si="49"/>
        <v>1</v>
      </c>
      <c r="G161" s="56">
        <f t="shared" si="50"/>
        <v>0</v>
      </c>
      <c r="H161" s="57">
        <f t="shared" si="51"/>
        <v>0</v>
      </c>
      <c r="I161" s="51">
        <f t="shared" si="52"/>
        <v>0</v>
      </c>
      <c r="J161" s="51">
        <f t="shared" si="53"/>
        <v>1</v>
      </c>
      <c r="K161" s="51">
        <f t="shared" si="54"/>
        <v>0</v>
      </c>
      <c r="N161" s="59">
        <f t="shared" si="55"/>
        <v>420</v>
      </c>
      <c r="O161" s="60">
        <f t="shared" si="56"/>
        <v>0</v>
      </c>
      <c r="P161" s="60">
        <f t="shared" si="57"/>
        <v>0</v>
      </c>
      <c r="Q161" s="60">
        <f t="shared" si="58"/>
        <v>7</v>
      </c>
      <c r="R161" s="60">
        <f t="shared" si="59"/>
        <v>1</v>
      </c>
      <c r="S161" s="60">
        <f t="shared" si="60"/>
        <v>0</v>
      </c>
      <c r="T161" s="60">
        <f t="shared" si="61"/>
        <v>0</v>
      </c>
      <c r="U161" s="60">
        <f t="shared" si="62"/>
        <v>0</v>
      </c>
      <c r="V161" s="60">
        <f t="shared" si="63"/>
        <v>1</v>
      </c>
      <c r="W161" s="60">
        <f t="shared" si="64"/>
        <v>0</v>
      </c>
    </row>
    <row r="162" spans="1:23" s="58" customFormat="1" x14ac:dyDescent="0.2">
      <c r="A162" s="50">
        <f t="shared" si="44"/>
        <v>397.5</v>
      </c>
      <c r="B162" s="51">
        <f t="shared" si="45"/>
        <v>422.5</v>
      </c>
      <c r="C162" s="52">
        <f t="shared" si="46"/>
        <v>0</v>
      </c>
      <c r="D162" s="53">
        <f t="shared" si="47"/>
        <v>0</v>
      </c>
      <c r="E162" s="54">
        <f t="shared" si="48"/>
        <v>7</v>
      </c>
      <c r="F162" s="55">
        <f t="shared" si="49"/>
        <v>1</v>
      </c>
      <c r="G162" s="56">
        <f t="shared" si="50"/>
        <v>0</v>
      </c>
      <c r="H162" s="57">
        <f t="shared" si="51"/>
        <v>0</v>
      </c>
      <c r="I162" s="51">
        <f t="shared" si="52"/>
        <v>0</v>
      </c>
      <c r="J162" s="51">
        <f t="shared" si="53"/>
        <v>1</v>
      </c>
      <c r="K162" s="51">
        <f t="shared" si="54"/>
        <v>1</v>
      </c>
      <c r="N162" s="59">
        <f t="shared" si="55"/>
        <v>422.5</v>
      </c>
      <c r="O162" s="60">
        <f t="shared" si="56"/>
        <v>0</v>
      </c>
      <c r="P162" s="60">
        <f t="shared" si="57"/>
        <v>0</v>
      </c>
      <c r="Q162" s="60">
        <f t="shared" si="58"/>
        <v>7</v>
      </c>
      <c r="R162" s="60">
        <f t="shared" si="59"/>
        <v>1</v>
      </c>
      <c r="S162" s="60">
        <f t="shared" si="60"/>
        <v>0</v>
      </c>
      <c r="T162" s="60">
        <f t="shared" si="61"/>
        <v>0</v>
      </c>
      <c r="U162" s="60">
        <f t="shared" si="62"/>
        <v>0</v>
      </c>
      <c r="V162" s="60">
        <f t="shared" si="63"/>
        <v>1</v>
      </c>
      <c r="W162" s="60">
        <f t="shared" si="64"/>
        <v>1</v>
      </c>
    </row>
    <row r="163" spans="1:23" s="58" customFormat="1" x14ac:dyDescent="0.2">
      <c r="A163" s="50">
        <f t="shared" si="44"/>
        <v>400</v>
      </c>
      <c r="B163" s="51">
        <f t="shared" si="45"/>
        <v>425</v>
      </c>
      <c r="C163" s="52">
        <f t="shared" si="46"/>
        <v>0</v>
      </c>
      <c r="D163" s="53">
        <f t="shared" si="47"/>
        <v>0</v>
      </c>
      <c r="E163" s="54">
        <f t="shared" si="48"/>
        <v>7</v>
      </c>
      <c r="F163" s="55">
        <f t="shared" si="49"/>
        <v>1</v>
      </c>
      <c r="G163" s="56">
        <f t="shared" si="50"/>
        <v>0</v>
      </c>
      <c r="H163" s="57">
        <f t="shared" si="51"/>
        <v>0</v>
      </c>
      <c r="I163" s="51">
        <f t="shared" si="52"/>
        <v>1</v>
      </c>
      <c r="J163" s="51">
        <f t="shared" si="53"/>
        <v>0</v>
      </c>
      <c r="K163" s="51">
        <f t="shared" si="54"/>
        <v>0</v>
      </c>
      <c r="N163" s="59">
        <f t="shared" si="55"/>
        <v>425</v>
      </c>
      <c r="O163" s="60">
        <f t="shared" si="56"/>
        <v>0</v>
      </c>
      <c r="P163" s="60">
        <f t="shared" si="57"/>
        <v>0</v>
      </c>
      <c r="Q163" s="60">
        <f t="shared" si="58"/>
        <v>7</v>
      </c>
      <c r="R163" s="60">
        <f t="shared" si="59"/>
        <v>1</v>
      </c>
      <c r="S163" s="60">
        <f t="shared" si="60"/>
        <v>0</v>
      </c>
      <c r="T163" s="60">
        <f t="shared" si="61"/>
        <v>0</v>
      </c>
      <c r="U163" s="60">
        <f t="shared" si="62"/>
        <v>1</v>
      </c>
      <c r="V163" s="60">
        <f t="shared" si="63"/>
        <v>0</v>
      </c>
      <c r="W163" s="60">
        <f t="shared" si="64"/>
        <v>0</v>
      </c>
    </row>
    <row r="164" spans="1:23" s="58" customFormat="1" x14ac:dyDescent="0.2">
      <c r="A164" s="50">
        <f t="shared" si="44"/>
        <v>402.5</v>
      </c>
      <c r="B164" s="51">
        <f t="shared" si="45"/>
        <v>427.5</v>
      </c>
      <c r="C164" s="52">
        <f t="shared" si="46"/>
        <v>0</v>
      </c>
      <c r="D164" s="53">
        <f t="shared" si="47"/>
        <v>0</v>
      </c>
      <c r="E164" s="54">
        <f t="shared" si="48"/>
        <v>7</v>
      </c>
      <c r="F164" s="55">
        <f t="shared" si="49"/>
        <v>1</v>
      </c>
      <c r="G164" s="56">
        <f t="shared" si="50"/>
        <v>0</v>
      </c>
      <c r="H164" s="57">
        <f t="shared" si="51"/>
        <v>0</v>
      </c>
      <c r="I164" s="51">
        <f t="shared" si="52"/>
        <v>1</v>
      </c>
      <c r="J164" s="51">
        <f t="shared" si="53"/>
        <v>0</v>
      </c>
      <c r="K164" s="51">
        <f t="shared" si="54"/>
        <v>1</v>
      </c>
      <c r="N164" s="59">
        <f t="shared" si="55"/>
        <v>427.5</v>
      </c>
      <c r="O164" s="60">
        <f t="shared" si="56"/>
        <v>0</v>
      </c>
      <c r="P164" s="60">
        <f t="shared" si="57"/>
        <v>0</v>
      </c>
      <c r="Q164" s="60">
        <f t="shared" si="58"/>
        <v>7</v>
      </c>
      <c r="R164" s="60">
        <f t="shared" si="59"/>
        <v>1</v>
      </c>
      <c r="S164" s="60">
        <f t="shared" si="60"/>
        <v>0</v>
      </c>
      <c r="T164" s="60">
        <f t="shared" si="61"/>
        <v>0</v>
      </c>
      <c r="U164" s="60">
        <f t="shared" si="62"/>
        <v>1</v>
      </c>
      <c r="V164" s="60">
        <f t="shared" si="63"/>
        <v>0</v>
      </c>
      <c r="W164" s="60">
        <f t="shared" si="64"/>
        <v>1</v>
      </c>
    </row>
    <row r="165" spans="1:23" s="58" customFormat="1" x14ac:dyDescent="0.2">
      <c r="A165" s="50">
        <f t="shared" si="44"/>
        <v>405</v>
      </c>
      <c r="B165" s="51">
        <f t="shared" si="45"/>
        <v>430</v>
      </c>
      <c r="C165" s="52">
        <f t="shared" si="46"/>
        <v>0</v>
      </c>
      <c r="D165" s="53">
        <f t="shared" si="47"/>
        <v>0</v>
      </c>
      <c r="E165" s="54">
        <f t="shared" si="48"/>
        <v>7</v>
      </c>
      <c r="F165" s="55">
        <f t="shared" si="49"/>
        <v>1</v>
      </c>
      <c r="G165" s="56">
        <f t="shared" si="50"/>
        <v>0</v>
      </c>
      <c r="H165" s="57">
        <f t="shared" si="51"/>
        <v>0</v>
      </c>
      <c r="I165" s="51">
        <f t="shared" si="52"/>
        <v>1</v>
      </c>
      <c r="J165" s="51">
        <f t="shared" si="53"/>
        <v>1</v>
      </c>
      <c r="K165" s="51">
        <f t="shared" si="54"/>
        <v>0</v>
      </c>
      <c r="N165" s="59">
        <f t="shared" si="55"/>
        <v>430</v>
      </c>
      <c r="O165" s="60">
        <f t="shared" si="56"/>
        <v>0</v>
      </c>
      <c r="P165" s="60">
        <f t="shared" si="57"/>
        <v>0</v>
      </c>
      <c r="Q165" s="60">
        <f t="shared" si="58"/>
        <v>7</v>
      </c>
      <c r="R165" s="60">
        <f t="shared" si="59"/>
        <v>1</v>
      </c>
      <c r="S165" s="60">
        <f t="shared" si="60"/>
        <v>0</v>
      </c>
      <c r="T165" s="60">
        <f t="shared" si="61"/>
        <v>0</v>
      </c>
      <c r="U165" s="60">
        <f t="shared" si="62"/>
        <v>1</v>
      </c>
      <c r="V165" s="60">
        <f t="shared" si="63"/>
        <v>1</v>
      </c>
      <c r="W165" s="60">
        <f t="shared" si="64"/>
        <v>0</v>
      </c>
    </row>
    <row r="166" spans="1:23" s="58" customFormat="1" x14ac:dyDescent="0.2">
      <c r="A166" s="50">
        <f t="shared" si="44"/>
        <v>407.5</v>
      </c>
      <c r="B166" s="51">
        <f t="shared" si="45"/>
        <v>432.5</v>
      </c>
      <c r="C166" s="52">
        <f t="shared" si="46"/>
        <v>0</v>
      </c>
      <c r="D166" s="53">
        <f t="shared" si="47"/>
        <v>0</v>
      </c>
      <c r="E166" s="54">
        <f t="shared" si="48"/>
        <v>7</v>
      </c>
      <c r="F166" s="55">
        <f t="shared" si="49"/>
        <v>1</v>
      </c>
      <c r="G166" s="56">
        <f t="shared" si="50"/>
        <v>0</v>
      </c>
      <c r="H166" s="57">
        <f t="shared" si="51"/>
        <v>0</v>
      </c>
      <c r="I166" s="51">
        <f t="shared" si="52"/>
        <v>1</v>
      </c>
      <c r="J166" s="51">
        <f t="shared" si="53"/>
        <v>1</v>
      </c>
      <c r="K166" s="51">
        <f t="shared" si="54"/>
        <v>1</v>
      </c>
      <c r="N166" s="59">
        <f t="shared" si="55"/>
        <v>432.5</v>
      </c>
      <c r="O166" s="60">
        <f t="shared" si="56"/>
        <v>0</v>
      </c>
      <c r="P166" s="60">
        <f t="shared" si="57"/>
        <v>0</v>
      </c>
      <c r="Q166" s="60">
        <f t="shared" si="58"/>
        <v>7</v>
      </c>
      <c r="R166" s="60">
        <f t="shared" si="59"/>
        <v>1</v>
      </c>
      <c r="S166" s="60">
        <f t="shared" si="60"/>
        <v>0</v>
      </c>
      <c r="T166" s="60">
        <f t="shared" si="61"/>
        <v>0</v>
      </c>
      <c r="U166" s="60">
        <f t="shared" si="62"/>
        <v>1</v>
      </c>
      <c r="V166" s="60">
        <f t="shared" si="63"/>
        <v>1</v>
      </c>
      <c r="W166" s="60">
        <f t="shared" si="64"/>
        <v>1</v>
      </c>
    </row>
    <row r="167" spans="1:23" s="58" customFormat="1" x14ac:dyDescent="0.2">
      <c r="A167" s="50">
        <f t="shared" si="44"/>
        <v>410</v>
      </c>
      <c r="B167" s="51">
        <f t="shared" si="45"/>
        <v>435</v>
      </c>
      <c r="C167" s="52">
        <f t="shared" si="46"/>
        <v>0</v>
      </c>
      <c r="D167" s="53">
        <f t="shared" si="47"/>
        <v>0</v>
      </c>
      <c r="E167" s="54">
        <f t="shared" si="48"/>
        <v>7</v>
      </c>
      <c r="F167" s="55">
        <f t="shared" si="49"/>
        <v>1</v>
      </c>
      <c r="G167" s="56">
        <f t="shared" si="50"/>
        <v>0</v>
      </c>
      <c r="H167" s="57">
        <f t="shared" si="51"/>
        <v>1</v>
      </c>
      <c r="I167" s="51">
        <f t="shared" si="52"/>
        <v>0</v>
      </c>
      <c r="J167" s="51">
        <f t="shared" si="53"/>
        <v>0</v>
      </c>
      <c r="K167" s="51">
        <f t="shared" si="54"/>
        <v>0</v>
      </c>
      <c r="N167" s="59">
        <f t="shared" si="55"/>
        <v>435</v>
      </c>
      <c r="O167" s="60">
        <f t="shared" si="56"/>
        <v>0</v>
      </c>
      <c r="P167" s="60">
        <f t="shared" si="57"/>
        <v>0</v>
      </c>
      <c r="Q167" s="60">
        <f t="shared" si="58"/>
        <v>7</v>
      </c>
      <c r="R167" s="60">
        <f t="shared" si="59"/>
        <v>1</v>
      </c>
      <c r="S167" s="60">
        <f t="shared" si="60"/>
        <v>0</v>
      </c>
      <c r="T167" s="60">
        <f t="shared" si="61"/>
        <v>1</v>
      </c>
      <c r="U167" s="60">
        <f t="shared" si="62"/>
        <v>0</v>
      </c>
      <c r="V167" s="60">
        <f t="shared" si="63"/>
        <v>0</v>
      </c>
      <c r="W167" s="60">
        <f t="shared" si="64"/>
        <v>0</v>
      </c>
    </row>
    <row r="168" spans="1:23" s="58" customFormat="1" x14ac:dyDescent="0.2">
      <c r="A168" s="50">
        <f t="shared" si="44"/>
        <v>412.5</v>
      </c>
      <c r="B168" s="51">
        <f t="shared" si="45"/>
        <v>437.5</v>
      </c>
      <c r="C168" s="52">
        <f t="shared" si="46"/>
        <v>0</v>
      </c>
      <c r="D168" s="53">
        <f t="shared" si="47"/>
        <v>0</v>
      </c>
      <c r="E168" s="54">
        <f t="shared" si="48"/>
        <v>7</v>
      </c>
      <c r="F168" s="55">
        <f t="shared" si="49"/>
        <v>1</v>
      </c>
      <c r="G168" s="56">
        <f t="shared" si="50"/>
        <v>0</v>
      </c>
      <c r="H168" s="57">
        <f t="shared" si="51"/>
        <v>1</v>
      </c>
      <c r="I168" s="51">
        <f t="shared" si="52"/>
        <v>0</v>
      </c>
      <c r="J168" s="51">
        <f t="shared" si="53"/>
        <v>0</v>
      </c>
      <c r="K168" s="51">
        <f t="shared" si="54"/>
        <v>1</v>
      </c>
      <c r="N168" s="59">
        <f t="shared" si="55"/>
        <v>437.5</v>
      </c>
      <c r="O168" s="60">
        <f t="shared" si="56"/>
        <v>0</v>
      </c>
      <c r="P168" s="60">
        <f t="shared" si="57"/>
        <v>0</v>
      </c>
      <c r="Q168" s="60">
        <f t="shared" si="58"/>
        <v>7</v>
      </c>
      <c r="R168" s="60">
        <f t="shared" si="59"/>
        <v>1</v>
      </c>
      <c r="S168" s="60">
        <f t="shared" si="60"/>
        <v>0</v>
      </c>
      <c r="T168" s="60">
        <f t="shared" si="61"/>
        <v>1</v>
      </c>
      <c r="U168" s="60">
        <f t="shared" si="62"/>
        <v>0</v>
      </c>
      <c r="V168" s="60">
        <f t="shared" si="63"/>
        <v>0</v>
      </c>
      <c r="W168" s="60">
        <f t="shared" si="64"/>
        <v>1</v>
      </c>
    </row>
    <row r="169" spans="1:23" s="58" customFormat="1" x14ac:dyDescent="0.2">
      <c r="A169" s="50">
        <f t="shared" si="44"/>
        <v>415</v>
      </c>
      <c r="B169" s="51">
        <f t="shared" si="45"/>
        <v>440</v>
      </c>
      <c r="C169" s="52">
        <f t="shared" si="46"/>
        <v>0</v>
      </c>
      <c r="D169" s="53">
        <f t="shared" si="47"/>
        <v>0</v>
      </c>
      <c r="E169" s="54">
        <f t="shared" si="48"/>
        <v>7</v>
      </c>
      <c r="F169" s="55">
        <f t="shared" si="49"/>
        <v>1</v>
      </c>
      <c r="G169" s="56">
        <f t="shared" si="50"/>
        <v>0</v>
      </c>
      <c r="H169" s="57">
        <f t="shared" si="51"/>
        <v>1</v>
      </c>
      <c r="I169" s="51">
        <f t="shared" si="52"/>
        <v>0</v>
      </c>
      <c r="J169" s="51">
        <f t="shared" si="53"/>
        <v>1</v>
      </c>
      <c r="K169" s="51">
        <f t="shared" si="54"/>
        <v>0</v>
      </c>
      <c r="N169" s="59">
        <f t="shared" si="55"/>
        <v>440</v>
      </c>
      <c r="O169" s="60">
        <f t="shared" si="56"/>
        <v>0</v>
      </c>
      <c r="P169" s="60">
        <f t="shared" si="57"/>
        <v>0</v>
      </c>
      <c r="Q169" s="60">
        <f t="shared" si="58"/>
        <v>7</v>
      </c>
      <c r="R169" s="60">
        <f t="shared" si="59"/>
        <v>1</v>
      </c>
      <c r="S169" s="60">
        <f t="shared" si="60"/>
        <v>0</v>
      </c>
      <c r="T169" s="60">
        <f t="shared" si="61"/>
        <v>1</v>
      </c>
      <c r="U169" s="60">
        <f t="shared" si="62"/>
        <v>0</v>
      </c>
      <c r="V169" s="60">
        <f t="shared" si="63"/>
        <v>1</v>
      </c>
      <c r="W169" s="60">
        <f t="shared" si="64"/>
        <v>0</v>
      </c>
    </row>
    <row r="170" spans="1:23" s="58" customFormat="1" x14ac:dyDescent="0.2">
      <c r="A170" s="50">
        <f t="shared" si="44"/>
        <v>417.5</v>
      </c>
      <c r="B170" s="51">
        <f t="shared" si="45"/>
        <v>442.5</v>
      </c>
      <c r="C170" s="52">
        <f t="shared" si="46"/>
        <v>0</v>
      </c>
      <c r="D170" s="53">
        <f t="shared" si="47"/>
        <v>0</v>
      </c>
      <c r="E170" s="54">
        <f t="shared" si="48"/>
        <v>7</v>
      </c>
      <c r="F170" s="55">
        <f t="shared" si="49"/>
        <v>1</v>
      </c>
      <c r="G170" s="56">
        <f t="shared" si="50"/>
        <v>0</v>
      </c>
      <c r="H170" s="57">
        <f t="shared" si="51"/>
        <v>1</v>
      </c>
      <c r="I170" s="51">
        <f t="shared" si="52"/>
        <v>0</v>
      </c>
      <c r="J170" s="51">
        <f t="shared" si="53"/>
        <v>1</v>
      </c>
      <c r="K170" s="51">
        <f t="shared" si="54"/>
        <v>1</v>
      </c>
      <c r="N170" s="59">
        <f t="shared" si="55"/>
        <v>442.5</v>
      </c>
      <c r="O170" s="60">
        <f t="shared" si="56"/>
        <v>0</v>
      </c>
      <c r="P170" s="60">
        <f t="shared" si="57"/>
        <v>0</v>
      </c>
      <c r="Q170" s="60">
        <f t="shared" si="58"/>
        <v>7</v>
      </c>
      <c r="R170" s="60">
        <f t="shared" si="59"/>
        <v>1</v>
      </c>
      <c r="S170" s="60">
        <f t="shared" si="60"/>
        <v>0</v>
      </c>
      <c r="T170" s="60">
        <f t="shared" si="61"/>
        <v>1</v>
      </c>
      <c r="U170" s="60">
        <f t="shared" si="62"/>
        <v>0</v>
      </c>
      <c r="V170" s="60">
        <f t="shared" si="63"/>
        <v>1</v>
      </c>
      <c r="W170" s="60">
        <f t="shared" si="64"/>
        <v>1</v>
      </c>
    </row>
    <row r="171" spans="1:23" s="58" customFormat="1" x14ac:dyDescent="0.2">
      <c r="A171" s="50">
        <f t="shared" si="44"/>
        <v>420</v>
      </c>
      <c r="B171" s="51">
        <f t="shared" si="45"/>
        <v>445</v>
      </c>
      <c r="C171" s="52">
        <f t="shared" si="46"/>
        <v>0</v>
      </c>
      <c r="D171" s="53">
        <f t="shared" si="47"/>
        <v>0</v>
      </c>
      <c r="E171" s="54">
        <f t="shared" si="48"/>
        <v>7</v>
      </c>
      <c r="F171" s="55">
        <f t="shared" si="49"/>
        <v>1</v>
      </c>
      <c r="G171" s="56">
        <f t="shared" si="50"/>
        <v>1</v>
      </c>
      <c r="H171" s="57">
        <f t="shared" si="51"/>
        <v>0</v>
      </c>
      <c r="I171" s="51">
        <f t="shared" si="52"/>
        <v>0</v>
      </c>
      <c r="J171" s="51">
        <f t="shared" si="53"/>
        <v>0</v>
      </c>
      <c r="K171" s="51">
        <f t="shared" si="54"/>
        <v>0</v>
      </c>
      <c r="N171" s="59">
        <f t="shared" si="55"/>
        <v>445</v>
      </c>
      <c r="O171" s="60">
        <f t="shared" si="56"/>
        <v>0</v>
      </c>
      <c r="P171" s="60">
        <f t="shared" si="57"/>
        <v>0</v>
      </c>
      <c r="Q171" s="60">
        <f t="shared" si="58"/>
        <v>7</v>
      </c>
      <c r="R171" s="60">
        <f t="shared" si="59"/>
        <v>1</v>
      </c>
      <c r="S171" s="60">
        <f t="shared" si="60"/>
        <v>1</v>
      </c>
      <c r="T171" s="60">
        <f t="shared" si="61"/>
        <v>0</v>
      </c>
      <c r="U171" s="60">
        <f t="shared" si="62"/>
        <v>0</v>
      </c>
      <c r="V171" s="60">
        <f t="shared" si="63"/>
        <v>0</v>
      </c>
      <c r="W171" s="60">
        <f t="shared" si="64"/>
        <v>0</v>
      </c>
    </row>
    <row r="172" spans="1:23" s="58" customFormat="1" x14ac:dyDescent="0.2">
      <c r="A172" s="50">
        <f t="shared" si="44"/>
        <v>422.5</v>
      </c>
      <c r="B172" s="51">
        <f t="shared" si="45"/>
        <v>447.5</v>
      </c>
      <c r="C172" s="52">
        <f t="shared" si="46"/>
        <v>0</v>
      </c>
      <c r="D172" s="53">
        <f t="shared" si="47"/>
        <v>0</v>
      </c>
      <c r="E172" s="54">
        <f t="shared" si="48"/>
        <v>7</v>
      </c>
      <c r="F172" s="55">
        <f t="shared" si="49"/>
        <v>1</v>
      </c>
      <c r="G172" s="56">
        <f t="shared" si="50"/>
        <v>1</v>
      </c>
      <c r="H172" s="57">
        <f t="shared" si="51"/>
        <v>0</v>
      </c>
      <c r="I172" s="51">
        <f t="shared" si="52"/>
        <v>0</v>
      </c>
      <c r="J172" s="51">
        <f t="shared" si="53"/>
        <v>0</v>
      </c>
      <c r="K172" s="51">
        <f t="shared" si="54"/>
        <v>1</v>
      </c>
      <c r="N172" s="59">
        <f t="shared" si="55"/>
        <v>447.5</v>
      </c>
      <c r="O172" s="60">
        <f t="shared" si="56"/>
        <v>0</v>
      </c>
      <c r="P172" s="60">
        <f t="shared" si="57"/>
        <v>0</v>
      </c>
      <c r="Q172" s="60">
        <f t="shared" si="58"/>
        <v>7</v>
      </c>
      <c r="R172" s="60">
        <f t="shared" si="59"/>
        <v>1</v>
      </c>
      <c r="S172" s="60">
        <f t="shared" si="60"/>
        <v>1</v>
      </c>
      <c r="T172" s="60">
        <f t="shared" si="61"/>
        <v>0</v>
      </c>
      <c r="U172" s="60">
        <f t="shared" si="62"/>
        <v>0</v>
      </c>
      <c r="V172" s="60">
        <f t="shared" si="63"/>
        <v>0</v>
      </c>
      <c r="W172" s="60">
        <f t="shared" si="64"/>
        <v>1</v>
      </c>
    </row>
    <row r="173" spans="1:23" s="58" customFormat="1" x14ac:dyDescent="0.2">
      <c r="A173" s="50">
        <f t="shared" si="44"/>
        <v>425</v>
      </c>
      <c r="B173" s="51">
        <f t="shared" si="45"/>
        <v>450</v>
      </c>
      <c r="C173" s="52">
        <f t="shared" si="46"/>
        <v>0</v>
      </c>
      <c r="D173" s="53">
        <f t="shared" si="47"/>
        <v>0</v>
      </c>
      <c r="E173" s="54">
        <f t="shared" si="48"/>
        <v>7</v>
      </c>
      <c r="F173" s="55">
        <f t="shared" si="49"/>
        <v>1</v>
      </c>
      <c r="G173" s="56">
        <f t="shared" si="50"/>
        <v>1</v>
      </c>
      <c r="H173" s="57">
        <f t="shared" si="51"/>
        <v>0</v>
      </c>
      <c r="I173" s="51">
        <f t="shared" si="52"/>
        <v>0</v>
      </c>
      <c r="J173" s="51">
        <f t="shared" si="53"/>
        <v>1</v>
      </c>
      <c r="K173" s="51">
        <f t="shared" si="54"/>
        <v>0</v>
      </c>
      <c r="N173" s="59">
        <f t="shared" si="55"/>
        <v>450</v>
      </c>
      <c r="O173" s="60">
        <f t="shared" si="56"/>
        <v>0</v>
      </c>
      <c r="P173" s="60">
        <f t="shared" si="57"/>
        <v>0</v>
      </c>
      <c r="Q173" s="60">
        <f t="shared" si="58"/>
        <v>7</v>
      </c>
      <c r="R173" s="60">
        <f t="shared" si="59"/>
        <v>1</v>
      </c>
      <c r="S173" s="60">
        <f t="shared" si="60"/>
        <v>1</v>
      </c>
      <c r="T173" s="60">
        <f t="shared" si="61"/>
        <v>0</v>
      </c>
      <c r="U173" s="60">
        <f t="shared" si="62"/>
        <v>0</v>
      </c>
      <c r="V173" s="60">
        <f t="shared" si="63"/>
        <v>1</v>
      </c>
      <c r="W173" s="60">
        <f t="shared" si="64"/>
        <v>0</v>
      </c>
    </row>
    <row r="174" spans="1:23" s="58" customFormat="1" x14ac:dyDescent="0.2">
      <c r="A174" s="50">
        <f t="shared" si="44"/>
        <v>427.5</v>
      </c>
      <c r="B174" s="51">
        <f t="shared" si="45"/>
        <v>452.5</v>
      </c>
      <c r="C174" s="52">
        <f t="shared" si="46"/>
        <v>0</v>
      </c>
      <c r="D174" s="53">
        <f t="shared" si="47"/>
        <v>0</v>
      </c>
      <c r="E174" s="54">
        <f t="shared" si="48"/>
        <v>7</v>
      </c>
      <c r="F174" s="55">
        <f t="shared" si="49"/>
        <v>1</v>
      </c>
      <c r="G174" s="56">
        <f t="shared" si="50"/>
        <v>1</v>
      </c>
      <c r="H174" s="57">
        <f t="shared" si="51"/>
        <v>0</v>
      </c>
      <c r="I174" s="51">
        <f t="shared" si="52"/>
        <v>0</v>
      </c>
      <c r="J174" s="51">
        <f t="shared" si="53"/>
        <v>1</v>
      </c>
      <c r="K174" s="51">
        <f t="shared" si="54"/>
        <v>1</v>
      </c>
      <c r="N174" s="59">
        <f t="shared" si="55"/>
        <v>452.5</v>
      </c>
      <c r="O174" s="60">
        <f t="shared" si="56"/>
        <v>0</v>
      </c>
      <c r="P174" s="60">
        <f t="shared" si="57"/>
        <v>0</v>
      </c>
      <c r="Q174" s="60">
        <f t="shared" si="58"/>
        <v>7</v>
      </c>
      <c r="R174" s="60">
        <f t="shared" si="59"/>
        <v>1</v>
      </c>
      <c r="S174" s="60">
        <f t="shared" si="60"/>
        <v>1</v>
      </c>
      <c r="T174" s="60">
        <f t="shared" si="61"/>
        <v>0</v>
      </c>
      <c r="U174" s="60">
        <f t="shared" si="62"/>
        <v>0</v>
      </c>
      <c r="V174" s="60">
        <f t="shared" si="63"/>
        <v>1</v>
      </c>
      <c r="W174" s="60">
        <f t="shared" si="64"/>
        <v>1</v>
      </c>
    </row>
    <row r="175" spans="1:23" s="58" customFormat="1" x14ac:dyDescent="0.2">
      <c r="A175" s="50">
        <f t="shared" si="44"/>
        <v>430</v>
      </c>
      <c r="B175" s="51">
        <f t="shared" si="45"/>
        <v>455</v>
      </c>
      <c r="C175" s="52">
        <f t="shared" si="46"/>
        <v>0</v>
      </c>
      <c r="D175" s="53">
        <f t="shared" si="47"/>
        <v>0</v>
      </c>
      <c r="E175" s="54">
        <f t="shared" si="48"/>
        <v>7</v>
      </c>
      <c r="F175" s="55">
        <f t="shared" si="49"/>
        <v>1</v>
      </c>
      <c r="G175" s="56">
        <f t="shared" si="50"/>
        <v>1</v>
      </c>
      <c r="H175" s="57">
        <f t="shared" si="51"/>
        <v>0</v>
      </c>
      <c r="I175" s="51">
        <f t="shared" si="52"/>
        <v>1</v>
      </c>
      <c r="J175" s="51">
        <f t="shared" si="53"/>
        <v>0</v>
      </c>
      <c r="K175" s="51">
        <f t="shared" si="54"/>
        <v>0</v>
      </c>
      <c r="N175" s="59">
        <f t="shared" si="55"/>
        <v>455</v>
      </c>
      <c r="O175" s="60">
        <f t="shared" si="56"/>
        <v>0</v>
      </c>
      <c r="P175" s="60">
        <f t="shared" si="57"/>
        <v>0</v>
      </c>
      <c r="Q175" s="60">
        <f t="shared" si="58"/>
        <v>7</v>
      </c>
      <c r="R175" s="60">
        <f t="shared" si="59"/>
        <v>1</v>
      </c>
      <c r="S175" s="60">
        <f t="shared" si="60"/>
        <v>1</v>
      </c>
      <c r="T175" s="60">
        <f t="shared" si="61"/>
        <v>0</v>
      </c>
      <c r="U175" s="60">
        <f t="shared" si="62"/>
        <v>1</v>
      </c>
      <c r="V175" s="60">
        <f t="shared" si="63"/>
        <v>0</v>
      </c>
      <c r="W175" s="60">
        <f t="shared" si="64"/>
        <v>0</v>
      </c>
    </row>
    <row r="176" spans="1:23" s="58" customFormat="1" x14ac:dyDescent="0.2">
      <c r="A176" s="50">
        <f t="shared" si="44"/>
        <v>432.5</v>
      </c>
      <c r="B176" s="51">
        <f t="shared" si="45"/>
        <v>457.5</v>
      </c>
      <c r="C176" s="52">
        <f t="shared" si="46"/>
        <v>0</v>
      </c>
      <c r="D176" s="53">
        <f t="shared" si="47"/>
        <v>0</v>
      </c>
      <c r="E176" s="54">
        <f t="shared" si="48"/>
        <v>7</v>
      </c>
      <c r="F176" s="55">
        <f t="shared" si="49"/>
        <v>1</v>
      </c>
      <c r="G176" s="56">
        <f t="shared" si="50"/>
        <v>1</v>
      </c>
      <c r="H176" s="57">
        <f t="shared" si="51"/>
        <v>0</v>
      </c>
      <c r="I176" s="51">
        <f t="shared" si="52"/>
        <v>1</v>
      </c>
      <c r="J176" s="51">
        <f t="shared" si="53"/>
        <v>0</v>
      </c>
      <c r="K176" s="51">
        <f t="shared" si="54"/>
        <v>1</v>
      </c>
      <c r="N176" s="59">
        <f t="shared" si="55"/>
        <v>457.5</v>
      </c>
      <c r="O176" s="60">
        <f t="shared" si="56"/>
        <v>0</v>
      </c>
      <c r="P176" s="60">
        <f t="shared" si="57"/>
        <v>0</v>
      </c>
      <c r="Q176" s="60">
        <f t="shared" si="58"/>
        <v>7</v>
      </c>
      <c r="R176" s="60">
        <f t="shared" si="59"/>
        <v>1</v>
      </c>
      <c r="S176" s="60">
        <f t="shared" si="60"/>
        <v>1</v>
      </c>
      <c r="T176" s="60">
        <f t="shared" si="61"/>
        <v>0</v>
      </c>
      <c r="U176" s="60">
        <f t="shared" si="62"/>
        <v>1</v>
      </c>
      <c r="V176" s="60">
        <f t="shared" si="63"/>
        <v>0</v>
      </c>
      <c r="W176" s="60">
        <f t="shared" si="64"/>
        <v>1</v>
      </c>
    </row>
    <row r="177" spans="1:23" s="58" customFormat="1" x14ac:dyDescent="0.2">
      <c r="A177" s="50">
        <f t="shared" si="44"/>
        <v>435</v>
      </c>
      <c r="B177" s="51">
        <f t="shared" si="45"/>
        <v>460</v>
      </c>
      <c r="C177" s="52">
        <f t="shared" si="46"/>
        <v>0</v>
      </c>
      <c r="D177" s="53">
        <f t="shared" si="47"/>
        <v>0</v>
      </c>
      <c r="E177" s="54">
        <f t="shared" si="48"/>
        <v>7</v>
      </c>
      <c r="F177" s="55">
        <f t="shared" si="49"/>
        <v>1</v>
      </c>
      <c r="G177" s="56">
        <f t="shared" si="50"/>
        <v>1</v>
      </c>
      <c r="H177" s="57">
        <f t="shared" si="51"/>
        <v>0</v>
      </c>
      <c r="I177" s="51">
        <f t="shared" si="52"/>
        <v>1</v>
      </c>
      <c r="J177" s="51">
        <f t="shared" si="53"/>
        <v>1</v>
      </c>
      <c r="K177" s="51">
        <f t="shared" si="54"/>
        <v>0</v>
      </c>
      <c r="N177" s="59">
        <f t="shared" si="55"/>
        <v>460</v>
      </c>
      <c r="O177" s="60">
        <f t="shared" si="56"/>
        <v>0</v>
      </c>
      <c r="P177" s="60">
        <f t="shared" si="57"/>
        <v>0</v>
      </c>
      <c r="Q177" s="60">
        <f t="shared" si="58"/>
        <v>7</v>
      </c>
      <c r="R177" s="60">
        <f t="shared" si="59"/>
        <v>1</v>
      </c>
      <c r="S177" s="60">
        <f t="shared" si="60"/>
        <v>1</v>
      </c>
      <c r="T177" s="60">
        <f t="shared" si="61"/>
        <v>0</v>
      </c>
      <c r="U177" s="60">
        <f t="shared" si="62"/>
        <v>1</v>
      </c>
      <c r="V177" s="60">
        <f t="shared" si="63"/>
        <v>1</v>
      </c>
      <c r="W177" s="60">
        <f t="shared" si="64"/>
        <v>0</v>
      </c>
    </row>
    <row r="178" spans="1:23" s="58" customFormat="1" x14ac:dyDescent="0.2">
      <c r="A178" s="50">
        <f t="shared" si="44"/>
        <v>437.5</v>
      </c>
      <c r="B178" s="51">
        <f t="shared" si="45"/>
        <v>462.5</v>
      </c>
      <c r="C178" s="52">
        <f t="shared" si="46"/>
        <v>0</v>
      </c>
      <c r="D178" s="53">
        <f t="shared" si="47"/>
        <v>0</v>
      </c>
      <c r="E178" s="54">
        <f t="shared" si="48"/>
        <v>7</v>
      </c>
      <c r="F178" s="55">
        <f t="shared" si="49"/>
        <v>1</v>
      </c>
      <c r="G178" s="56">
        <f t="shared" si="50"/>
        <v>1</v>
      </c>
      <c r="H178" s="57">
        <f t="shared" si="51"/>
        <v>0</v>
      </c>
      <c r="I178" s="51">
        <f t="shared" si="52"/>
        <v>1</v>
      </c>
      <c r="J178" s="51">
        <f t="shared" si="53"/>
        <v>1</v>
      </c>
      <c r="K178" s="51">
        <f t="shared" si="54"/>
        <v>1</v>
      </c>
      <c r="N178" s="59">
        <f t="shared" si="55"/>
        <v>462.5</v>
      </c>
      <c r="O178" s="60">
        <f t="shared" si="56"/>
        <v>0</v>
      </c>
      <c r="P178" s="60">
        <f t="shared" si="57"/>
        <v>0</v>
      </c>
      <c r="Q178" s="60">
        <f t="shared" si="58"/>
        <v>7</v>
      </c>
      <c r="R178" s="60">
        <f t="shared" si="59"/>
        <v>1</v>
      </c>
      <c r="S178" s="60">
        <f t="shared" si="60"/>
        <v>1</v>
      </c>
      <c r="T178" s="60">
        <f t="shared" si="61"/>
        <v>0</v>
      </c>
      <c r="U178" s="60">
        <f t="shared" si="62"/>
        <v>1</v>
      </c>
      <c r="V178" s="60">
        <f t="shared" si="63"/>
        <v>1</v>
      </c>
      <c r="W178" s="60">
        <f t="shared" si="64"/>
        <v>1</v>
      </c>
    </row>
    <row r="179" spans="1:23" s="58" customFormat="1" x14ac:dyDescent="0.2">
      <c r="A179" s="50">
        <f t="shared" si="44"/>
        <v>440</v>
      </c>
      <c r="B179" s="51">
        <f t="shared" si="45"/>
        <v>465</v>
      </c>
      <c r="C179" s="52">
        <f t="shared" si="46"/>
        <v>0</v>
      </c>
      <c r="D179" s="53">
        <f t="shared" si="47"/>
        <v>0</v>
      </c>
      <c r="E179" s="54">
        <f t="shared" si="48"/>
        <v>7</v>
      </c>
      <c r="F179" s="55">
        <f t="shared" si="49"/>
        <v>1</v>
      </c>
      <c r="G179" s="56">
        <f t="shared" si="50"/>
        <v>1</v>
      </c>
      <c r="H179" s="57">
        <f t="shared" si="51"/>
        <v>1</v>
      </c>
      <c r="I179" s="51">
        <f t="shared" si="52"/>
        <v>0</v>
      </c>
      <c r="J179" s="51">
        <f t="shared" si="53"/>
        <v>0</v>
      </c>
      <c r="K179" s="51">
        <f t="shared" si="54"/>
        <v>0</v>
      </c>
      <c r="N179" s="59">
        <f t="shared" si="55"/>
        <v>465</v>
      </c>
      <c r="O179" s="60">
        <f t="shared" si="56"/>
        <v>0</v>
      </c>
      <c r="P179" s="60">
        <f t="shared" si="57"/>
        <v>0</v>
      </c>
      <c r="Q179" s="60">
        <f t="shared" si="58"/>
        <v>7</v>
      </c>
      <c r="R179" s="60">
        <f t="shared" si="59"/>
        <v>1</v>
      </c>
      <c r="S179" s="60">
        <f t="shared" si="60"/>
        <v>1</v>
      </c>
      <c r="T179" s="60">
        <f t="shared" si="61"/>
        <v>1</v>
      </c>
      <c r="U179" s="60">
        <f t="shared" si="62"/>
        <v>0</v>
      </c>
      <c r="V179" s="60">
        <f t="shared" si="63"/>
        <v>0</v>
      </c>
      <c r="W179" s="60">
        <f t="shared" si="64"/>
        <v>0</v>
      </c>
    </row>
    <row r="180" spans="1:23" s="58" customFormat="1" x14ac:dyDescent="0.2">
      <c r="A180" s="50">
        <f t="shared" si="44"/>
        <v>442.5</v>
      </c>
      <c r="B180" s="51">
        <f t="shared" si="45"/>
        <v>467.5</v>
      </c>
      <c r="C180" s="52">
        <f t="shared" si="46"/>
        <v>0</v>
      </c>
      <c r="D180" s="53">
        <f t="shared" si="47"/>
        <v>0</v>
      </c>
      <c r="E180" s="54">
        <f t="shared" si="48"/>
        <v>7</v>
      </c>
      <c r="F180" s="55">
        <f t="shared" si="49"/>
        <v>1</v>
      </c>
      <c r="G180" s="56">
        <f t="shared" si="50"/>
        <v>1</v>
      </c>
      <c r="H180" s="57">
        <f t="shared" si="51"/>
        <v>1</v>
      </c>
      <c r="I180" s="51">
        <f t="shared" si="52"/>
        <v>0</v>
      </c>
      <c r="J180" s="51">
        <f t="shared" si="53"/>
        <v>0</v>
      </c>
      <c r="K180" s="51">
        <f t="shared" si="54"/>
        <v>1</v>
      </c>
      <c r="N180" s="59">
        <f t="shared" si="55"/>
        <v>467.5</v>
      </c>
      <c r="O180" s="60">
        <f t="shared" si="56"/>
        <v>0</v>
      </c>
      <c r="P180" s="60">
        <f t="shared" si="57"/>
        <v>0</v>
      </c>
      <c r="Q180" s="60">
        <f t="shared" si="58"/>
        <v>7</v>
      </c>
      <c r="R180" s="60">
        <f t="shared" si="59"/>
        <v>1</v>
      </c>
      <c r="S180" s="60">
        <f t="shared" si="60"/>
        <v>1</v>
      </c>
      <c r="T180" s="60">
        <f t="shared" si="61"/>
        <v>1</v>
      </c>
      <c r="U180" s="60">
        <f t="shared" si="62"/>
        <v>0</v>
      </c>
      <c r="V180" s="60">
        <f t="shared" si="63"/>
        <v>0</v>
      </c>
      <c r="W180" s="60">
        <f t="shared" si="64"/>
        <v>1</v>
      </c>
    </row>
    <row r="181" spans="1:23" s="58" customFormat="1" x14ac:dyDescent="0.2">
      <c r="A181" s="50">
        <f t="shared" si="44"/>
        <v>445</v>
      </c>
      <c r="B181" s="51">
        <f t="shared" si="45"/>
        <v>470</v>
      </c>
      <c r="C181" s="52">
        <f t="shared" si="46"/>
        <v>0</v>
      </c>
      <c r="D181" s="53">
        <f t="shared" si="47"/>
        <v>0</v>
      </c>
      <c r="E181" s="54">
        <f t="shared" si="48"/>
        <v>7</v>
      </c>
      <c r="F181" s="55">
        <f t="shared" si="49"/>
        <v>1</v>
      </c>
      <c r="G181" s="56">
        <f t="shared" si="50"/>
        <v>1</v>
      </c>
      <c r="H181" s="57">
        <f t="shared" si="51"/>
        <v>1</v>
      </c>
      <c r="I181" s="51">
        <f t="shared" si="52"/>
        <v>0</v>
      </c>
      <c r="J181" s="51">
        <f t="shared" si="53"/>
        <v>1</v>
      </c>
      <c r="K181" s="51">
        <f t="shared" si="54"/>
        <v>0</v>
      </c>
      <c r="N181" s="59">
        <f t="shared" si="55"/>
        <v>470</v>
      </c>
      <c r="O181" s="60">
        <f t="shared" si="56"/>
        <v>0</v>
      </c>
      <c r="P181" s="60">
        <f t="shared" si="57"/>
        <v>0</v>
      </c>
      <c r="Q181" s="60">
        <f t="shared" si="58"/>
        <v>7</v>
      </c>
      <c r="R181" s="60">
        <f t="shared" si="59"/>
        <v>1</v>
      </c>
      <c r="S181" s="60">
        <f t="shared" si="60"/>
        <v>1</v>
      </c>
      <c r="T181" s="60">
        <f t="shared" si="61"/>
        <v>1</v>
      </c>
      <c r="U181" s="60">
        <f t="shared" si="62"/>
        <v>0</v>
      </c>
      <c r="V181" s="60">
        <f t="shared" si="63"/>
        <v>1</v>
      </c>
      <c r="W181" s="60">
        <f t="shared" si="64"/>
        <v>0</v>
      </c>
    </row>
    <row r="182" spans="1:23" s="58" customFormat="1" x14ac:dyDescent="0.2">
      <c r="A182" s="50">
        <f t="shared" si="44"/>
        <v>447.5</v>
      </c>
      <c r="B182" s="51">
        <f t="shared" si="45"/>
        <v>472.5</v>
      </c>
      <c r="C182" s="52">
        <f t="shared" si="46"/>
        <v>0</v>
      </c>
      <c r="D182" s="53">
        <f t="shared" si="47"/>
        <v>0</v>
      </c>
      <c r="E182" s="54">
        <f t="shared" si="48"/>
        <v>7</v>
      </c>
      <c r="F182" s="55">
        <f t="shared" si="49"/>
        <v>1</v>
      </c>
      <c r="G182" s="56">
        <f t="shared" si="50"/>
        <v>1</v>
      </c>
      <c r="H182" s="57">
        <f t="shared" si="51"/>
        <v>1</v>
      </c>
      <c r="I182" s="51">
        <f t="shared" si="52"/>
        <v>0</v>
      </c>
      <c r="J182" s="51">
        <f t="shared" si="53"/>
        <v>1</v>
      </c>
      <c r="K182" s="51">
        <f t="shared" si="54"/>
        <v>1</v>
      </c>
      <c r="N182" s="59">
        <f t="shared" si="55"/>
        <v>472.5</v>
      </c>
      <c r="O182" s="60">
        <f t="shared" si="56"/>
        <v>0</v>
      </c>
      <c r="P182" s="60">
        <f t="shared" si="57"/>
        <v>0</v>
      </c>
      <c r="Q182" s="60">
        <f t="shared" si="58"/>
        <v>7</v>
      </c>
      <c r="R182" s="60">
        <f t="shared" si="59"/>
        <v>1</v>
      </c>
      <c r="S182" s="60">
        <f t="shared" si="60"/>
        <v>1</v>
      </c>
      <c r="T182" s="60">
        <f t="shared" si="61"/>
        <v>1</v>
      </c>
      <c r="U182" s="60">
        <f t="shared" si="62"/>
        <v>0</v>
      </c>
      <c r="V182" s="60">
        <f t="shared" si="63"/>
        <v>1</v>
      </c>
      <c r="W182" s="60">
        <f t="shared" si="64"/>
        <v>1</v>
      </c>
    </row>
    <row r="183" spans="1:23" s="58" customFormat="1" x14ac:dyDescent="0.2">
      <c r="A183" s="50">
        <f t="shared" si="44"/>
        <v>450</v>
      </c>
      <c r="B183" s="51">
        <f t="shared" si="45"/>
        <v>475</v>
      </c>
      <c r="C183" s="52">
        <f t="shared" si="46"/>
        <v>0</v>
      </c>
      <c r="D183" s="53">
        <f t="shared" si="47"/>
        <v>0</v>
      </c>
      <c r="E183" s="54">
        <f t="shared" si="48"/>
        <v>7</v>
      </c>
      <c r="F183" s="55">
        <f t="shared" si="49"/>
        <v>1</v>
      </c>
      <c r="G183" s="56">
        <f t="shared" si="50"/>
        <v>1</v>
      </c>
      <c r="H183" s="57">
        <f t="shared" si="51"/>
        <v>1</v>
      </c>
      <c r="I183" s="51">
        <f t="shared" si="52"/>
        <v>1</v>
      </c>
      <c r="J183" s="51">
        <f t="shared" si="53"/>
        <v>0</v>
      </c>
      <c r="K183" s="51">
        <f t="shared" si="54"/>
        <v>0</v>
      </c>
      <c r="N183" s="59">
        <f t="shared" si="55"/>
        <v>475</v>
      </c>
      <c r="O183" s="60">
        <f t="shared" si="56"/>
        <v>0</v>
      </c>
      <c r="P183" s="60">
        <f t="shared" si="57"/>
        <v>0</v>
      </c>
      <c r="Q183" s="60">
        <f t="shared" si="58"/>
        <v>7</v>
      </c>
      <c r="R183" s="60">
        <f t="shared" si="59"/>
        <v>1</v>
      </c>
      <c r="S183" s="60">
        <f t="shared" si="60"/>
        <v>1</v>
      </c>
      <c r="T183" s="60">
        <f t="shared" si="61"/>
        <v>1</v>
      </c>
      <c r="U183" s="60">
        <f t="shared" si="62"/>
        <v>1</v>
      </c>
      <c r="V183" s="60">
        <f t="shared" si="63"/>
        <v>0</v>
      </c>
      <c r="W183" s="60">
        <f t="shared" si="64"/>
        <v>0</v>
      </c>
    </row>
    <row r="184" spans="1:23" s="58" customFormat="1" x14ac:dyDescent="0.2">
      <c r="A184" s="50">
        <f t="shared" si="44"/>
        <v>452.5</v>
      </c>
      <c r="B184" s="51">
        <f t="shared" si="45"/>
        <v>477.5</v>
      </c>
      <c r="C184" s="52">
        <f t="shared" si="46"/>
        <v>0</v>
      </c>
      <c r="D184" s="53">
        <f t="shared" si="47"/>
        <v>0</v>
      </c>
      <c r="E184" s="54">
        <f t="shared" si="48"/>
        <v>7</v>
      </c>
      <c r="F184" s="55">
        <f t="shared" si="49"/>
        <v>1</v>
      </c>
      <c r="G184" s="56">
        <f t="shared" si="50"/>
        <v>1</v>
      </c>
      <c r="H184" s="57">
        <f t="shared" si="51"/>
        <v>1</v>
      </c>
      <c r="I184" s="51">
        <f t="shared" si="52"/>
        <v>1</v>
      </c>
      <c r="J184" s="51">
        <f t="shared" si="53"/>
        <v>0</v>
      </c>
      <c r="K184" s="51">
        <f t="shared" si="54"/>
        <v>1</v>
      </c>
      <c r="N184" s="59">
        <f t="shared" si="55"/>
        <v>477.5</v>
      </c>
      <c r="O184" s="60">
        <f t="shared" si="56"/>
        <v>0</v>
      </c>
      <c r="P184" s="60">
        <f t="shared" si="57"/>
        <v>0</v>
      </c>
      <c r="Q184" s="60">
        <f t="shared" si="58"/>
        <v>7</v>
      </c>
      <c r="R184" s="60">
        <f t="shared" si="59"/>
        <v>1</v>
      </c>
      <c r="S184" s="60">
        <f t="shared" si="60"/>
        <v>1</v>
      </c>
      <c r="T184" s="60">
        <f t="shared" si="61"/>
        <v>1</v>
      </c>
      <c r="U184" s="60">
        <f t="shared" si="62"/>
        <v>1</v>
      </c>
      <c r="V184" s="60">
        <f t="shared" si="63"/>
        <v>0</v>
      </c>
      <c r="W184" s="60">
        <f t="shared" si="64"/>
        <v>1</v>
      </c>
    </row>
    <row r="185" spans="1:23" s="58" customFormat="1" x14ac:dyDescent="0.2">
      <c r="A185" s="50">
        <f t="shared" si="44"/>
        <v>455</v>
      </c>
      <c r="B185" s="51">
        <f t="shared" si="45"/>
        <v>480</v>
      </c>
      <c r="C185" s="52">
        <f t="shared" si="46"/>
        <v>0</v>
      </c>
      <c r="D185" s="53">
        <f t="shared" si="47"/>
        <v>0</v>
      </c>
      <c r="E185" s="54">
        <f t="shared" si="48"/>
        <v>7</v>
      </c>
      <c r="F185" s="55">
        <f t="shared" si="49"/>
        <v>1</v>
      </c>
      <c r="G185" s="56">
        <f t="shared" si="50"/>
        <v>1</v>
      </c>
      <c r="H185" s="57">
        <f t="shared" si="51"/>
        <v>1</v>
      </c>
      <c r="I185" s="51">
        <f t="shared" si="52"/>
        <v>1</v>
      </c>
      <c r="J185" s="51">
        <f t="shared" si="53"/>
        <v>1</v>
      </c>
      <c r="K185" s="51">
        <f t="shared" si="54"/>
        <v>0</v>
      </c>
      <c r="N185" s="59">
        <f t="shared" si="55"/>
        <v>480</v>
      </c>
      <c r="O185" s="60">
        <f t="shared" si="56"/>
        <v>0</v>
      </c>
      <c r="P185" s="60">
        <f t="shared" si="57"/>
        <v>0</v>
      </c>
      <c r="Q185" s="60">
        <f t="shared" si="58"/>
        <v>7</v>
      </c>
      <c r="R185" s="60">
        <f t="shared" si="59"/>
        <v>1</v>
      </c>
      <c r="S185" s="60">
        <f t="shared" si="60"/>
        <v>1</v>
      </c>
      <c r="T185" s="60">
        <f t="shared" si="61"/>
        <v>1</v>
      </c>
      <c r="U185" s="60">
        <f t="shared" si="62"/>
        <v>1</v>
      </c>
      <c r="V185" s="60">
        <f t="shared" si="63"/>
        <v>1</v>
      </c>
      <c r="W185" s="60">
        <f t="shared" si="64"/>
        <v>0</v>
      </c>
    </row>
    <row r="186" spans="1:23" s="58" customFormat="1" x14ac:dyDescent="0.2">
      <c r="A186" s="50">
        <f t="shared" si="44"/>
        <v>457.5</v>
      </c>
      <c r="B186" s="51">
        <f t="shared" si="45"/>
        <v>482.5</v>
      </c>
      <c r="C186" s="52">
        <f t="shared" si="46"/>
        <v>0</v>
      </c>
      <c r="D186" s="53">
        <f t="shared" si="47"/>
        <v>0</v>
      </c>
      <c r="E186" s="54">
        <f t="shared" si="48"/>
        <v>7</v>
      </c>
      <c r="F186" s="55">
        <f t="shared" si="49"/>
        <v>1</v>
      </c>
      <c r="G186" s="56">
        <f t="shared" si="50"/>
        <v>1</v>
      </c>
      <c r="H186" s="57">
        <f t="shared" si="51"/>
        <v>1</v>
      </c>
      <c r="I186" s="51">
        <f t="shared" si="52"/>
        <v>1</v>
      </c>
      <c r="J186" s="51">
        <f t="shared" si="53"/>
        <v>1</v>
      </c>
      <c r="K186" s="51">
        <f t="shared" si="54"/>
        <v>1</v>
      </c>
      <c r="N186" s="59">
        <f t="shared" si="55"/>
        <v>482.5</v>
      </c>
      <c r="O186" s="60">
        <f t="shared" si="56"/>
        <v>0</v>
      </c>
      <c r="P186" s="60">
        <f t="shared" si="57"/>
        <v>0</v>
      </c>
      <c r="Q186" s="60">
        <f t="shared" si="58"/>
        <v>7</v>
      </c>
      <c r="R186" s="60">
        <f t="shared" si="59"/>
        <v>1</v>
      </c>
      <c r="S186" s="60">
        <f t="shared" si="60"/>
        <v>1</v>
      </c>
      <c r="T186" s="60">
        <f t="shared" si="61"/>
        <v>1</v>
      </c>
      <c r="U186" s="60">
        <f t="shared" si="62"/>
        <v>1</v>
      </c>
      <c r="V186" s="60">
        <f t="shared" si="63"/>
        <v>1</v>
      </c>
      <c r="W186" s="60">
        <f t="shared" si="64"/>
        <v>1</v>
      </c>
    </row>
    <row r="187" spans="1:23" s="58" customFormat="1" x14ac:dyDescent="0.2">
      <c r="A187" s="50">
        <f t="shared" si="44"/>
        <v>460</v>
      </c>
      <c r="B187" s="51">
        <f t="shared" si="45"/>
        <v>485</v>
      </c>
      <c r="C187" s="52">
        <f t="shared" si="46"/>
        <v>0</v>
      </c>
      <c r="D187" s="53">
        <f t="shared" si="47"/>
        <v>0</v>
      </c>
      <c r="E187" s="54">
        <f t="shared" si="48"/>
        <v>7</v>
      </c>
      <c r="F187" s="55">
        <f t="shared" si="49"/>
        <v>1</v>
      </c>
      <c r="G187" s="56">
        <f t="shared" si="50"/>
        <v>1</v>
      </c>
      <c r="H187" s="57">
        <f t="shared" si="51"/>
        <v>1</v>
      </c>
      <c r="I187" s="51">
        <f t="shared" si="52"/>
        <v>1</v>
      </c>
      <c r="J187" s="51">
        <f t="shared" si="53"/>
        <v>1</v>
      </c>
      <c r="K187" s="51">
        <f t="shared" si="54"/>
        <v>1</v>
      </c>
      <c r="N187" s="59">
        <f t="shared" si="55"/>
        <v>485</v>
      </c>
      <c r="O187" s="60">
        <f t="shared" si="56"/>
        <v>0</v>
      </c>
      <c r="P187" s="60">
        <f t="shared" si="57"/>
        <v>0</v>
      </c>
      <c r="Q187" s="60">
        <f t="shared" si="58"/>
        <v>7</v>
      </c>
      <c r="R187" s="60">
        <f t="shared" si="59"/>
        <v>1</v>
      </c>
      <c r="S187" s="60">
        <f t="shared" si="60"/>
        <v>1</v>
      </c>
      <c r="T187" s="60">
        <f t="shared" si="61"/>
        <v>1</v>
      </c>
      <c r="U187" s="60">
        <f t="shared" si="62"/>
        <v>1</v>
      </c>
      <c r="V187" s="60">
        <f t="shared" si="63"/>
        <v>1</v>
      </c>
      <c r="W187" s="60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topLeftCell="A2" workbookViewId="0"/>
  </sheetViews>
  <sheetFormatPr defaultColWidth="9.140625" defaultRowHeight="18" x14ac:dyDescent="0.25"/>
  <cols>
    <col min="1" max="1" width="8.85546875" style="67" customWidth="1"/>
    <col min="2" max="2" width="38.140625" style="77" customWidth="1"/>
    <col min="3" max="4" width="13.42578125" style="77" customWidth="1"/>
    <col min="5" max="5" width="9.140625" style="67"/>
    <col min="6" max="9" width="9.140625" style="68"/>
    <col min="10" max="10" width="9.140625" style="68" hidden="1" customWidth="1"/>
    <col min="11" max="11" width="9.140625" style="69" hidden="1" customWidth="1"/>
    <col min="12" max="13" width="6.42578125" style="69" hidden="1" customWidth="1"/>
    <col min="14" max="17" width="9.140625" style="68" hidden="1" customWidth="1"/>
    <col min="18" max="18" width="18.42578125" style="68" hidden="1" customWidth="1"/>
    <col min="19" max="20" width="9.140625" style="68" hidden="1" customWidth="1"/>
    <col min="21" max="16384" width="9.140625" style="68"/>
  </cols>
  <sheetData>
    <row r="1" spans="1:19" ht="16.5" hidden="1" customHeight="1" x14ac:dyDescent="0.25">
      <c r="A1" s="65"/>
      <c r="B1" s="66"/>
      <c r="C1" s="66"/>
      <c r="D1" s="66"/>
    </row>
    <row r="2" spans="1:19" ht="15" customHeight="1" x14ac:dyDescent="0.25">
      <c r="A2" s="65"/>
      <c r="B2" s="66"/>
      <c r="C2" s="66"/>
      <c r="D2" s="66"/>
      <c r="K2" s="70" t="s">
        <v>42</v>
      </c>
      <c r="L2" s="70" t="s">
        <v>121</v>
      </c>
      <c r="M2" s="70" t="s">
        <v>122</v>
      </c>
      <c r="O2" s="70" t="s">
        <v>120</v>
      </c>
      <c r="Q2" s="71" t="str">
        <f ca="1">OFFSET(P2,MATCH(C11,O3:O7,0),1)</f>
        <v>PL</v>
      </c>
      <c r="R2" s="71" t="s">
        <v>134</v>
      </c>
      <c r="S2" s="70" t="s">
        <v>132</v>
      </c>
    </row>
    <row r="3" spans="1:19" ht="15" customHeight="1" x14ac:dyDescent="0.25">
      <c r="A3" s="427" t="s">
        <v>177</v>
      </c>
      <c r="B3" s="428"/>
      <c r="C3" s="66"/>
      <c r="D3" s="66"/>
      <c r="K3" s="69">
        <v>43</v>
      </c>
      <c r="L3" s="69">
        <v>97</v>
      </c>
      <c r="M3" s="69">
        <v>44</v>
      </c>
      <c r="N3" s="69"/>
      <c r="O3" s="69" t="s">
        <v>127</v>
      </c>
      <c r="Q3" s="68" t="s">
        <v>109</v>
      </c>
      <c r="R3" s="68" t="e">
        <f ca="1">CONCATENATE("1-",$P$11,IF($P$12&gt;1,"",CONCATENATE("-",$C$8)),"-",$Q$2)</f>
        <v>#N/A</v>
      </c>
      <c r="S3" s="69" t="e">
        <f ca="1">IF(OR(C5="Best Lifter Men",C5="Best Lifter Women"),B26,MATCH(R3,ContestResults!AD:AD,0))</f>
        <v>#N/A</v>
      </c>
    </row>
    <row r="4" spans="1:19" ht="15" customHeight="1" x14ac:dyDescent="0.25">
      <c r="A4" s="428"/>
      <c r="B4" s="428"/>
      <c r="C4" s="429" t="s">
        <v>139</v>
      </c>
      <c r="D4" s="429"/>
      <c r="K4" s="69">
        <v>47</v>
      </c>
      <c r="L4" s="69">
        <v>105</v>
      </c>
      <c r="M4" s="69">
        <v>48</v>
      </c>
      <c r="N4" s="69"/>
      <c r="O4" s="69" t="s">
        <v>128</v>
      </c>
      <c r="Q4" s="68" t="s">
        <v>116</v>
      </c>
      <c r="R4" s="68" t="e">
        <f ca="1">CONCATENATE("2-",$P$11,IF($P$12&gt;1,"",CONCATENATE("-",$C$8)),"-",$Q$2)</f>
        <v>#N/A</v>
      </c>
      <c r="S4" s="69" t="e">
        <f ca="1">MATCH(R4,ContestResults!AD:AD,0)</f>
        <v>#N/A</v>
      </c>
    </row>
    <row r="5" spans="1:19" ht="15" customHeight="1" x14ac:dyDescent="0.25">
      <c r="A5" s="428"/>
      <c r="B5" s="428"/>
      <c r="C5" s="430" t="s">
        <v>170</v>
      </c>
      <c r="D5" s="430"/>
      <c r="K5" s="69">
        <v>52</v>
      </c>
      <c r="L5" s="69">
        <v>114</v>
      </c>
      <c r="M5" s="69">
        <v>52</v>
      </c>
      <c r="N5" s="69"/>
      <c r="O5" s="69" t="s">
        <v>129</v>
      </c>
      <c r="Q5" s="68" t="s">
        <v>117</v>
      </c>
      <c r="R5" s="68" t="e">
        <f ca="1">CONCATENATE("3-",$P$11,IF($P$12&gt;1,"",CONCATENATE("-",$C$8)),"-",$Q$2)</f>
        <v>#N/A</v>
      </c>
      <c r="S5" s="69" t="e">
        <f ca="1">MATCH(R5,ContestResults!AD:AD,0)</f>
        <v>#N/A</v>
      </c>
    </row>
    <row r="6" spans="1:19" ht="15" customHeight="1" x14ac:dyDescent="0.25">
      <c r="A6" s="428"/>
      <c r="B6" s="428"/>
      <c r="C6" s="72"/>
      <c r="D6" s="66"/>
      <c r="K6" s="69">
        <v>53</v>
      </c>
      <c r="L6" s="69">
        <v>123</v>
      </c>
      <c r="M6" s="69">
        <v>56</v>
      </c>
      <c r="N6" s="69"/>
      <c r="O6" s="69" t="s">
        <v>130</v>
      </c>
      <c r="Q6" s="68" t="s">
        <v>118</v>
      </c>
      <c r="R6" s="68" t="e">
        <f ca="1">CONCATENATE("4-",$P$11,IF($P$12&gt;1,"",CONCATENATE("-",$C$8)),"-",$Q$2)</f>
        <v>#N/A</v>
      </c>
      <c r="S6" s="69" t="e">
        <f ca="1">MATCH(R6,ContestResults!AD:AD,0)</f>
        <v>#N/A</v>
      </c>
    </row>
    <row r="7" spans="1:19" ht="15" customHeight="1" x14ac:dyDescent="0.25">
      <c r="A7" s="428"/>
      <c r="B7" s="428"/>
      <c r="C7" s="431" t="str">
        <f>CONCATENATE("WtCls ",RIGHT('Weigh-In'!E2,4))</f>
        <v>WtCls (kg)</v>
      </c>
      <c r="D7" s="431"/>
      <c r="K7" s="69">
        <v>57</v>
      </c>
      <c r="L7" s="69">
        <v>132</v>
      </c>
      <c r="M7" s="69">
        <v>60</v>
      </c>
      <c r="N7" s="69"/>
      <c r="O7" s="69" t="s">
        <v>131</v>
      </c>
      <c r="Q7" s="68" t="s">
        <v>119</v>
      </c>
      <c r="R7" s="68" t="e">
        <f ca="1">CONCATENATE("5-",$P$11,IF($P$12&gt;1,"",CONCATENATE("-",$C$8)),"-",$Q$2)</f>
        <v>#N/A</v>
      </c>
      <c r="S7" s="69" t="e">
        <f ca="1">MATCH(R7,ContestResults!AD:AD,0)</f>
        <v>#N/A</v>
      </c>
    </row>
    <row r="8" spans="1:19" ht="15" customHeight="1" x14ac:dyDescent="0.25">
      <c r="A8" s="428"/>
      <c r="B8" s="428"/>
      <c r="C8" s="430">
        <v>83</v>
      </c>
      <c r="D8" s="430"/>
      <c r="K8" s="69">
        <v>59</v>
      </c>
      <c r="L8" s="69">
        <v>148</v>
      </c>
      <c r="M8" s="69">
        <v>67.5</v>
      </c>
      <c r="N8" s="69"/>
      <c r="O8" s="69"/>
      <c r="S8" s="71"/>
    </row>
    <row r="9" spans="1:19" ht="15" customHeight="1" x14ac:dyDescent="0.25">
      <c r="A9" s="428"/>
      <c r="B9" s="428"/>
      <c r="C9" s="72"/>
      <c r="D9" s="66"/>
      <c r="K9" s="69">
        <v>63</v>
      </c>
      <c r="L9" s="69">
        <v>165</v>
      </c>
      <c r="M9" s="69">
        <v>75</v>
      </c>
      <c r="N9" s="69"/>
      <c r="O9" s="69" t="s">
        <v>135</v>
      </c>
      <c r="S9" s="71"/>
    </row>
    <row r="10" spans="1:19" ht="15" customHeight="1" x14ac:dyDescent="0.25">
      <c r="A10" s="428"/>
      <c r="B10" s="428"/>
      <c r="C10" s="429" t="s">
        <v>120</v>
      </c>
      <c r="D10" s="429"/>
      <c r="K10" s="69">
        <v>66</v>
      </c>
      <c r="L10" s="69">
        <v>181</v>
      </c>
      <c r="M10" s="69">
        <v>82.5</v>
      </c>
      <c r="N10" s="69"/>
      <c r="O10" s="69" t="s">
        <v>136</v>
      </c>
      <c r="P10" s="68" t="str">
        <f>CONCATENATE("Setup!C12:C",COUNTA(Setup!B:B)+8)</f>
        <v>Setup!C12:C14</v>
      </c>
      <c r="S10" s="71"/>
    </row>
    <row r="11" spans="1:19" ht="15" customHeight="1" x14ac:dyDescent="0.25">
      <c r="A11" s="428"/>
      <c r="B11" s="428"/>
      <c r="C11" s="430" t="s">
        <v>127</v>
      </c>
      <c r="D11" s="430"/>
      <c r="K11" s="69">
        <v>72</v>
      </c>
      <c r="L11" s="69">
        <v>198</v>
      </c>
      <c r="M11" s="69">
        <v>90</v>
      </c>
      <c r="N11" s="69"/>
      <c r="O11" s="69" t="s">
        <v>137</v>
      </c>
      <c r="P11" s="69" t="e">
        <f ca="1">OFFSET(Setup!B1,MATCH(C5,Setup!C:C,0)-1,0)</f>
        <v>#N/A</v>
      </c>
      <c r="S11" s="71"/>
    </row>
    <row r="12" spans="1:19" ht="15" customHeight="1" x14ac:dyDescent="0.25">
      <c r="A12" s="65"/>
      <c r="B12" s="66"/>
      <c r="C12" s="66"/>
      <c r="D12" s="66"/>
      <c r="K12" s="69">
        <v>74</v>
      </c>
      <c r="L12" s="69" t="s">
        <v>123</v>
      </c>
      <c r="M12" s="69" t="s">
        <v>125</v>
      </c>
      <c r="N12" s="69"/>
      <c r="O12" s="69" t="s">
        <v>138</v>
      </c>
      <c r="P12" s="69" t="e">
        <f ca="1">OFFSET(Setup!F1,MATCH(C5,Setup!C:C,0)-1,0)</f>
        <v>#N/A</v>
      </c>
      <c r="S12" s="71"/>
    </row>
    <row r="13" spans="1:19" ht="15" customHeight="1" x14ac:dyDescent="0.25">
      <c r="A13" s="78" t="s">
        <v>140</v>
      </c>
      <c r="B13" s="66" t="s">
        <v>0</v>
      </c>
      <c r="C13" s="66" t="str">
        <f>IF(Lifting!F2="Lb","Pounds","Kilos")</f>
        <v>Kilos</v>
      </c>
      <c r="D13" s="72" t="e">
        <f ca="1">IF(P12=1,"",IF(P12=2,"Wilks Pts","Wilks-Age Pts"))</f>
        <v>#N/A</v>
      </c>
      <c r="K13" s="69">
        <v>83</v>
      </c>
      <c r="L13" s="69">
        <v>220</v>
      </c>
      <c r="M13" s="69">
        <v>100</v>
      </c>
      <c r="N13" s="69"/>
      <c r="O13" s="69"/>
      <c r="S13" s="71"/>
    </row>
    <row r="14" spans="1:19" ht="15" customHeight="1" x14ac:dyDescent="0.25">
      <c r="A14" s="78" t="str">
        <f ca="1">IF(B14="","",1)</f>
        <v/>
      </c>
      <c r="B14" s="73" t="str">
        <f ca="1">IF(ISERROR(S3),"",OFFSET(ContestResults!$A$1,S3-1,0))</f>
        <v/>
      </c>
      <c r="C14" s="66" t="str">
        <f ca="1">IF(ISERROR(S3),"",OFFSET(ContestResults!$Z$1,S3-1,0))</f>
        <v/>
      </c>
      <c r="D14" s="74" t="e">
        <f ca="1">IF(OR($P$12=1,ISERROR(S3)),"",IF(P12=2,OFFSET(ContestResults!$AA$1,S3-1,0),OFFSET(ContestResults!$AB$1,S3-1,0)))</f>
        <v>#N/A</v>
      </c>
      <c r="K14" s="69">
        <v>84</v>
      </c>
      <c r="L14" s="69">
        <v>242</v>
      </c>
      <c r="M14" s="69">
        <v>110</v>
      </c>
      <c r="N14" s="69"/>
      <c r="O14" s="69"/>
      <c r="S14" s="71"/>
    </row>
    <row r="15" spans="1:19" ht="15" customHeight="1" x14ac:dyDescent="0.25">
      <c r="A15" s="78" t="str">
        <f ca="1">IF(B15="","",2)</f>
        <v/>
      </c>
      <c r="B15" s="73" t="str">
        <f ca="1">IF(ISERROR(S4),"",OFFSET(ContestResults!$A$1,S4-1,0))</f>
        <v/>
      </c>
      <c r="C15" s="66" t="str">
        <f ca="1">IF(ISERROR(S4),"",OFFSET(ContestResults!$Z$1,S4-1,0))</f>
        <v/>
      </c>
      <c r="D15" s="74" t="e">
        <f ca="1">IF(OR($P$12=1,ISERROR(S4)),"",IF(P12=2,OFFSET(ContestResults!$AA$1,S4-1,0),OFFSET(ContestResults!$AB$1,S4-1,0)))</f>
        <v>#N/A</v>
      </c>
      <c r="K15" s="69" t="s">
        <v>167</v>
      </c>
      <c r="L15" s="69">
        <v>275</v>
      </c>
      <c r="M15" s="69">
        <v>125</v>
      </c>
      <c r="N15" s="69"/>
      <c r="O15" s="69"/>
      <c r="S15" s="71"/>
    </row>
    <row r="16" spans="1:19" ht="15" customHeight="1" x14ac:dyDescent="0.25">
      <c r="A16" s="78" t="str">
        <f ca="1">IF(B16="","",3)</f>
        <v/>
      </c>
      <c r="B16" s="73" t="str">
        <f ca="1">IF(ISERROR(S5),"",OFFSET(ContestResults!$A$1,S5-1,0))</f>
        <v/>
      </c>
      <c r="C16" s="66" t="str">
        <f ca="1">IF(ISERROR(S5),"",OFFSET(ContestResults!$Z$1,S5-1,0))</f>
        <v/>
      </c>
      <c r="D16" s="74" t="e">
        <f ca="1">IF(OR($P$12=1,ISERROR(S5)),"",IF(P12=2,OFFSET(ContestResults!$AA$1,S5-1,0),OFFSET(ContestResults!$AB$1,S5-1,0)))</f>
        <v>#N/A</v>
      </c>
      <c r="K16" s="69">
        <v>93</v>
      </c>
      <c r="L16" s="69" t="s">
        <v>124</v>
      </c>
      <c r="M16" s="69" t="s">
        <v>126</v>
      </c>
      <c r="N16" s="69"/>
      <c r="O16" s="69"/>
      <c r="S16" s="71"/>
    </row>
    <row r="17" spans="1:19" ht="15" customHeight="1" x14ac:dyDescent="0.25">
      <c r="A17" s="78" t="str">
        <f ca="1">IF(B17="","",4)</f>
        <v/>
      </c>
      <c r="B17" s="73" t="str">
        <f ca="1">IF(ISERROR(S6),"",OFFSET(ContestResults!$A$1,S6-1,0))</f>
        <v/>
      </c>
      <c r="C17" s="66" t="str">
        <f ca="1">IF(ISERROR(S6),"",OFFSET(ContestResults!$Z$1,S6-1,0))</f>
        <v/>
      </c>
      <c r="D17" s="74" t="e">
        <f ca="1">IF(OR($P$12=1,ISERROR(S6)),"",IF(P12=2,OFFSET(ContestResults!$AA$1,S6-1,0),OFFSET(ContestResults!$AB$1,S6-1,0)))</f>
        <v>#N/A</v>
      </c>
      <c r="K17" s="69">
        <v>105</v>
      </c>
      <c r="L17" s="70"/>
      <c r="M17" s="70"/>
      <c r="N17" s="69"/>
      <c r="O17" s="70"/>
      <c r="Q17" s="71"/>
      <c r="R17" s="71"/>
      <c r="S17" s="71"/>
    </row>
    <row r="18" spans="1:19" ht="15" customHeight="1" x14ac:dyDescent="0.25">
      <c r="A18" s="78" t="str">
        <f ca="1">IF(B18="","",5)</f>
        <v/>
      </c>
      <c r="B18" s="73" t="str">
        <f ca="1">IF(ISERROR(S7),"",OFFSET(ContestResults!$A$1,S7-1,0))</f>
        <v/>
      </c>
      <c r="C18" s="66" t="str">
        <f ca="1">IF(ISERROR(S7),"",OFFSET(ContestResults!$Z$1,S7-1,0))</f>
        <v/>
      </c>
      <c r="D18" s="74" t="e">
        <f ca="1">IF(OR($P$12=1,ISERROR(S7)),"",IF(P12=2,OFFSET(ContestResults!$AA$1,S7-1,0),OFFSET(ContestResults!$AB$1,S7-1,0)))</f>
        <v>#N/A</v>
      </c>
      <c r="K18" s="69">
        <v>120</v>
      </c>
      <c r="L18" s="70"/>
      <c r="M18" s="70"/>
      <c r="O18" s="70"/>
      <c r="Q18" s="71"/>
      <c r="R18" s="71"/>
      <c r="S18" s="71"/>
    </row>
    <row r="19" spans="1:19" ht="15" customHeight="1" x14ac:dyDescent="0.25">
      <c r="A19" s="78"/>
      <c r="B19" s="66"/>
      <c r="C19" s="66"/>
      <c r="D19" s="66"/>
      <c r="K19" s="69" t="s">
        <v>165</v>
      </c>
      <c r="L19" s="70"/>
      <c r="M19" s="70"/>
      <c r="O19" s="70"/>
      <c r="Q19" s="71"/>
      <c r="R19" s="71"/>
      <c r="S19" s="71"/>
    </row>
    <row r="20" spans="1:19" ht="15" customHeight="1" x14ac:dyDescent="0.25">
      <c r="A20" s="78"/>
      <c r="B20" s="66"/>
      <c r="C20" s="66"/>
      <c r="D20" s="66"/>
      <c r="K20" s="70"/>
      <c r="L20" s="70"/>
      <c r="M20" s="70"/>
      <c r="O20" s="70"/>
      <c r="Q20" s="71"/>
      <c r="R20" s="71"/>
      <c r="S20" s="71"/>
    </row>
    <row r="21" spans="1:19" ht="15" customHeight="1" x14ac:dyDescent="0.25">
      <c r="A21" s="78"/>
      <c r="B21" s="66"/>
      <c r="C21" s="66"/>
      <c r="D21" s="66"/>
      <c r="K21" s="70"/>
      <c r="L21" s="70"/>
      <c r="M21" s="70"/>
      <c r="O21" s="70"/>
      <c r="Q21" s="71"/>
      <c r="R21" s="71"/>
      <c r="S21" s="71"/>
    </row>
    <row r="22" spans="1:19" ht="16.5" customHeight="1" x14ac:dyDescent="0.25">
      <c r="A22" s="78"/>
      <c r="B22" s="66"/>
      <c r="C22" s="66"/>
      <c r="D22" s="66"/>
      <c r="K22" s="70"/>
      <c r="L22" s="70"/>
      <c r="M22" s="70"/>
      <c r="O22" s="70"/>
      <c r="Q22" s="71"/>
      <c r="R22" s="71"/>
      <c r="S22" s="71"/>
    </row>
    <row r="23" spans="1:19" ht="16.5" customHeight="1" x14ac:dyDescent="0.25">
      <c r="A23" s="65"/>
      <c r="B23" s="66"/>
      <c r="C23" s="66"/>
      <c r="D23" s="66"/>
      <c r="K23" s="70"/>
      <c r="L23" s="70"/>
      <c r="M23" s="70"/>
      <c r="O23" s="70"/>
      <c r="Q23" s="71"/>
      <c r="R23" s="71"/>
      <c r="S23" s="71"/>
    </row>
    <row r="24" spans="1:19" ht="16.5" customHeight="1" x14ac:dyDescent="0.25">
      <c r="A24" s="65"/>
      <c r="B24" s="66"/>
      <c r="C24" s="66"/>
      <c r="D24" s="66"/>
      <c r="K24" s="70"/>
      <c r="L24" s="70"/>
      <c r="M24" s="70"/>
      <c r="O24" s="70"/>
      <c r="Q24" s="71"/>
      <c r="R24" s="71"/>
      <c r="S24" s="71"/>
    </row>
    <row r="25" spans="1:19" hidden="1" x14ac:dyDescent="0.25">
      <c r="B25" s="75" t="s">
        <v>132</v>
      </c>
      <c r="C25" s="75" t="s">
        <v>144</v>
      </c>
      <c r="D25" s="75" t="s">
        <v>142</v>
      </c>
      <c r="E25" s="75" t="s">
        <v>145</v>
      </c>
      <c r="F25" s="75" t="s">
        <v>143</v>
      </c>
      <c r="G25" s="75" t="s">
        <v>120</v>
      </c>
    </row>
    <row r="26" spans="1:19" ht="12.75" hidden="1" x14ac:dyDescent="0.2">
      <c r="A26" s="68"/>
      <c r="B26" s="75">
        <v>26</v>
      </c>
      <c r="C26" s="75"/>
      <c r="D26" s="75">
        <v>467.64400448090129</v>
      </c>
      <c r="E26" s="76"/>
      <c r="F26" s="75" t="e">
        <f ca="1">LEFT(P11,1)</f>
        <v>#N/A</v>
      </c>
      <c r="G26" s="75" t="str">
        <f ca="1">Q2</f>
        <v>PL</v>
      </c>
    </row>
    <row r="27" spans="1:19" ht="12.75" hidden="1" x14ac:dyDescent="0.2">
      <c r="A27" s="68"/>
      <c r="B27" s="75">
        <v>50</v>
      </c>
      <c r="C27" s="75"/>
      <c r="D27" s="76"/>
      <c r="E27" s="76"/>
      <c r="F27" s="76" t="str">
        <f>LEFT(E27,1)</f>
        <v/>
      </c>
      <c r="G27" s="76" t="str">
        <f>RIGHT(C27,2)</f>
        <v/>
      </c>
    </row>
    <row r="28" spans="1:19" ht="12.75" hidden="1" x14ac:dyDescent="0.2">
      <c r="A28" s="68"/>
      <c r="B28" s="69"/>
      <c r="C28" s="69"/>
      <c r="D28" s="69"/>
      <c r="E28" s="68"/>
    </row>
    <row r="29" spans="1:19" ht="12.75" hidden="1" x14ac:dyDescent="0.2">
      <c r="A29" s="68"/>
      <c r="B29" s="69"/>
      <c r="C29" s="69"/>
      <c r="D29" s="69"/>
      <c r="E29" s="68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4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Setup</vt:lpstr>
      <vt:lpstr>Lists</vt:lpstr>
      <vt:lpstr>Weigh-In</vt:lpstr>
      <vt:lpstr>Lifting</vt:lpstr>
      <vt:lpstr>Public</vt:lpstr>
      <vt:lpstr>DATA</vt:lpstr>
      <vt:lpstr>AttemptBoard</vt:lpstr>
      <vt:lpstr>QuickPrint</vt:lpstr>
      <vt:lpstr>ContestResults</vt:lpstr>
      <vt:lpstr>LoadingChart</vt:lpstr>
      <vt:lpstr>Awards</vt:lpstr>
      <vt:lpstr>Attempts</vt:lpstr>
      <vt:lpstr>LoadingChart!Print_Area</vt:lpstr>
      <vt:lpstr>QuickPrint!Print_Area</vt:lpstr>
      <vt:lpstr>LoadingChart!Print_Titles</vt:lpstr>
      <vt:lpstr>sibirange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2018-02-26T10:02:58Z</cp:lastPrinted>
  <dcterms:created xsi:type="dcterms:W3CDTF">2007-05-21T13:10:26Z</dcterms:created>
  <dcterms:modified xsi:type="dcterms:W3CDTF">2018-03-13T21:39:26Z</dcterms:modified>
</cp:coreProperties>
</file>